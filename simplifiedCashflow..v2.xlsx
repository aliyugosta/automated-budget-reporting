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892F4F8-5B74-4F75-ADD9-079BA52FCF02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categories" sheetId="2" r:id="rId1"/>
    <sheet name="nairaGlobus" sheetId="1" r:id="rId2"/>
    <sheet name="cashflow" sheetId="3" r:id="rId3"/>
  </sheets>
  <definedNames>
    <definedName name="_xlnm._FilterDatabase" localSheetId="1" hidden="1">nairaGlobus!$K$1:$L$381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3" l="1"/>
  <c r="I25" i="3"/>
  <c r="H27" i="3"/>
  <c r="G12" i="3"/>
  <c r="H12" i="3"/>
  <c r="I12" i="3"/>
  <c r="J12" i="3"/>
  <c r="F12" i="3"/>
  <c r="F11" i="3"/>
  <c r="G6" i="3"/>
  <c r="H6" i="3"/>
  <c r="I6" i="3"/>
  <c r="J6" i="3"/>
  <c r="F6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G11" i="3"/>
  <c r="H11" i="3"/>
  <c r="I11" i="3"/>
  <c r="J11" i="3"/>
  <c r="G14" i="3"/>
  <c r="H14" i="3"/>
  <c r="I14" i="3"/>
  <c r="J14" i="3"/>
  <c r="G15" i="3"/>
  <c r="H15" i="3"/>
  <c r="I15" i="3"/>
  <c r="J15" i="3"/>
  <c r="G18" i="3"/>
  <c r="H18" i="3"/>
  <c r="I18" i="3"/>
  <c r="J18" i="3"/>
  <c r="G19" i="3"/>
  <c r="H19" i="3"/>
  <c r="I19" i="3"/>
  <c r="J19" i="3"/>
  <c r="G20" i="3"/>
  <c r="H20" i="3"/>
  <c r="I20" i="3"/>
  <c r="J20" i="3"/>
  <c r="F19" i="3"/>
  <c r="F20" i="3"/>
  <c r="F18" i="3"/>
  <c r="F15" i="3"/>
  <c r="F14" i="3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F5" i="3" l="1"/>
  <c r="G5" i="3"/>
  <c r="H5" i="3"/>
  <c r="J5" i="3"/>
  <c r="I5" i="3"/>
  <c r="J16" i="3"/>
  <c r="F16" i="3"/>
  <c r="I16" i="3"/>
  <c r="G16" i="3"/>
  <c r="H16" i="3"/>
  <c r="G21" i="3"/>
  <c r="J21" i="3"/>
  <c r="H21" i="3"/>
  <c r="I21" i="3"/>
  <c r="F21" i="3"/>
  <c r="I17" i="3"/>
  <c r="J17" i="3"/>
  <c r="F17" i="3"/>
  <c r="H17" i="3"/>
  <c r="G17" i="3"/>
  <c r="F13" i="3"/>
  <c r="G13" i="3"/>
  <c r="H13" i="3"/>
  <c r="I13" i="3"/>
  <c r="J13" i="3"/>
  <c r="I8" i="3" l="1"/>
  <c r="I23" i="3" s="1"/>
  <c r="H8" i="3"/>
  <c r="H23" i="3" s="1"/>
  <c r="J8" i="3"/>
  <c r="J23" i="3" s="1"/>
  <c r="F8" i="3"/>
  <c r="F23" i="3" s="1"/>
  <c r="G8" i="3"/>
  <c r="G23" i="3" s="1"/>
  <c r="F25" i="3" l="1"/>
  <c r="H25" i="3"/>
  <c r="J25" i="3"/>
  <c r="G25" i="3"/>
</calcChain>
</file>

<file path=xl/sharedStrings.xml><?xml version="1.0" encoding="utf-8"?>
<sst xmlns="http://schemas.openxmlformats.org/spreadsheetml/2006/main" count="133" uniqueCount="70">
  <si>
    <t>Category</t>
  </si>
  <si>
    <t>Investors, payment for shares issued</t>
  </si>
  <si>
    <t>Bank to bank inflow</t>
  </si>
  <si>
    <t>Inflow</t>
  </si>
  <si>
    <t>Outflow</t>
  </si>
  <si>
    <t>Construction Expenses</t>
  </si>
  <si>
    <t>Purchasing of Equipment</t>
  </si>
  <si>
    <t>Security</t>
  </si>
  <si>
    <t>Fuel for transportation</t>
  </si>
  <si>
    <t>Admin expenses</t>
  </si>
  <si>
    <t>Remuneration</t>
  </si>
  <si>
    <t>P</t>
  </si>
  <si>
    <t>C</t>
  </si>
  <si>
    <t>R</t>
  </si>
  <si>
    <t>S</t>
  </si>
  <si>
    <t>F</t>
  </si>
  <si>
    <t>A</t>
  </si>
  <si>
    <t>Topographical, Geologica and Survey services</t>
  </si>
  <si>
    <t>T</t>
  </si>
  <si>
    <t>Maintenenace and Repair</t>
  </si>
  <si>
    <t>M</t>
  </si>
  <si>
    <t>Bank to bank outflow</t>
  </si>
  <si>
    <t>I</t>
  </si>
  <si>
    <t>BI</t>
  </si>
  <si>
    <t>BO</t>
  </si>
  <si>
    <t>BC</t>
  </si>
  <si>
    <t>Bank fees</t>
  </si>
  <si>
    <t>All figures in kiloNaira</t>
  </si>
  <si>
    <t>Department</t>
  </si>
  <si>
    <t>To come later</t>
  </si>
  <si>
    <t>past</t>
  </si>
  <si>
    <t>future</t>
  </si>
  <si>
    <t>Maintenance and Repair</t>
  </si>
  <si>
    <t>Total Inflow</t>
  </si>
  <si>
    <t>Total Outflow</t>
  </si>
  <si>
    <t>Balance</t>
  </si>
  <si>
    <t>Month Number</t>
  </si>
  <si>
    <t>Bamk balance</t>
  </si>
  <si>
    <t>#</t>
  </si>
  <si>
    <t>Post Date</t>
  </si>
  <si>
    <t>Value Date</t>
  </si>
  <si>
    <t>Trans. Reference</t>
  </si>
  <si>
    <t>Narration</t>
  </si>
  <si>
    <t>Debit</t>
  </si>
  <si>
    <t>Credit</t>
  </si>
  <si>
    <t>01/1/2026</t>
  </si>
  <si>
    <t>Opening Balance</t>
  </si>
  <si>
    <t>05-03-2026</t>
  </si>
  <si>
    <t>000023260305141110009202297366</t>
  </si>
  <si>
    <t>FT/Prov/PERAMARE MINES /PRV To Globus BankPERAM</t>
  </si>
  <si>
    <t>000023260305152305009202310982</t>
  </si>
  <si>
    <t>000023260305152338009202311086</t>
  </si>
  <si>
    <t>000023260305152433009202311263</t>
  </si>
  <si>
    <t>000023260305152505009202311348</t>
  </si>
  <si>
    <t>000023260305152611009202311563</t>
  </si>
  <si>
    <t>000023260305152648009202311666</t>
  </si>
  <si>
    <t>06-03-2026</t>
  </si>
  <si>
    <t>CORPORATE SEARCH FEE</t>
  </si>
  <si>
    <t>30-03-2026</t>
  </si>
  <si>
    <t>TD Booked Ref 035308202603342</t>
  </si>
  <si>
    <t>31-03-2026</t>
  </si>
  <si>
    <t>000023260331230956009206748092</t>
  </si>
  <si>
    <t>SMSALERT TXN CHARGES</t>
  </si>
  <si>
    <t>01-04-2026</t>
  </si>
  <si>
    <t>000027260401163129012894472005</t>
  </si>
  <si>
    <t>stampdutyFT/GTL/PERAMARE M/PERAMARE MINES LTDgtl</t>
  </si>
  <si>
    <t>/chargeFT/GTL/PERAMARE M/PERAMARE MINES LTDgtl00</t>
  </si>
  <si>
    <t>FT/GTL/PERAMARE M/PERAMARE MINES LTD</t>
  </si>
  <si>
    <t>IN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</si>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</sst>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0"/>
      <color rgb="FF000000"/>
      <name val="Times New Roman"/>
      <charset val="204"/>
    </font>
    <font>
      <b/>
      <sz val="8"/>
      <name val="Times New Roman"/>
      <family val="1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0"/>
      <name val="Times New Roman"/>
      <family val="1"/>
    </font>
    <font>
      <b/>
      <sz val="8"/>
      <color theme="0"/>
      <name val="Times New Roman"/>
      <family val="1"/>
    </font>
    <font>
      <sz val="8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165" fontId="0" fillId="2" borderId="0" xfId="1" applyNumberFormat="1" applyFont="1" applyFill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5" fontId="0" fillId="2" borderId="2" xfId="1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64" fontId="0" fillId="0" borderId="2" xfId="1" applyFont="1" applyBorder="1" applyAlignment="1">
      <alignment horizontal="left" vertical="top"/>
    </xf>
    <xf numFmtId="0" fontId="0" fillId="0" borderId="0" xfId="0"/>
    <xf numFmtId="164" fontId="0" fillId="0" borderId="0" xfId="1" applyFont="1"/>
    <xf numFmtId="14" fontId="0" fillId="0" borderId="0" xfId="0" applyNumberFormat="1"/>
    <xf numFmtId="165" fontId="0" fillId="0" borderId="2" xfId="1" applyNumberFormat="1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B012-3BEB-43E2-963D-813BFCD4AE97}">
  <dimension ref="B2:G17"/>
  <sheetViews>
    <sheetView zoomScale="115" zoomScaleNormal="115" workbookViewId="0">
      <selection activeCell="C9" sqref="C9"/>
    </sheetView>
  </sheetViews>
  <sheetFormatPr defaultColWidth="11.19921875" defaultRowHeight="13" x14ac:dyDescent="0.3"/>
  <cols>
    <col min="2" max="2" width="5.09765625" customWidth="1"/>
  </cols>
  <sheetData>
    <row r="2" spans="2:7" x14ac:dyDescent="0.3">
      <c r="B2" t="s">
        <v>3</v>
      </c>
      <c r="G2" s="8" t="s">
        <v>28</v>
      </c>
    </row>
    <row r="3" spans="2:7" x14ac:dyDescent="0.3">
      <c r="B3" t="s">
        <v>22</v>
      </c>
      <c r="C3" t="s">
        <v>1</v>
      </c>
      <c r="G3" s="8" t="s">
        <v>29</v>
      </c>
    </row>
    <row r="4" spans="2:7" x14ac:dyDescent="0.3">
      <c r="B4" t="s">
        <v>23</v>
      </c>
      <c r="C4" t="s">
        <v>2</v>
      </c>
    </row>
    <row r="6" spans="2:7" x14ac:dyDescent="0.3">
      <c r="B6" t="s">
        <v>4</v>
      </c>
    </row>
    <row r="7" spans="2:7" x14ac:dyDescent="0.3">
      <c r="B7" t="s">
        <v>24</v>
      </c>
      <c r="C7" t="s">
        <v>21</v>
      </c>
    </row>
    <row r="8" spans="2:7" x14ac:dyDescent="0.3">
      <c r="B8" t="s">
        <v>68</v>
      </c>
      <c r="C8" t="s">
        <v>69</v>
      </c>
    </row>
    <row r="9" spans="2:7" x14ac:dyDescent="0.3">
      <c r="B9" t="s">
        <v>11</v>
      </c>
      <c r="C9" t="s">
        <v>6</v>
      </c>
    </row>
    <row r="10" spans="2:7" x14ac:dyDescent="0.3">
      <c r="B10" t="s">
        <v>12</v>
      </c>
      <c r="C10" t="s">
        <v>5</v>
      </c>
    </row>
    <row r="11" spans="2:7" x14ac:dyDescent="0.3">
      <c r="B11" t="s">
        <v>20</v>
      </c>
      <c r="C11" t="s">
        <v>19</v>
      </c>
    </row>
    <row r="12" spans="2:7" x14ac:dyDescent="0.3">
      <c r="B12" t="s">
        <v>14</v>
      </c>
      <c r="C12" t="s">
        <v>7</v>
      </c>
    </row>
    <row r="13" spans="2:7" x14ac:dyDescent="0.3">
      <c r="B13" t="s">
        <v>15</v>
      </c>
      <c r="C13" t="s">
        <v>8</v>
      </c>
    </row>
    <row r="14" spans="2:7" x14ac:dyDescent="0.3">
      <c r="B14" t="s">
        <v>18</v>
      </c>
      <c r="C14" t="s">
        <v>17</v>
      </c>
    </row>
    <row r="15" spans="2:7" x14ac:dyDescent="0.3">
      <c r="B15" t="s">
        <v>13</v>
      </c>
      <c r="C15" t="s">
        <v>10</v>
      </c>
    </row>
    <row r="16" spans="2:7" x14ac:dyDescent="0.3">
      <c r="B16" t="s">
        <v>16</v>
      </c>
      <c r="C16" t="s">
        <v>9</v>
      </c>
    </row>
    <row r="17" spans="2:3" x14ac:dyDescent="0.3">
      <c r="B17" s="8" t="s">
        <v>25</v>
      </c>
      <c r="C17" s="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0"/>
  <sheetViews>
    <sheetView zoomScale="75" zoomScaleNormal="115" workbookViewId="0">
      <selection activeCell="H16" sqref="H16"/>
    </sheetView>
  </sheetViews>
  <sheetFormatPr defaultColWidth="8.796875" defaultRowHeight="13" x14ac:dyDescent="0.3"/>
  <cols>
    <col min="1" max="1" width="3.09765625" style="25" bestFit="1" customWidth="1"/>
    <col min="2" max="3" width="11.09765625" style="25" bestFit="1" customWidth="1"/>
    <col min="4" max="4" width="34.3984375" style="25" bestFit="1" customWidth="1"/>
    <col min="5" max="5" width="55.296875" style="25" bestFit="1" customWidth="1"/>
    <col min="6" max="8" width="16.09765625" style="26" bestFit="1" customWidth="1"/>
    <col min="9" max="9" width="9.8984375" style="9" bestFit="1" customWidth="1"/>
    <col min="10" max="10" width="8" customWidth="1"/>
    <col min="11" max="11" width="13.3984375" style="6" bestFit="1" customWidth="1"/>
    <col min="12" max="12" width="18.296875" style="6" bestFit="1" customWidth="1"/>
  </cols>
  <sheetData>
    <row r="1" spans="1:12" x14ac:dyDescent="0.3">
      <c r="A1" s="25" t="s">
        <v>38</v>
      </c>
      <c r="B1" s="25" t="s">
        <v>39</v>
      </c>
      <c r="C1" s="25" t="s">
        <v>40</v>
      </c>
      <c r="D1" s="25" t="s">
        <v>41</v>
      </c>
      <c r="E1" s="25" t="s">
        <v>42</v>
      </c>
      <c r="F1" s="26" t="s">
        <v>43</v>
      </c>
      <c r="G1" s="26" t="s">
        <v>44</v>
      </c>
      <c r="H1" s="26" t="s">
        <v>35</v>
      </c>
      <c r="I1" s="19"/>
      <c r="J1" s="1"/>
      <c r="K1" s="6" t="s">
        <v>0</v>
      </c>
      <c r="L1" s="6" t="s">
        <v>36</v>
      </c>
    </row>
    <row r="2" spans="1:12" x14ac:dyDescent="0.3">
      <c r="A2" s="25">
        <v>1</v>
      </c>
      <c r="B2" s="25" t="s">
        <v>45</v>
      </c>
      <c r="C2" s="25" t="s">
        <v>45</v>
      </c>
      <c r="E2" s="25" t="s">
        <v>46</v>
      </c>
      <c r="F2" s="26">
        <v>0</v>
      </c>
      <c r="G2" s="26">
        <v>0</v>
      </c>
      <c r="H2" s="26">
        <v>0</v>
      </c>
      <c r="I2" s="20">
        <f>VALUE(F2)</f>
        <v>0</v>
      </c>
      <c r="J2" s="3"/>
      <c r="K2" s="6" t="s">
        <v>23</v>
      </c>
      <c r="L2" s="6">
        <f>MONTH(C2)</f>
        <v>1</v>
      </c>
    </row>
    <row r="3" spans="1:12" x14ac:dyDescent="0.3">
      <c r="A3" s="25">
        <v>2</v>
      </c>
      <c r="B3" s="25" t="s">
        <v>47</v>
      </c>
      <c r="C3" s="27">
        <v>46086</v>
      </c>
      <c r="D3" s="25" t="s">
        <v>48</v>
      </c>
      <c r="E3" s="25" t="s">
        <v>49</v>
      </c>
      <c r="F3" s="26">
        <v>0</v>
      </c>
      <c r="G3" s="26">
        <v>20000</v>
      </c>
      <c r="H3" s="26">
        <v>20000</v>
      </c>
      <c r="I3" s="20">
        <f t="shared" ref="I3:I66" si="0">VALUE(F3)</f>
        <v>0</v>
      </c>
      <c r="J3" s="3"/>
      <c r="K3" s="7" t="s">
        <v>23</v>
      </c>
      <c r="L3" s="6">
        <f t="shared" ref="L3:L16" si="1">MONTH(C3)</f>
        <v>3</v>
      </c>
    </row>
    <row r="4" spans="1:12" x14ac:dyDescent="0.3">
      <c r="A4" s="25">
        <v>3</v>
      </c>
      <c r="B4" s="25" t="s">
        <v>47</v>
      </c>
      <c r="C4" s="27">
        <v>46086</v>
      </c>
      <c r="D4" s="25" t="s">
        <v>50</v>
      </c>
      <c r="E4" s="25" t="s">
        <v>49</v>
      </c>
      <c r="F4" s="26">
        <v>0</v>
      </c>
      <c r="G4" s="26">
        <v>100000000</v>
      </c>
      <c r="H4" s="26">
        <v>100020000</v>
      </c>
      <c r="I4" s="20">
        <f t="shared" si="0"/>
        <v>0</v>
      </c>
      <c r="J4" s="3"/>
      <c r="K4" s="6" t="s">
        <v>23</v>
      </c>
      <c r="L4" s="6">
        <f t="shared" si="1"/>
        <v>3</v>
      </c>
    </row>
    <row r="5" spans="1:12" x14ac:dyDescent="0.3">
      <c r="A5" s="25">
        <v>4</v>
      </c>
      <c r="B5" s="25" t="s">
        <v>47</v>
      </c>
      <c r="C5" s="27">
        <v>46086</v>
      </c>
      <c r="D5" s="25" t="s">
        <v>51</v>
      </c>
      <c r="E5" s="25" t="s">
        <v>49</v>
      </c>
      <c r="F5" s="26">
        <v>0</v>
      </c>
      <c r="G5" s="26">
        <v>100000000</v>
      </c>
      <c r="H5" s="26">
        <v>200020000</v>
      </c>
      <c r="I5" s="20">
        <f t="shared" si="0"/>
        <v>0</v>
      </c>
      <c r="J5" s="3"/>
      <c r="K5" s="7" t="s">
        <v>23</v>
      </c>
      <c r="L5" s="6">
        <f t="shared" si="1"/>
        <v>3</v>
      </c>
    </row>
    <row r="6" spans="1:12" x14ac:dyDescent="0.3">
      <c r="A6" s="25">
        <v>5</v>
      </c>
      <c r="B6" s="25" t="s">
        <v>47</v>
      </c>
      <c r="C6" s="27">
        <v>46086</v>
      </c>
      <c r="D6" s="25" t="s">
        <v>52</v>
      </c>
      <c r="E6" s="25" t="s">
        <v>49</v>
      </c>
      <c r="F6" s="26">
        <v>0</v>
      </c>
      <c r="G6" s="26">
        <v>100000000</v>
      </c>
      <c r="H6" s="26">
        <v>300020000</v>
      </c>
      <c r="I6" s="20">
        <f t="shared" si="0"/>
        <v>0</v>
      </c>
      <c r="J6" s="3"/>
      <c r="K6" s="6" t="s">
        <v>23</v>
      </c>
      <c r="L6" s="6">
        <f t="shared" si="1"/>
        <v>3</v>
      </c>
    </row>
    <row r="7" spans="1:12" x14ac:dyDescent="0.3">
      <c r="A7" s="25">
        <v>6</v>
      </c>
      <c r="B7" s="25" t="s">
        <v>47</v>
      </c>
      <c r="C7" s="27">
        <v>46086</v>
      </c>
      <c r="D7" s="25" t="s">
        <v>53</v>
      </c>
      <c r="E7" s="25" t="s">
        <v>49</v>
      </c>
      <c r="F7" s="26">
        <v>0</v>
      </c>
      <c r="G7" s="26">
        <v>100000000</v>
      </c>
      <c r="H7" s="26">
        <v>400020000</v>
      </c>
      <c r="I7" s="20">
        <f t="shared" si="0"/>
        <v>0</v>
      </c>
      <c r="J7" s="3"/>
      <c r="K7" s="7" t="s">
        <v>23</v>
      </c>
      <c r="L7" s="6">
        <f t="shared" si="1"/>
        <v>3</v>
      </c>
    </row>
    <row r="8" spans="1:12" x14ac:dyDescent="0.3">
      <c r="A8" s="25">
        <v>7</v>
      </c>
      <c r="B8" s="25" t="s">
        <v>47</v>
      </c>
      <c r="C8" s="27">
        <v>46086</v>
      </c>
      <c r="D8" s="25" t="s">
        <v>54</v>
      </c>
      <c r="E8" s="25" t="s">
        <v>49</v>
      </c>
      <c r="F8" s="26">
        <v>0</v>
      </c>
      <c r="G8" s="26">
        <v>100000000</v>
      </c>
      <c r="H8" s="26">
        <v>500020000</v>
      </c>
      <c r="I8" s="20">
        <f t="shared" si="0"/>
        <v>0</v>
      </c>
      <c r="J8" s="3"/>
      <c r="K8" s="6" t="s">
        <v>23</v>
      </c>
      <c r="L8" s="6">
        <f t="shared" si="1"/>
        <v>3</v>
      </c>
    </row>
    <row r="9" spans="1:12" x14ac:dyDescent="0.3">
      <c r="A9" s="25">
        <v>8</v>
      </c>
      <c r="B9" s="25" t="s">
        <v>47</v>
      </c>
      <c r="C9" s="27">
        <v>46086</v>
      </c>
      <c r="D9" s="25" t="s">
        <v>55</v>
      </c>
      <c r="E9" s="25" t="s">
        <v>49</v>
      </c>
      <c r="F9" s="26">
        <v>0</v>
      </c>
      <c r="G9" s="26">
        <v>60000000</v>
      </c>
      <c r="H9" s="26">
        <v>560020000</v>
      </c>
      <c r="I9" s="20">
        <f t="shared" si="0"/>
        <v>0</v>
      </c>
      <c r="J9" s="3"/>
      <c r="K9" s="7" t="s">
        <v>23</v>
      </c>
      <c r="L9" s="6">
        <f t="shared" si="1"/>
        <v>3</v>
      </c>
    </row>
    <row r="10" spans="1:12" x14ac:dyDescent="0.3">
      <c r="A10" s="25">
        <v>9</v>
      </c>
      <c r="B10" s="25" t="s">
        <v>56</v>
      </c>
      <c r="C10" s="27">
        <v>46087</v>
      </c>
      <c r="E10" s="25" t="s">
        <v>57</v>
      </c>
      <c r="F10" s="26">
        <v>10000</v>
      </c>
      <c r="G10" s="26">
        <v>0</v>
      </c>
      <c r="H10" s="26">
        <v>560010000</v>
      </c>
      <c r="I10" s="20">
        <f t="shared" si="0"/>
        <v>10000</v>
      </c>
      <c r="J10" s="3"/>
      <c r="K10" s="7" t="s">
        <v>25</v>
      </c>
      <c r="L10" s="6">
        <f t="shared" si="1"/>
        <v>3</v>
      </c>
    </row>
    <row r="11" spans="1:12" x14ac:dyDescent="0.3">
      <c r="A11" s="25">
        <v>10</v>
      </c>
      <c r="B11" s="25" t="s">
        <v>58</v>
      </c>
      <c r="C11" s="27">
        <v>46108</v>
      </c>
      <c r="E11" s="25" t="s">
        <v>59</v>
      </c>
      <c r="F11" s="26">
        <v>500000000</v>
      </c>
      <c r="G11" s="26">
        <v>0</v>
      </c>
      <c r="H11" s="26">
        <v>60010000</v>
      </c>
      <c r="I11" s="20">
        <f t="shared" si="0"/>
        <v>500000000</v>
      </c>
      <c r="J11" s="1"/>
      <c r="K11" s="7" t="s">
        <v>68</v>
      </c>
      <c r="L11" s="6">
        <f t="shared" si="1"/>
        <v>3</v>
      </c>
    </row>
    <row r="12" spans="1:12" x14ac:dyDescent="0.3">
      <c r="A12" s="25">
        <v>11</v>
      </c>
      <c r="B12" s="25" t="s">
        <v>60</v>
      </c>
      <c r="C12" s="27">
        <v>46112</v>
      </c>
      <c r="D12" s="25" t="s">
        <v>61</v>
      </c>
      <c r="E12" s="25" t="s">
        <v>49</v>
      </c>
      <c r="F12" s="26">
        <v>0</v>
      </c>
      <c r="G12" s="26">
        <v>100000000</v>
      </c>
      <c r="H12" s="26">
        <v>160010000</v>
      </c>
      <c r="I12" s="20">
        <f t="shared" si="0"/>
        <v>0</v>
      </c>
      <c r="J12" s="3"/>
      <c r="K12" s="6" t="s">
        <v>23</v>
      </c>
      <c r="L12" s="6">
        <f t="shared" si="1"/>
        <v>3</v>
      </c>
    </row>
    <row r="13" spans="1:12" x14ac:dyDescent="0.3">
      <c r="A13" s="25">
        <v>12</v>
      </c>
      <c r="B13" s="25" t="s">
        <v>60</v>
      </c>
      <c r="C13" s="27">
        <v>46112</v>
      </c>
      <c r="D13" s="25" t="s">
        <v>62</v>
      </c>
      <c r="E13" s="25" t="s">
        <v>62</v>
      </c>
      <c r="F13" s="26">
        <v>48</v>
      </c>
      <c r="G13" s="26">
        <v>0</v>
      </c>
      <c r="H13" s="26">
        <v>160009952</v>
      </c>
      <c r="I13" s="20">
        <f t="shared" si="0"/>
        <v>48</v>
      </c>
      <c r="J13" s="3"/>
      <c r="K13" s="6" t="s">
        <v>25</v>
      </c>
      <c r="L13" s="6">
        <f t="shared" si="1"/>
        <v>3</v>
      </c>
    </row>
    <row r="14" spans="1:12" x14ac:dyDescent="0.3">
      <c r="A14" s="25">
        <v>13</v>
      </c>
      <c r="B14" s="25" t="s">
        <v>63</v>
      </c>
      <c r="C14" s="27">
        <v>46113</v>
      </c>
      <c r="D14" s="25" t="s">
        <v>64</v>
      </c>
      <c r="E14" s="25" t="s">
        <v>65</v>
      </c>
      <c r="F14" s="26">
        <v>50</v>
      </c>
      <c r="G14" s="26">
        <v>0</v>
      </c>
      <c r="H14" s="26">
        <v>160009902</v>
      </c>
      <c r="I14" s="20">
        <f t="shared" si="0"/>
        <v>50</v>
      </c>
      <c r="J14" s="3"/>
      <c r="K14" s="6" t="s">
        <v>25</v>
      </c>
      <c r="L14" s="6">
        <f t="shared" si="1"/>
        <v>4</v>
      </c>
    </row>
    <row r="15" spans="1:12" x14ac:dyDescent="0.3">
      <c r="A15" s="25">
        <v>14</v>
      </c>
      <c r="B15" s="25" t="s">
        <v>63</v>
      </c>
      <c r="C15" s="27">
        <v>46113</v>
      </c>
      <c r="D15" s="25" t="s">
        <v>64</v>
      </c>
      <c r="E15" s="25" t="s">
        <v>66</v>
      </c>
      <c r="F15" s="26">
        <v>53.75</v>
      </c>
      <c r="G15" s="26">
        <v>0</v>
      </c>
      <c r="H15" s="26">
        <v>160009848.25</v>
      </c>
      <c r="I15" s="20">
        <f t="shared" si="0"/>
        <v>53.75</v>
      </c>
      <c r="J15" s="3"/>
      <c r="K15" s="6" t="s">
        <v>25</v>
      </c>
      <c r="L15" s="6">
        <f t="shared" si="1"/>
        <v>4</v>
      </c>
    </row>
    <row r="16" spans="1:12" x14ac:dyDescent="0.3">
      <c r="A16" s="25">
        <v>15</v>
      </c>
      <c r="B16" s="25" t="s">
        <v>63</v>
      </c>
      <c r="C16" s="27">
        <v>46113</v>
      </c>
      <c r="D16" s="25" t="s">
        <v>64</v>
      </c>
      <c r="E16" s="25" t="s">
        <v>67</v>
      </c>
      <c r="F16" s="26">
        <v>100000000</v>
      </c>
      <c r="G16" s="26">
        <v>0</v>
      </c>
      <c r="H16" s="26">
        <v>60009848.25</v>
      </c>
      <c r="I16" s="20">
        <f t="shared" si="0"/>
        <v>100000000</v>
      </c>
      <c r="K16" s="6" t="s">
        <v>24</v>
      </c>
      <c r="L16" s="6">
        <f t="shared" si="1"/>
        <v>4</v>
      </c>
    </row>
    <row r="17" spans="9:9" x14ac:dyDescent="0.3">
      <c r="I17" s="20">
        <f t="shared" si="0"/>
        <v>0</v>
      </c>
    </row>
    <row r="18" spans="9:9" x14ac:dyDescent="0.3">
      <c r="I18" s="20">
        <f t="shared" si="0"/>
        <v>0</v>
      </c>
    </row>
    <row r="19" spans="9:9" x14ac:dyDescent="0.3">
      <c r="I19" s="20">
        <f t="shared" si="0"/>
        <v>0</v>
      </c>
    </row>
    <row r="20" spans="9:9" x14ac:dyDescent="0.3">
      <c r="I20" s="20">
        <f t="shared" si="0"/>
        <v>0</v>
      </c>
    </row>
    <row r="21" spans="9:9" x14ac:dyDescent="0.3">
      <c r="I21" s="20">
        <f t="shared" si="0"/>
        <v>0</v>
      </c>
    </row>
    <row r="22" spans="9:9" x14ac:dyDescent="0.3">
      <c r="I22" s="20">
        <f t="shared" si="0"/>
        <v>0</v>
      </c>
    </row>
    <row r="23" spans="9:9" x14ac:dyDescent="0.3">
      <c r="I23" s="20">
        <f t="shared" si="0"/>
        <v>0</v>
      </c>
    </row>
    <row r="24" spans="9:9" x14ac:dyDescent="0.3">
      <c r="I24" s="20">
        <f t="shared" si="0"/>
        <v>0</v>
      </c>
    </row>
    <row r="25" spans="9:9" x14ac:dyDescent="0.3">
      <c r="I25" s="20">
        <f t="shared" si="0"/>
        <v>0</v>
      </c>
    </row>
    <row r="26" spans="9:9" x14ac:dyDescent="0.3">
      <c r="I26" s="20">
        <f t="shared" si="0"/>
        <v>0</v>
      </c>
    </row>
    <row r="27" spans="9:9" x14ac:dyDescent="0.3">
      <c r="I27" s="20">
        <f t="shared" si="0"/>
        <v>0</v>
      </c>
    </row>
    <row r="28" spans="9:9" x14ac:dyDescent="0.3">
      <c r="I28" s="20">
        <f t="shared" si="0"/>
        <v>0</v>
      </c>
    </row>
    <row r="29" spans="9:9" x14ac:dyDescent="0.3">
      <c r="I29" s="20">
        <f t="shared" si="0"/>
        <v>0</v>
      </c>
    </row>
    <row r="30" spans="9:9" x14ac:dyDescent="0.3">
      <c r="I30" s="20">
        <f t="shared" si="0"/>
        <v>0</v>
      </c>
    </row>
    <row r="31" spans="9:9" x14ac:dyDescent="0.3">
      <c r="I31" s="20">
        <f t="shared" si="0"/>
        <v>0</v>
      </c>
    </row>
    <row r="32" spans="9:9" x14ac:dyDescent="0.3">
      <c r="I32" s="20">
        <f t="shared" si="0"/>
        <v>0</v>
      </c>
    </row>
    <row r="33" spans="9:9" x14ac:dyDescent="0.3">
      <c r="I33" s="20">
        <f t="shared" si="0"/>
        <v>0</v>
      </c>
    </row>
    <row r="34" spans="9:9" x14ac:dyDescent="0.3">
      <c r="I34" s="20">
        <f t="shared" si="0"/>
        <v>0</v>
      </c>
    </row>
    <row r="35" spans="9:9" x14ac:dyDescent="0.3">
      <c r="I35" s="20">
        <f t="shared" si="0"/>
        <v>0</v>
      </c>
    </row>
    <row r="36" spans="9:9" x14ac:dyDescent="0.3">
      <c r="I36" s="20">
        <f t="shared" si="0"/>
        <v>0</v>
      </c>
    </row>
    <row r="37" spans="9:9" x14ac:dyDescent="0.3">
      <c r="I37" s="20">
        <f t="shared" si="0"/>
        <v>0</v>
      </c>
    </row>
    <row r="38" spans="9:9" x14ac:dyDescent="0.3">
      <c r="I38" s="20">
        <f t="shared" si="0"/>
        <v>0</v>
      </c>
    </row>
    <row r="39" spans="9:9" x14ac:dyDescent="0.3">
      <c r="I39" s="20">
        <f t="shared" si="0"/>
        <v>0</v>
      </c>
    </row>
    <row r="40" spans="9:9" ht="13" customHeight="1" x14ac:dyDescent="0.3">
      <c r="I40" s="20">
        <f t="shared" si="0"/>
        <v>0</v>
      </c>
    </row>
    <row r="41" spans="9:9" x14ac:dyDescent="0.3">
      <c r="I41" s="20">
        <f t="shared" si="0"/>
        <v>0</v>
      </c>
    </row>
    <row r="42" spans="9:9" x14ac:dyDescent="0.3">
      <c r="I42" s="20">
        <f t="shared" si="0"/>
        <v>0</v>
      </c>
    </row>
    <row r="43" spans="9:9" x14ac:dyDescent="0.3">
      <c r="I43" s="20">
        <f t="shared" si="0"/>
        <v>0</v>
      </c>
    </row>
    <row r="44" spans="9:9" x14ac:dyDescent="0.3">
      <c r="I44" s="20">
        <f t="shared" si="0"/>
        <v>0</v>
      </c>
    </row>
    <row r="45" spans="9:9" x14ac:dyDescent="0.3">
      <c r="I45" s="20">
        <f t="shared" si="0"/>
        <v>0</v>
      </c>
    </row>
    <row r="46" spans="9:9" x14ac:dyDescent="0.3">
      <c r="I46" s="20">
        <f t="shared" si="0"/>
        <v>0</v>
      </c>
    </row>
    <row r="47" spans="9:9" x14ac:dyDescent="0.3">
      <c r="I47" s="20">
        <f t="shared" si="0"/>
        <v>0</v>
      </c>
    </row>
    <row r="48" spans="9:9" x14ac:dyDescent="0.3">
      <c r="I48" s="20">
        <f t="shared" si="0"/>
        <v>0</v>
      </c>
    </row>
    <row r="49" spans="9:9" x14ac:dyDescent="0.3">
      <c r="I49" s="20">
        <f t="shared" si="0"/>
        <v>0</v>
      </c>
    </row>
    <row r="50" spans="9:9" x14ac:dyDescent="0.3">
      <c r="I50" s="20">
        <f t="shared" si="0"/>
        <v>0</v>
      </c>
    </row>
    <row r="51" spans="9:9" x14ac:dyDescent="0.3">
      <c r="I51" s="20">
        <f t="shared" si="0"/>
        <v>0</v>
      </c>
    </row>
    <row r="52" spans="9:9" x14ac:dyDescent="0.3">
      <c r="I52" s="20">
        <f t="shared" si="0"/>
        <v>0</v>
      </c>
    </row>
    <row r="53" spans="9:9" x14ac:dyDescent="0.3">
      <c r="I53" s="20">
        <f t="shared" si="0"/>
        <v>0</v>
      </c>
    </row>
    <row r="54" spans="9:9" x14ac:dyDescent="0.3">
      <c r="I54" s="20">
        <f t="shared" si="0"/>
        <v>0</v>
      </c>
    </row>
    <row r="55" spans="9:9" x14ac:dyDescent="0.3">
      <c r="I55" s="20">
        <f t="shared" si="0"/>
        <v>0</v>
      </c>
    </row>
    <row r="56" spans="9:9" x14ac:dyDescent="0.3">
      <c r="I56" s="20">
        <f t="shared" si="0"/>
        <v>0</v>
      </c>
    </row>
    <row r="57" spans="9:9" x14ac:dyDescent="0.3">
      <c r="I57" s="20">
        <f t="shared" si="0"/>
        <v>0</v>
      </c>
    </row>
    <row r="58" spans="9:9" x14ac:dyDescent="0.3">
      <c r="I58" s="20">
        <f t="shared" si="0"/>
        <v>0</v>
      </c>
    </row>
    <row r="59" spans="9:9" x14ac:dyDescent="0.3">
      <c r="I59" s="20">
        <f t="shared" si="0"/>
        <v>0</v>
      </c>
    </row>
    <row r="60" spans="9:9" x14ac:dyDescent="0.3">
      <c r="I60" s="20">
        <f t="shared" si="0"/>
        <v>0</v>
      </c>
    </row>
    <row r="61" spans="9:9" x14ac:dyDescent="0.3">
      <c r="I61" s="20">
        <f t="shared" si="0"/>
        <v>0</v>
      </c>
    </row>
    <row r="62" spans="9:9" x14ac:dyDescent="0.3">
      <c r="I62" s="20">
        <f t="shared" si="0"/>
        <v>0</v>
      </c>
    </row>
    <row r="63" spans="9:9" x14ac:dyDescent="0.3">
      <c r="I63" s="20">
        <f t="shared" si="0"/>
        <v>0</v>
      </c>
    </row>
    <row r="64" spans="9:9" x14ac:dyDescent="0.3">
      <c r="I64" s="20">
        <f t="shared" si="0"/>
        <v>0</v>
      </c>
    </row>
    <row r="65" spans="9:9" x14ac:dyDescent="0.3">
      <c r="I65" s="20">
        <f t="shared" si="0"/>
        <v>0</v>
      </c>
    </row>
    <row r="66" spans="9:9" x14ac:dyDescent="0.3">
      <c r="I66" s="20">
        <f t="shared" si="0"/>
        <v>0</v>
      </c>
    </row>
    <row r="67" spans="9:9" x14ac:dyDescent="0.3">
      <c r="I67" s="20">
        <f t="shared" ref="I67:I130" si="2">VALUE(F67)</f>
        <v>0</v>
      </c>
    </row>
    <row r="68" spans="9:9" x14ac:dyDescent="0.3">
      <c r="I68" s="20">
        <f t="shared" si="2"/>
        <v>0</v>
      </c>
    </row>
    <row r="69" spans="9:9" x14ac:dyDescent="0.3">
      <c r="I69" s="20">
        <f t="shared" si="2"/>
        <v>0</v>
      </c>
    </row>
    <row r="70" spans="9:9" x14ac:dyDescent="0.3">
      <c r="I70" s="20">
        <f t="shared" si="2"/>
        <v>0</v>
      </c>
    </row>
    <row r="71" spans="9:9" x14ac:dyDescent="0.3">
      <c r="I71" s="20">
        <f t="shared" si="2"/>
        <v>0</v>
      </c>
    </row>
    <row r="72" spans="9:9" x14ac:dyDescent="0.3">
      <c r="I72" s="20">
        <f t="shared" si="2"/>
        <v>0</v>
      </c>
    </row>
    <row r="73" spans="9:9" x14ac:dyDescent="0.3">
      <c r="I73" s="20">
        <f t="shared" si="2"/>
        <v>0</v>
      </c>
    </row>
    <row r="74" spans="9:9" x14ac:dyDescent="0.3">
      <c r="I74" s="20">
        <f t="shared" si="2"/>
        <v>0</v>
      </c>
    </row>
    <row r="75" spans="9:9" x14ac:dyDescent="0.3">
      <c r="I75" s="20">
        <f t="shared" si="2"/>
        <v>0</v>
      </c>
    </row>
    <row r="76" spans="9:9" x14ac:dyDescent="0.3">
      <c r="I76" s="20">
        <f t="shared" si="2"/>
        <v>0</v>
      </c>
    </row>
    <row r="77" spans="9:9" x14ac:dyDescent="0.3">
      <c r="I77" s="20">
        <f t="shared" si="2"/>
        <v>0</v>
      </c>
    </row>
    <row r="78" spans="9:9" x14ac:dyDescent="0.3">
      <c r="I78" s="20">
        <f t="shared" si="2"/>
        <v>0</v>
      </c>
    </row>
    <row r="79" spans="9:9" x14ac:dyDescent="0.3">
      <c r="I79" s="20">
        <f t="shared" si="2"/>
        <v>0</v>
      </c>
    </row>
    <row r="80" spans="9:9" x14ac:dyDescent="0.3">
      <c r="I80" s="20">
        <f t="shared" si="2"/>
        <v>0</v>
      </c>
    </row>
    <row r="81" spans="9:9" x14ac:dyDescent="0.3">
      <c r="I81" s="20">
        <f t="shared" si="2"/>
        <v>0</v>
      </c>
    </row>
    <row r="82" spans="9:9" x14ac:dyDescent="0.3">
      <c r="I82" s="20">
        <f t="shared" si="2"/>
        <v>0</v>
      </c>
    </row>
    <row r="83" spans="9:9" x14ac:dyDescent="0.3">
      <c r="I83" s="20">
        <f t="shared" si="2"/>
        <v>0</v>
      </c>
    </row>
    <row r="84" spans="9:9" x14ac:dyDescent="0.3">
      <c r="I84" s="20">
        <f t="shared" si="2"/>
        <v>0</v>
      </c>
    </row>
    <row r="85" spans="9:9" x14ac:dyDescent="0.3">
      <c r="I85" s="20">
        <f t="shared" si="2"/>
        <v>0</v>
      </c>
    </row>
    <row r="86" spans="9:9" x14ac:dyDescent="0.3">
      <c r="I86" s="20">
        <f t="shared" si="2"/>
        <v>0</v>
      </c>
    </row>
    <row r="87" spans="9:9" x14ac:dyDescent="0.3">
      <c r="I87" s="20">
        <f t="shared" si="2"/>
        <v>0</v>
      </c>
    </row>
    <row r="88" spans="9:9" x14ac:dyDescent="0.3">
      <c r="I88" s="20">
        <f t="shared" si="2"/>
        <v>0</v>
      </c>
    </row>
    <row r="89" spans="9:9" x14ac:dyDescent="0.3">
      <c r="I89" s="20">
        <f t="shared" si="2"/>
        <v>0</v>
      </c>
    </row>
    <row r="90" spans="9:9" x14ac:dyDescent="0.3">
      <c r="I90" s="20">
        <f t="shared" si="2"/>
        <v>0</v>
      </c>
    </row>
    <row r="91" spans="9:9" x14ac:dyDescent="0.3">
      <c r="I91" s="20">
        <f t="shared" si="2"/>
        <v>0</v>
      </c>
    </row>
    <row r="92" spans="9:9" x14ac:dyDescent="0.3">
      <c r="I92" s="20">
        <f t="shared" si="2"/>
        <v>0</v>
      </c>
    </row>
    <row r="93" spans="9:9" x14ac:dyDescent="0.3">
      <c r="I93" s="20">
        <f t="shared" si="2"/>
        <v>0</v>
      </c>
    </row>
    <row r="94" spans="9:9" x14ac:dyDescent="0.3">
      <c r="I94" s="20">
        <f t="shared" si="2"/>
        <v>0</v>
      </c>
    </row>
    <row r="95" spans="9:9" x14ac:dyDescent="0.3">
      <c r="I95" s="20">
        <f t="shared" si="2"/>
        <v>0</v>
      </c>
    </row>
    <row r="96" spans="9:9" x14ac:dyDescent="0.3">
      <c r="I96" s="20">
        <f t="shared" si="2"/>
        <v>0</v>
      </c>
    </row>
    <row r="97" spans="9:9" x14ac:dyDescent="0.3">
      <c r="I97" s="20">
        <f t="shared" si="2"/>
        <v>0</v>
      </c>
    </row>
    <row r="98" spans="9:9" x14ac:dyDescent="0.3">
      <c r="I98" s="20">
        <f t="shared" si="2"/>
        <v>0</v>
      </c>
    </row>
    <row r="99" spans="9:9" x14ac:dyDescent="0.3">
      <c r="I99" s="20">
        <f t="shared" si="2"/>
        <v>0</v>
      </c>
    </row>
    <row r="100" spans="9:9" x14ac:dyDescent="0.3">
      <c r="I100" s="20">
        <f t="shared" si="2"/>
        <v>0</v>
      </c>
    </row>
    <row r="101" spans="9:9" x14ac:dyDescent="0.3">
      <c r="I101" s="20">
        <f t="shared" si="2"/>
        <v>0</v>
      </c>
    </row>
    <row r="102" spans="9:9" x14ac:dyDescent="0.3">
      <c r="I102" s="20">
        <f t="shared" si="2"/>
        <v>0</v>
      </c>
    </row>
    <row r="103" spans="9:9" x14ac:dyDescent="0.3">
      <c r="I103" s="20">
        <f t="shared" si="2"/>
        <v>0</v>
      </c>
    </row>
    <row r="104" spans="9:9" x14ac:dyDescent="0.3">
      <c r="I104" s="20">
        <f t="shared" si="2"/>
        <v>0</v>
      </c>
    </row>
    <row r="105" spans="9:9" x14ac:dyDescent="0.3">
      <c r="I105" s="20">
        <f t="shared" si="2"/>
        <v>0</v>
      </c>
    </row>
    <row r="106" spans="9:9" x14ac:dyDescent="0.3">
      <c r="I106" s="20">
        <f t="shared" si="2"/>
        <v>0</v>
      </c>
    </row>
    <row r="107" spans="9:9" x14ac:dyDescent="0.3">
      <c r="I107" s="20">
        <f t="shared" si="2"/>
        <v>0</v>
      </c>
    </row>
    <row r="108" spans="9:9" x14ac:dyDescent="0.3">
      <c r="I108" s="20">
        <f t="shared" si="2"/>
        <v>0</v>
      </c>
    </row>
    <row r="109" spans="9:9" x14ac:dyDescent="0.3">
      <c r="I109" s="20">
        <f t="shared" si="2"/>
        <v>0</v>
      </c>
    </row>
    <row r="110" spans="9:9" x14ac:dyDescent="0.3">
      <c r="I110" s="20">
        <f t="shared" si="2"/>
        <v>0</v>
      </c>
    </row>
    <row r="111" spans="9:9" x14ac:dyDescent="0.3">
      <c r="I111" s="20">
        <f t="shared" si="2"/>
        <v>0</v>
      </c>
    </row>
    <row r="112" spans="9:9" x14ac:dyDescent="0.3">
      <c r="I112" s="20">
        <f t="shared" si="2"/>
        <v>0</v>
      </c>
    </row>
    <row r="113" spans="9:9" x14ac:dyDescent="0.3">
      <c r="I113" s="20">
        <f t="shared" si="2"/>
        <v>0</v>
      </c>
    </row>
    <row r="114" spans="9:9" x14ac:dyDescent="0.3">
      <c r="I114" s="20">
        <f t="shared" si="2"/>
        <v>0</v>
      </c>
    </row>
    <row r="115" spans="9:9" x14ac:dyDescent="0.3">
      <c r="I115" s="20">
        <f t="shared" si="2"/>
        <v>0</v>
      </c>
    </row>
    <row r="116" spans="9:9" x14ac:dyDescent="0.3">
      <c r="I116" s="20">
        <f t="shared" si="2"/>
        <v>0</v>
      </c>
    </row>
    <row r="117" spans="9:9" x14ac:dyDescent="0.3">
      <c r="I117" s="20">
        <f t="shared" si="2"/>
        <v>0</v>
      </c>
    </row>
    <row r="118" spans="9:9" x14ac:dyDescent="0.3">
      <c r="I118" s="20">
        <f t="shared" si="2"/>
        <v>0</v>
      </c>
    </row>
    <row r="119" spans="9:9" x14ac:dyDescent="0.3">
      <c r="I119" s="20">
        <f t="shared" si="2"/>
        <v>0</v>
      </c>
    </row>
    <row r="120" spans="9:9" x14ac:dyDescent="0.3">
      <c r="I120" s="20">
        <f t="shared" si="2"/>
        <v>0</v>
      </c>
    </row>
    <row r="121" spans="9:9" x14ac:dyDescent="0.3">
      <c r="I121" s="20">
        <f t="shared" si="2"/>
        <v>0</v>
      </c>
    </row>
    <row r="122" spans="9:9" x14ac:dyDescent="0.3">
      <c r="I122" s="20">
        <f t="shared" si="2"/>
        <v>0</v>
      </c>
    </row>
    <row r="123" spans="9:9" x14ac:dyDescent="0.3">
      <c r="I123" s="20">
        <f t="shared" si="2"/>
        <v>0</v>
      </c>
    </row>
    <row r="124" spans="9:9" x14ac:dyDescent="0.3">
      <c r="I124" s="20">
        <f t="shared" si="2"/>
        <v>0</v>
      </c>
    </row>
    <row r="125" spans="9:9" x14ac:dyDescent="0.3">
      <c r="I125" s="20">
        <f t="shared" si="2"/>
        <v>0</v>
      </c>
    </row>
    <row r="126" spans="9:9" x14ac:dyDescent="0.3">
      <c r="I126" s="20">
        <f t="shared" si="2"/>
        <v>0</v>
      </c>
    </row>
    <row r="127" spans="9:9" x14ac:dyDescent="0.3">
      <c r="I127" s="20">
        <f t="shared" si="2"/>
        <v>0</v>
      </c>
    </row>
    <row r="128" spans="9:9" x14ac:dyDescent="0.3">
      <c r="I128" s="20">
        <f t="shared" si="2"/>
        <v>0</v>
      </c>
    </row>
    <row r="129" spans="9:9" x14ac:dyDescent="0.3">
      <c r="I129" s="20">
        <f t="shared" si="2"/>
        <v>0</v>
      </c>
    </row>
    <row r="130" spans="9:9" x14ac:dyDescent="0.3">
      <c r="I130" s="20">
        <f t="shared" si="2"/>
        <v>0</v>
      </c>
    </row>
    <row r="131" spans="9:9" x14ac:dyDescent="0.3">
      <c r="I131" s="20">
        <f t="shared" ref="I131:I194" si="3">VALUE(F131)</f>
        <v>0</v>
      </c>
    </row>
    <row r="132" spans="9:9" x14ac:dyDescent="0.3">
      <c r="I132" s="20">
        <f t="shared" si="3"/>
        <v>0</v>
      </c>
    </row>
    <row r="133" spans="9:9" x14ac:dyDescent="0.3">
      <c r="I133" s="20">
        <f t="shared" si="3"/>
        <v>0</v>
      </c>
    </row>
    <row r="134" spans="9:9" x14ac:dyDescent="0.3">
      <c r="I134" s="20">
        <f t="shared" si="3"/>
        <v>0</v>
      </c>
    </row>
    <row r="135" spans="9:9" x14ac:dyDescent="0.3">
      <c r="I135" s="20">
        <f t="shared" si="3"/>
        <v>0</v>
      </c>
    </row>
    <row r="136" spans="9:9" x14ac:dyDescent="0.3">
      <c r="I136" s="20">
        <f t="shared" si="3"/>
        <v>0</v>
      </c>
    </row>
    <row r="137" spans="9:9" x14ac:dyDescent="0.3">
      <c r="I137" s="20">
        <f t="shared" si="3"/>
        <v>0</v>
      </c>
    </row>
    <row r="138" spans="9:9" x14ac:dyDescent="0.3">
      <c r="I138" s="20">
        <f t="shared" si="3"/>
        <v>0</v>
      </c>
    </row>
    <row r="139" spans="9:9" x14ac:dyDescent="0.3">
      <c r="I139" s="20">
        <f t="shared" si="3"/>
        <v>0</v>
      </c>
    </row>
    <row r="140" spans="9:9" x14ac:dyDescent="0.3">
      <c r="I140" s="20">
        <f t="shared" si="3"/>
        <v>0</v>
      </c>
    </row>
    <row r="141" spans="9:9" x14ac:dyDescent="0.3">
      <c r="I141" s="20">
        <f t="shared" si="3"/>
        <v>0</v>
      </c>
    </row>
    <row r="142" spans="9:9" x14ac:dyDescent="0.3">
      <c r="I142" s="20">
        <f t="shared" si="3"/>
        <v>0</v>
      </c>
    </row>
    <row r="143" spans="9:9" x14ac:dyDescent="0.3">
      <c r="I143" s="20">
        <f t="shared" si="3"/>
        <v>0</v>
      </c>
    </row>
    <row r="144" spans="9:9" x14ac:dyDescent="0.3">
      <c r="I144" s="20">
        <f t="shared" si="3"/>
        <v>0</v>
      </c>
    </row>
    <row r="145" spans="9:9" x14ac:dyDescent="0.3">
      <c r="I145" s="20">
        <f t="shared" si="3"/>
        <v>0</v>
      </c>
    </row>
    <row r="146" spans="9:9" ht="13" customHeight="1" x14ac:dyDescent="0.3">
      <c r="I146" s="20">
        <f t="shared" si="3"/>
        <v>0</v>
      </c>
    </row>
    <row r="147" spans="9:9" x14ac:dyDescent="0.3">
      <c r="I147" s="20">
        <f t="shared" si="3"/>
        <v>0</v>
      </c>
    </row>
    <row r="148" spans="9:9" x14ac:dyDescent="0.3">
      <c r="I148" s="20">
        <f t="shared" si="3"/>
        <v>0</v>
      </c>
    </row>
    <row r="149" spans="9:9" x14ac:dyDescent="0.3">
      <c r="I149" s="20">
        <f t="shared" si="3"/>
        <v>0</v>
      </c>
    </row>
    <row r="150" spans="9:9" x14ac:dyDescent="0.3">
      <c r="I150" s="20">
        <f t="shared" si="3"/>
        <v>0</v>
      </c>
    </row>
    <row r="151" spans="9:9" x14ac:dyDescent="0.3">
      <c r="I151" s="20">
        <f t="shared" si="3"/>
        <v>0</v>
      </c>
    </row>
    <row r="152" spans="9:9" x14ac:dyDescent="0.3">
      <c r="I152" s="20">
        <f t="shared" si="3"/>
        <v>0</v>
      </c>
    </row>
    <row r="153" spans="9:9" x14ac:dyDescent="0.3">
      <c r="I153" s="20">
        <f t="shared" si="3"/>
        <v>0</v>
      </c>
    </row>
    <row r="154" spans="9:9" x14ac:dyDescent="0.3">
      <c r="I154" s="20">
        <f t="shared" si="3"/>
        <v>0</v>
      </c>
    </row>
    <row r="155" spans="9:9" x14ac:dyDescent="0.3">
      <c r="I155" s="20">
        <f t="shared" si="3"/>
        <v>0</v>
      </c>
    </row>
    <row r="156" spans="9:9" x14ac:dyDescent="0.3">
      <c r="I156" s="20">
        <f t="shared" si="3"/>
        <v>0</v>
      </c>
    </row>
    <row r="157" spans="9:9" x14ac:dyDescent="0.3">
      <c r="I157" s="20">
        <f t="shared" si="3"/>
        <v>0</v>
      </c>
    </row>
    <row r="158" spans="9:9" x14ac:dyDescent="0.3">
      <c r="I158" s="20">
        <f t="shared" si="3"/>
        <v>0</v>
      </c>
    </row>
    <row r="159" spans="9:9" x14ac:dyDescent="0.3">
      <c r="I159" s="20">
        <f t="shared" si="3"/>
        <v>0</v>
      </c>
    </row>
    <row r="160" spans="9:9" x14ac:dyDescent="0.3">
      <c r="I160" s="20">
        <f t="shared" si="3"/>
        <v>0</v>
      </c>
    </row>
    <row r="161" spans="9:9" x14ac:dyDescent="0.3">
      <c r="I161" s="20">
        <f t="shared" si="3"/>
        <v>0</v>
      </c>
    </row>
    <row r="162" spans="9:9" x14ac:dyDescent="0.3">
      <c r="I162" s="20">
        <f t="shared" si="3"/>
        <v>0</v>
      </c>
    </row>
    <row r="163" spans="9:9" x14ac:dyDescent="0.3">
      <c r="I163" s="20">
        <f t="shared" si="3"/>
        <v>0</v>
      </c>
    </row>
    <row r="164" spans="9:9" x14ac:dyDescent="0.3">
      <c r="I164" s="20">
        <f t="shared" si="3"/>
        <v>0</v>
      </c>
    </row>
    <row r="165" spans="9:9" x14ac:dyDescent="0.3">
      <c r="I165" s="20">
        <f t="shared" si="3"/>
        <v>0</v>
      </c>
    </row>
    <row r="166" spans="9:9" x14ac:dyDescent="0.3">
      <c r="I166" s="20">
        <f t="shared" si="3"/>
        <v>0</v>
      </c>
    </row>
    <row r="167" spans="9:9" x14ac:dyDescent="0.3">
      <c r="I167" s="20">
        <f t="shared" si="3"/>
        <v>0</v>
      </c>
    </row>
    <row r="168" spans="9:9" x14ac:dyDescent="0.3">
      <c r="I168" s="20">
        <f t="shared" si="3"/>
        <v>0</v>
      </c>
    </row>
    <row r="169" spans="9:9" x14ac:dyDescent="0.3">
      <c r="I169" s="20">
        <f t="shared" si="3"/>
        <v>0</v>
      </c>
    </row>
    <row r="170" spans="9:9" x14ac:dyDescent="0.3">
      <c r="I170" s="20">
        <f t="shared" si="3"/>
        <v>0</v>
      </c>
    </row>
    <row r="171" spans="9:9" x14ac:dyDescent="0.3">
      <c r="I171" s="20">
        <f t="shared" si="3"/>
        <v>0</v>
      </c>
    </row>
    <row r="172" spans="9:9" x14ac:dyDescent="0.3">
      <c r="I172" s="20">
        <f t="shared" si="3"/>
        <v>0</v>
      </c>
    </row>
    <row r="173" spans="9:9" x14ac:dyDescent="0.3">
      <c r="I173" s="20">
        <f t="shared" si="3"/>
        <v>0</v>
      </c>
    </row>
    <row r="174" spans="9:9" x14ac:dyDescent="0.3">
      <c r="I174" s="20">
        <f t="shared" si="3"/>
        <v>0</v>
      </c>
    </row>
    <row r="175" spans="9:9" x14ac:dyDescent="0.3">
      <c r="I175" s="20">
        <f t="shared" si="3"/>
        <v>0</v>
      </c>
    </row>
    <row r="176" spans="9:9" x14ac:dyDescent="0.3">
      <c r="I176" s="20">
        <f t="shared" si="3"/>
        <v>0</v>
      </c>
    </row>
    <row r="177" spans="9:9" x14ac:dyDescent="0.3">
      <c r="I177" s="20">
        <f t="shared" si="3"/>
        <v>0</v>
      </c>
    </row>
    <row r="178" spans="9:9" x14ac:dyDescent="0.3">
      <c r="I178" s="20">
        <f t="shared" si="3"/>
        <v>0</v>
      </c>
    </row>
    <row r="179" spans="9:9" x14ac:dyDescent="0.3">
      <c r="I179" s="20">
        <f t="shared" si="3"/>
        <v>0</v>
      </c>
    </row>
    <row r="180" spans="9:9" x14ac:dyDescent="0.3">
      <c r="I180" s="20">
        <f t="shared" si="3"/>
        <v>0</v>
      </c>
    </row>
    <row r="181" spans="9:9" x14ac:dyDescent="0.3">
      <c r="I181" s="20">
        <f t="shared" si="3"/>
        <v>0</v>
      </c>
    </row>
    <row r="182" spans="9:9" x14ac:dyDescent="0.3">
      <c r="I182" s="20">
        <f t="shared" si="3"/>
        <v>0</v>
      </c>
    </row>
    <row r="183" spans="9:9" x14ac:dyDescent="0.3">
      <c r="I183" s="20">
        <f t="shared" si="3"/>
        <v>0</v>
      </c>
    </row>
    <row r="184" spans="9:9" x14ac:dyDescent="0.3">
      <c r="I184" s="20">
        <f t="shared" si="3"/>
        <v>0</v>
      </c>
    </row>
    <row r="185" spans="9:9" x14ac:dyDescent="0.3">
      <c r="I185" s="20">
        <f t="shared" si="3"/>
        <v>0</v>
      </c>
    </row>
    <row r="186" spans="9:9" x14ac:dyDescent="0.3">
      <c r="I186" s="20">
        <f t="shared" si="3"/>
        <v>0</v>
      </c>
    </row>
    <row r="187" spans="9:9" x14ac:dyDescent="0.3">
      <c r="I187" s="20">
        <f t="shared" si="3"/>
        <v>0</v>
      </c>
    </row>
    <row r="188" spans="9:9" x14ac:dyDescent="0.3">
      <c r="I188" s="20">
        <f t="shared" si="3"/>
        <v>0</v>
      </c>
    </row>
    <row r="189" spans="9:9" x14ac:dyDescent="0.3">
      <c r="I189" s="20">
        <f t="shared" si="3"/>
        <v>0</v>
      </c>
    </row>
    <row r="190" spans="9:9" x14ac:dyDescent="0.3">
      <c r="I190" s="20">
        <f t="shared" si="3"/>
        <v>0</v>
      </c>
    </row>
    <row r="191" spans="9:9" x14ac:dyDescent="0.3">
      <c r="I191" s="20">
        <f t="shared" si="3"/>
        <v>0</v>
      </c>
    </row>
    <row r="192" spans="9:9" x14ac:dyDescent="0.3">
      <c r="I192" s="20">
        <f t="shared" si="3"/>
        <v>0</v>
      </c>
    </row>
    <row r="193" spans="9:9" x14ac:dyDescent="0.3">
      <c r="I193" s="20">
        <f t="shared" si="3"/>
        <v>0</v>
      </c>
    </row>
    <row r="194" spans="9:9" x14ac:dyDescent="0.3">
      <c r="I194" s="20">
        <f t="shared" si="3"/>
        <v>0</v>
      </c>
    </row>
    <row r="195" spans="9:9" x14ac:dyDescent="0.3">
      <c r="I195" s="20">
        <f t="shared" ref="I195:I258" si="4">VALUE(F195)</f>
        <v>0</v>
      </c>
    </row>
    <row r="196" spans="9:9" x14ac:dyDescent="0.3">
      <c r="I196" s="20">
        <f t="shared" si="4"/>
        <v>0</v>
      </c>
    </row>
    <row r="197" spans="9:9" x14ac:dyDescent="0.3">
      <c r="I197" s="20">
        <f t="shared" si="4"/>
        <v>0</v>
      </c>
    </row>
    <row r="198" spans="9:9" x14ac:dyDescent="0.3">
      <c r="I198" s="20">
        <f t="shared" si="4"/>
        <v>0</v>
      </c>
    </row>
    <row r="199" spans="9:9" x14ac:dyDescent="0.3">
      <c r="I199" s="20">
        <f t="shared" si="4"/>
        <v>0</v>
      </c>
    </row>
    <row r="200" spans="9:9" x14ac:dyDescent="0.3">
      <c r="I200" s="20">
        <f t="shared" si="4"/>
        <v>0</v>
      </c>
    </row>
    <row r="201" spans="9:9" x14ac:dyDescent="0.3">
      <c r="I201" s="20">
        <f t="shared" si="4"/>
        <v>0</v>
      </c>
    </row>
    <row r="202" spans="9:9" x14ac:dyDescent="0.3">
      <c r="I202" s="20">
        <f t="shared" si="4"/>
        <v>0</v>
      </c>
    </row>
    <row r="203" spans="9:9" x14ac:dyDescent="0.3">
      <c r="I203" s="20">
        <f t="shared" si="4"/>
        <v>0</v>
      </c>
    </row>
    <row r="204" spans="9:9" x14ac:dyDescent="0.3">
      <c r="I204" s="20">
        <f t="shared" si="4"/>
        <v>0</v>
      </c>
    </row>
    <row r="205" spans="9:9" x14ac:dyDescent="0.3">
      <c r="I205" s="20">
        <f t="shared" si="4"/>
        <v>0</v>
      </c>
    </row>
    <row r="206" spans="9:9" x14ac:dyDescent="0.3">
      <c r="I206" s="20">
        <f t="shared" si="4"/>
        <v>0</v>
      </c>
    </row>
    <row r="207" spans="9:9" x14ac:dyDescent="0.3">
      <c r="I207" s="20">
        <f t="shared" si="4"/>
        <v>0</v>
      </c>
    </row>
    <row r="208" spans="9:9" x14ac:dyDescent="0.3">
      <c r="I208" s="20">
        <f t="shared" si="4"/>
        <v>0</v>
      </c>
    </row>
    <row r="209" spans="9:9" x14ac:dyDescent="0.3">
      <c r="I209" s="20">
        <f t="shared" si="4"/>
        <v>0</v>
      </c>
    </row>
    <row r="210" spans="9:9" x14ac:dyDescent="0.3">
      <c r="I210" s="20">
        <f t="shared" si="4"/>
        <v>0</v>
      </c>
    </row>
    <row r="211" spans="9:9" x14ac:dyDescent="0.3">
      <c r="I211" s="20">
        <f t="shared" si="4"/>
        <v>0</v>
      </c>
    </row>
    <row r="212" spans="9:9" x14ac:dyDescent="0.3">
      <c r="I212" s="20">
        <f t="shared" si="4"/>
        <v>0</v>
      </c>
    </row>
    <row r="213" spans="9:9" x14ac:dyDescent="0.3">
      <c r="I213" s="20">
        <f t="shared" si="4"/>
        <v>0</v>
      </c>
    </row>
    <row r="214" spans="9:9" x14ac:dyDescent="0.3">
      <c r="I214" s="20">
        <f t="shared" si="4"/>
        <v>0</v>
      </c>
    </row>
    <row r="215" spans="9:9" x14ac:dyDescent="0.3">
      <c r="I215" s="20">
        <f t="shared" si="4"/>
        <v>0</v>
      </c>
    </row>
    <row r="216" spans="9:9" x14ac:dyDescent="0.3">
      <c r="I216" s="20">
        <f t="shared" si="4"/>
        <v>0</v>
      </c>
    </row>
    <row r="217" spans="9:9" x14ac:dyDescent="0.3">
      <c r="I217" s="20">
        <f t="shared" si="4"/>
        <v>0</v>
      </c>
    </row>
    <row r="218" spans="9:9" x14ac:dyDescent="0.3">
      <c r="I218" s="20">
        <f t="shared" si="4"/>
        <v>0</v>
      </c>
    </row>
    <row r="219" spans="9:9" x14ac:dyDescent="0.3">
      <c r="I219" s="20">
        <f t="shared" si="4"/>
        <v>0</v>
      </c>
    </row>
    <row r="220" spans="9:9" x14ac:dyDescent="0.3">
      <c r="I220" s="20">
        <f t="shared" si="4"/>
        <v>0</v>
      </c>
    </row>
    <row r="221" spans="9:9" x14ac:dyDescent="0.3">
      <c r="I221" s="20">
        <f t="shared" si="4"/>
        <v>0</v>
      </c>
    </row>
    <row r="222" spans="9:9" x14ac:dyDescent="0.3">
      <c r="I222" s="20">
        <f t="shared" si="4"/>
        <v>0</v>
      </c>
    </row>
    <row r="223" spans="9:9" x14ac:dyDescent="0.3">
      <c r="I223" s="20">
        <f t="shared" si="4"/>
        <v>0</v>
      </c>
    </row>
    <row r="224" spans="9:9" x14ac:dyDescent="0.3">
      <c r="I224" s="20">
        <f t="shared" si="4"/>
        <v>0</v>
      </c>
    </row>
    <row r="225" spans="9:9" x14ac:dyDescent="0.3">
      <c r="I225" s="20">
        <f t="shared" si="4"/>
        <v>0</v>
      </c>
    </row>
    <row r="226" spans="9:9" x14ac:dyDescent="0.3">
      <c r="I226" s="20">
        <f t="shared" si="4"/>
        <v>0</v>
      </c>
    </row>
    <row r="227" spans="9:9" x14ac:dyDescent="0.3">
      <c r="I227" s="20">
        <f t="shared" si="4"/>
        <v>0</v>
      </c>
    </row>
    <row r="228" spans="9:9" x14ac:dyDescent="0.3">
      <c r="I228" s="20">
        <f t="shared" si="4"/>
        <v>0</v>
      </c>
    </row>
    <row r="229" spans="9:9" x14ac:dyDescent="0.3">
      <c r="I229" s="20">
        <f t="shared" si="4"/>
        <v>0</v>
      </c>
    </row>
    <row r="230" spans="9:9" x14ac:dyDescent="0.3">
      <c r="I230" s="20">
        <f t="shared" si="4"/>
        <v>0</v>
      </c>
    </row>
    <row r="231" spans="9:9" x14ac:dyDescent="0.3">
      <c r="I231" s="20">
        <f t="shared" si="4"/>
        <v>0</v>
      </c>
    </row>
    <row r="232" spans="9:9" x14ac:dyDescent="0.3">
      <c r="I232" s="20">
        <f t="shared" si="4"/>
        <v>0</v>
      </c>
    </row>
    <row r="233" spans="9:9" x14ac:dyDescent="0.3">
      <c r="I233" s="20">
        <f t="shared" si="4"/>
        <v>0</v>
      </c>
    </row>
    <row r="234" spans="9:9" x14ac:dyDescent="0.3">
      <c r="I234" s="20">
        <f t="shared" si="4"/>
        <v>0</v>
      </c>
    </row>
    <row r="235" spans="9:9" x14ac:dyDescent="0.3">
      <c r="I235" s="20">
        <f t="shared" si="4"/>
        <v>0</v>
      </c>
    </row>
    <row r="236" spans="9:9" x14ac:dyDescent="0.3">
      <c r="I236" s="20">
        <f t="shared" si="4"/>
        <v>0</v>
      </c>
    </row>
    <row r="237" spans="9:9" x14ac:dyDescent="0.3">
      <c r="I237" s="20">
        <f t="shared" si="4"/>
        <v>0</v>
      </c>
    </row>
    <row r="238" spans="9:9" x14ac:dyDescent="0.3">
      <c r="I238" s="20">
        <f t="shared" si="4"/>
        <v>0</v>
      </c>
    </row>
    <row r="239" spans="9:9" x14ac:dyDescent="0.3">
      <c r="I239" s="20">
        <f t="shared" si="4"/>
        <v>0</v>
      </c>
    </row>
    <row r="240" spans="9:9" x14ac:dyDescent="0.3">
      <c r="I240" s="20">
        <f t="shared" si="4"/>
        <v>0</v>
      </c>
    </row>
    <row r="241" spans="9:9" x14ac:dyDescent="0.3">
      <c r="I241" s="20">
        <f t="shared" si="4"/>
        <v>0</v>
      </c>
    </row>
    <row r="242" spans="9:9" x14ac:dyDescent="0.3">
      <c r="I242" s="20">
        <f t="shared" si="4"/>
        <v>0</v>
      </c>
    </row>
    <row r="243" spans="9:9" x14ac:dyDescent="0.3">
      <c r="I243" s="20">
        <f t="shared" si="4"/>
        <v>0</v>
      </c>
    </row>
    <row r="244" spans="9:9" x14ac:dyDescent="0.3">
      <c r="I244" s="20">
        <f t="shared" si="4"/>
        <v>0</v>
      </c>
    </row>
    <row r="245" spans="9:9" x14ac:dyDescent="0.3">
      <c r="I245" s="20">
        <f t="shared" si="4"/>
        <v>0</v>
      </c>
    </row>
    <row r="246" spans="9:9" x14ac:dyDescent="0.3">
      <c r="I246" s="20">
        <f t="shared" si="4"/>
        <v>0</v>
      </c>
    </row>
    <row r="247" spans="9:9" x14ac:dyDescent="0.3">
      <c r="I247" s="20">
        <f t="shared" si="4"/>
        <v>0</v>
      </c>
    </row>
    <row r="248" spans="9:9" x14ac:dyDescent="0.3">
      <c r="I248" s="20">
        <f t="shared" si="4"/>
        <v>0</v>
      </c>
    </row>
    <row r="249" spans="9:9" x14ac:dyDescent="0.3">
      <c r="I249" s="20">
        <f t="shared" si="4"/>
        <v>0</v>
      </c>
    </row>
    <row r="250" spans="9:9" x14ac:dyDescent="0.3">
      <c r="I250" s="20">
        <f t="shared" si="4"/>
        <v>0</v>
      </c>
    </row>
    <row r="251" spans="9:9" x14ac:dyDescent="0.3">
      <c r="I251" s="20">
        <f t="shared" si="4"/>
        <v>0</v>
      </c>
    </row>
    <row r="252" spans="9:9" x14ac:dyDescent="0.3">
      <c r="I252" s="20">
        <f t="shared" si="4"/>
        <v>0</v>
      </c>
    </row>
    <row r="253" spans="9:9" x14ac:dyDescent="0.3">
      <c r="I253" s="20">
        <f t="shared" si="4"/>
        <v>0</v>
      </c>
    </row>
    <row r="254" spans="9:9" x14ac:dyDescent="0.3">
      <c r="I254" s="20">
        <f t="shared" si="4"/>
        <v>0</v>
      </c>
    </row>
    <row r="255" spans="9:9" x14ac:dyDescent="0.3">
      <c r="I255" s="20">
        <f t="shared" si="4"/>
        <v>0</v>
      </c>
    </row>
    <row r="256" spans="9:9" x14ac:dyDescent="0.3">
      <c r="I256" s="20">
        <f t="shared" si="4"/>
        <v>0</v>
      </c>
    </row>
    <row r="257" spans="9:9" x14ac:dyDescent="0.3">
      <c r="I257" s="20">
        <f t="shared" si="4"/>
        <v>0</v>
      </c>
    </row>
    <row r="258" spans="9:9" x14ac:dyDescent="0.3">
      <c r="I258" s="20">
        <f t="shared" si="4"/>
        <v>0</v>
      </c>
    </row>
    <row r="259" spans="9:9" x14ac:dyDescent="0.3">
      <c r="I259" s="20">
        <f t="shared" ref="I259:I322" si="5">VALUE(F259)</f>
        <v>0</v>
      </c>
    </row>
    <row r="260" spans="9:9" x14ac:dyDescent="0.3">
      <c r="I260" s="20">
        <f t="shared" si="5"/>
        <v>0</v>
      </c>
    </row>
    <row r="261" spans="9:9" x14ac:dyDescent="0.3">
      <c r="I261" s="20">
        <f t="shared" si="5"/>
        <v>0</v>
      </c>
    </row>
    <row r="262" spans="9:9" x14ac:dyDescent="0.3">
      <c r="I262" s="20">
        <f t="shared" si="5"/>
        <v>0</v>
      </c>
    </row>
    <row r="263" spans="9:9" x14ac:dyDescent="0.3">
      <c r="I263" s="20">
        <f t="shared" si="5"/>
        <v>0</v>
      </c>
    </row>
    <row r="264" spans="9:9" x14ac:dyDescent="0.3">
      <c r="I264" s="20">
        <f t="shared" si="5"/>
        <v>0</v>
      </c>
    </row>
    <row r="265" spans="9:9" x14ac:dyDescent="0.3">
      <c r="I265" s="20">
        <f t="shared" si="5"/>
        <v>0</v>
      </c>
    </row>
    <row r="266" spans="9:9" x14ac:dyDescent="0.3">
      <c r="I266" s="20">
        <f t="shared" si="5"/>
        <v>0</v>
      </c>
    </row>
    <row r="267" spans="9:9" x14ac:dyDescent="0.3">
      <c r="I267" s="20">
        <f t="shared" si="5"/>
        <v>0</v>
      </c>
    </row>
    <row r="268" spans="9:9" x14ac:dyDescent="0.3">
      <c r="I268" s="20">
        <f t="shared" si="5"/>
        <v>0</v>
      </c>
    </row>
    <row r="269" spans="9:9" x14ac:dyDescent="0.3">
      <c r="I269" s="20">
        <f t="shared" si="5"/>
        <v>0</v>
      </c>
    </row>
    <row r="270" spans="9:9" x14ac:dyDescent="0.3">
      <c r="I270" s="20">
        <f t="shared" si="5"/>
        <v>0</v>
      </c>
    </row>
    <row r="271" spans="9:9" x14ac:dyDescent="0.3">
      <c r="I271" s="20">
        <f t="shared" si="5"/>
        <v>0</v>
      </c>
    </row>
    <row r="272" spans="9:9" x14ac:dyDescent="0.3">
      <c r="I272" s="20">
        <f t="shared" si="5"/>
        <v>0</v>
      </c>
    </row>
    <row r="273" spans="9:9" x14ac:dyDescent="0.3">
      <c r="I273" s="20">
        <f t="shared" si="5"/>
        <v>0</v>
      </c>
    </row>
    <row r="274" spans="9:9" x14ac:dyDescent="0.3">
      <c r="I274" s="20">
        <f t="shared" si="5"/>
        <v>0</v>
      </c>
    </row>
    <row r="275" spans="9:9" x14ac:dyDescent="0.3">
      <c r="I275" s="20">
        <f t="shared" si="5"/>
        <v>0</v>
      </c>
    </row>
    <row r="276" spans="9:9" x14ac:dyDescent="0.3">
      <c r="I276" s="20">
        <f t="shared" si="5"/>
        <v>0</v>
      </c>
    </row>
    <row r="277" spans="9:9" x14ac:dyDescent="0.3">
      <c r="I277" s="20">
        <f t="shared" si="5"/>
        <v>0</v>
      </c>
    </row>
    <row r="278" spans="9:9" x14ac:dyDescent="0.3">
      <c r="I278" s="20">
        <f t="shared" si="5"/>
        <v>0</v>
      </c>
    </row>
    <row r="279" spans="9:9" x14ac:dyDescent="0.3">
      <c r="I279" s="20">
        <f t="shared" si="5"/>
        <v>0</v>
      </c>
    </row>
    <row r="280" spans="9:9" x14ac:dyDescent="0.3">
      <c r="I280" s="20">
        <f t="shared" si="5"/>
        <v>0</v>
      </c>
    </row>
    <row r="281" spans="9:9" x14ac:dyDescent="0.3">
      <c r="I281" s="20">
        <f t="shared" si="5"/>
        <v>0</v>
      </c>
    </row>
    <row r="282" spans="9:9" x14ac:dyDescent="0.3">
      <c r="I282" s="20">
        <f t="shared" si="5"/>
        <v>0</v>
      </c>
    </row>
    <row r="283" spans="9:9" x14ac:dyDescent="0.3">
      <c r="I283" s="20">
        <f t="shared" si="5"/>
        <v>0</v>
      </c>
    </row>
    <row r="284" spans="9:9" x14ac:dyDescent="0.3">
      <c r="I284" s="20">
        <f t="shared" si="5"/>
        <v>0</v>
      </c>
    </row>
    <row r="285" spans="9:9" x14ac:dyDescent="0.3">
      <c r="I285" s="20">
        <f t="shared" si="5"/>
        <v>0</v>
      </c>
    </row>
    <row r="286" spans="9:9" x14ac:dyDescent="0.3">
      <c r="I286" s="20">
        <f t="shared" si="5"/>
        <v>0</v>
      </c>
    </row>
    <row r="287" spans="9:9" x14ac:dyDescent="0.3">
      <c r="I287" s="20">
        <f t="shared" si="5"/>
        <v>0</v>
      </c>
    </row>
    <row r="288" spans="9:9" x14ac:dyDescent="0.3">
      <c r="I288" s="20">
        <f t="shared" si="5"/>
        <v>0</v>
      </c>
    </row>
    <row r="289" spans="9:9" x14ac:dyDescent="0.3">
      <c r="I289" s="20">
        <f t="shared" si="5"/>
        <v>0</v>
      </c>
    </row>
    <row r="290" spans="9:9" x14ac:dyDescent="0.3">
      <c r="I290" s="20">
        <f t="shared" si="5"/>
        <v>0</v>
      </c>
    </row>
    <row r="291" spans="9:9" x14ac:dyDescent="0.3">
      <c r="I291" s="20">
        <f t="shared" si="5"/>
        <v>0</v>
      </c>
    </row>
    <row r="292" spans="9:9" x14ac:dyDescent="0.3">
      <c r="I292" s="20">
        <f t="shared" si="5"/>
        <v>0</v>
      </c>
    </row>
    <row r="293" spans="9:9" x14ac:dyDescent="0.3">
      <c r="I293" s="20">
        <f t="shared" si="5"/>
        <v>0</v>
      </c>
    </row>
    <row r="294" spans="9:9" x14ac:dyDescent="0.3">
      <c r="I294" s="20">
        <f t="shared" si="5"/>
        <v>0</v>
      </c>
    </row>
    <row r="295" spans="9:9" x14ac:dyDescent="0.3">
      <c r="I295" s="20">
        <f t="shared" si="5"/>
        <v>0</v>
      </c>
    </row>
    <row r="296" spans="9:9" x14ac:dyDescent="0.3">
      <c r="I296" s="20">
        <f t="shared" si="5"/>
        <v>0</v>
      </c>
    </row>
    <row r="297" spans="9:9" x14ac:dyDescent="0.3">
      <c r="I297" s="20">
        <f t="shared" si="5"/>
        <v>0</v>
      </c>
    </row>
    <row r="298" spans="9:9" x14ac:dyDescent="0.3">
      <c r="I298" s="20">
        <f t="shared" si="5"/>
        <v>0</v>
      </c>
    </row>
    <row r="299" spans="9:9" x14ac:dyDescent="0.3">
      <c r="I299" s="20">
        <f t="shared" si="5"/>
        <v>0</v>
      </c>
    </row>
    <row r="300" spans="9:9" x14ac:dyDescent="0.3">
      <c r="I300" s="20">
        <f t="shared" si="5"/>
        <v>0</v>
      </c>
    </row>
    <row r="301" spans="9:9" x14ac:dyDescent="0.3">
      <c r="I301" s="20">
        <f t="shared" si="5"/>
        <v>0</v>
      </c>
    </row>
    <row r="302" spans="9:9" x14ac:dyDescent="0.3">
      <c r="I302" s="20">
        <f t="shared" si="5"/>
        <v>0</v>
      </c>
    </row>
    <row r="303" spans="9:9" x14ac:dyDescent="0.3">
      <c r="I303" s="20">
        <f t="shared" si="5"/>
        <v>0</v>
      </c>
    </row>
    <row r="304" spans="9:9" x14ac:dyDescent="0.3">
      <c r="I304" s="20">
        <f t="shared" si="5"/>
        <v>0</v>
      </c>
    </row>
    <row r="305" spans="9:9" x14ac:dyDescent="0.3">
      <c r="I305" s="20">
        <f t="shared" si="5"/>
        <v>0</v>
      </c>
    </row>
    <row r="306" spans="9:9" x14ac:dyDescent="0.3">
      <c r="I306" s="20">
        <f t="shared" si="5"/>
        <v>0</v>
      </c>
    </row>
    <row r="307" spans="9:9" x14ac:dyDescent="0.3">
      <c r="I307" s="20">
        <f t="shared" si="5"/>
        <v>0</v>
      </c>
    </row>
    <row r="308" spans="9:9" x14ac:dyDescent="0.3">
      <c r="I308" s="20">
        <f t="shared" si="5"/>
        <v>0</v>
      </c>
    </row>
    <row r="309" spans="9:9" x14ac:dyDescent="0.3">
      <c r="I309" s="20">
        <f t="shared" si="5"/>
        <v>0</v>
      </c>
    </row>
    <row r="310" spans="9:9" x14ac:dyDescent="0.3">
      <c r="I310" s="20">
        <f t="shared" si="5"/>
        <v>0</v>
      </c>
    </row>
    <row r="311" spans="9:9" x14ac:dyDescent="0.3">
      <c r="I311" s="20">
        <f t="shared" si="5"/>
        <v>0</v>
      </c>
    </row>
    <row r="312" spans="9:9" x14ac:dyDescent="0.3">
      <c r="I312" s="20">
        <f t="shared" si="5"/>
        <v>0</v>
      </c>
    </row>
    <row r="313" spans="9:9" x14ac:dyDescent="0.3">
      <c r="I313" s="20">
        <f t="shared" si="5"/>
        <v>0</v>
      </c>
    </row>
    <row r="314" spans="9:9" x14ac:dyDescent="0.3">
      <c r="I314" s="20">
        <f t="shared" si="5"/>
        <v>0</v>
      </c>
    </row>
    <row r="315" spans="9:9" x14ac:dyDescent="0.3">
      <c r="I315" s="20">
        <f t="shared" si="5"/>
        <v>0</v>
      </c>
    </row>
    <row r="316" spans="9:9" x14ac:dyDescent="0.3">
      <c r="I316" s="20">
        <f t="shared" si="5"/>
        <v>0</v>
      </c>
    </row>
    <row r="317" spans="9:9" x14ac:dyDescent="0.3">
      <c r="I317" s="20">
        <f t="shared" si="5"/>
        <v>0</v>
      </c>
    </row>
    <row r="318" spans="9:9" x14ac:dyDescent="0.3">
      <c r="I318" s="20">
        <f t="shared" si="5"/>
        <v>0</v>
      </c>
    </row>
    <row r="319" spans="9:9" x14ac:dyDescent="0.3">
      <c r="I319" s="20">
        <f t="shared" si="5"/>
        <v>0</v>
      </c>
    </row>
    <row r="320" spans="9:9" x14ac:dyDescent="0.3">
      <c r="I320" s="20">
        <f t="shared" si="5"/>
        <v>0</v>
      </c>
    </row>
    <row r="321" spans="9:9" x14ac:dyDescent="0.3">
      <c r="I321" s="20">
        <f t="shared" si="5"/>
        <v>0</v>
      </c>
    </row>
    <row r="322" spans="9:9" x14ac:dyDescent="0.3">
      <c r="I322" s="20">
        <f t="shared" si="5"/>
        <v>0</v>
      </c>
    </row>
    <row r="323" spans="9:9" x14ac:dyDescent="0.3">
      <c r="I323" s="20">
        <f t="shared" ref="I323:I381" si="6">VALUE(F323)</f>
        <v>0</v>
      </c>
    </row>
    <row r="324" spans="9:9" x14ac:dyDescent="0.3">
      <c r="I324" s="20">
        <f t="shared" si="6"/>
        <v>0</v>
      </c>
    </row>
    <row r="325" spans="9:9" x14ac:dyDescent="0.3">
      <c r="I325" s="20">
        <f t="shared" si="6"/>
        <v>0</v>
      </c>
    </row>
    <row r="326" spans="9:9" x14ac:dyDescent="0.3">
      <c r="I326" s="20">
        <f t="shared" si="6"/>
        <v>0</v>
      </c>
    </row>
    <row r="327" spans="9:9" x14ac:dyDescent="0.3">
      <c r="I327" s="20">
        <f t="shared" si="6"/>
        <v>0</v>
      </c>
    </row>
    <row r="328" spans="9:9" x14ac:dyDescent="0.3">
      <c r="I328" s="20">
        <f t="shared" si="6"/>
        <v>0</v>
      </c>
    </row>
    <row r="329" spans="9:9" x14ac:dyDescent="0.3">
      <c r="I329" s="20">
        <f t="shared" si="6"/>
        <v>0</v>
      </c>
    </row>
    <row r="330" spans="9:9" x14ac:dyDescent="0.3">
      <c r="I330" s="20">
        <f t="shared" si="6"/>
        <v>0</v>
      </c>
    </row>
    <row r="331" spans="9:9" x14ac:dyDescent="0.3">
      <c r="I331" s="20">
        <f t="shared" si="6"/>
        <v>0</v>
      </c>
    </row>
    <row r="332" spans="9:9" x14ac:dyDescent="0.3">
      <c r="I332" s="20">
        <f t="shared" si="6"/>
        <v>0</v>
      </c>
    </row>
    <row r="333" spans="9:9" x14ac:dyDescent="0.3">
      <c r="I333" s="20">
        <f t="shared" si="6"/>
        <v>0</v>
      </c>
    </row>
    <row r="334" spans="9:9" x14ac:dyDescent="0.3">
      <c r="I334" s="20">
        <f t="shared" si="6"/>
        <v>0</v>
      </c>
    </row>
    <row r="335" spans="9:9" x14ac:dyDescent="0.3">
      <c r="I335" s="20">
        <f t="shared" si="6"/>
        <v>0</v>
      </c>
    </row>
    <row r="336" spans="9:9" x14ac:dyDescent="0.3">
      <c r="I336" s="20">
        <f t="shared" si="6"/>
        <v>0</v>
      </c>
    </row>
    <row r="337" spans="9:9" x14ac:dyDescent="0.3">
      <c r="I337" s="20">
        <f t="shared" si="6"/>
        <v>0</v>
      </c>
    </row>
    <row r="338" spans="9:9" x14ac:dyDescent="0.3">
      <c r="I338" s="20">
        <f t="shared" si="6"/>
        <v>0</v>
      </c>
    </row>
    <row r="339" spans="9:9" x14ac:dyDescent="0.3">
      <c r="I339" s="20">
        <f t="shared" si="6"/>
        <v>0</v>
      </c>
    </row>
    <row r="340" spans="9:9" x14ac:dyDescent="0.3">
      <c r="I340" s="20">
        <f t="shared" si="6"/>
        <v>0</v>
      </c>
    </row>
    <row r="341" spans="9:9" x14ac:dyDescent="0.3">
      <c r="I341" s="20">
        <f t="shared" si="6"/>
        <v>0</v>
      </c>
    </row>
    <row r="342" spans="9:9" x14ac:dyDescent="0.3">
      <c r="I342" s="20">
        <f t="shared" si="6"/>
        <v>0</v>
      </c>
    </row>
    <row r="343" spans="9:9" x14ac:dyDescent="0.3">
      <c r="I343" s="20">
        <f t="shared" si="6"/>
        <v>0</v>
      </c>
    </row>
    <row r="344" spans="9:9" x14ac:dyDescent="0.3">
      <c r="I344" s="20">
        <f t="shared" si="6"/>
        <v>0</v>
      </c>
    </row>
    <row r="345" spans="9:9" x14ac:dyDescent="0.3">
      <c r="I345" s="20">
        <f t="shared" si="6"/>
        <v>0</v>
      </c>
    </row>
    <row r="346" spans="9:9" x14ac:dyDescent="0.3">
      <c r="I346" s="20">
        <f t="shared" si="6"/>
        <v>0</v>
      </c>
    </row>
    <row r="347" spans="9:9" x14ac:dyDescent="0.3">
      <c r="I347" s="20">
        <f t="shared" si="6"/>
        <v>0</v>
      </c>
    </row>
    <row r="348" spans="9:9" x14ac:dyDescent="0.3">
      <c r="I348" s="20">
        <f t="shared" si="6"/>
        <v>0</v>
      </c>
    </row>
    <row r="349" spans="9:9" x14ac:dyDescent="0.3">
      <c r="I349" s="20">
        <f t="shared" si="6"/>
        <v>0</v>
      </c>
    </row>
    <row r="350" spans="9:9" x14ac:dyDescent="0.3">
      <c r="I350" s="20">
        <f t="shared" si="6"/>
        <v>0</v>
      </c>
    </row>
    <row r="351" spans="9:9" x14ac:dyDescent="0.3">
      <c r="I351" s="20">
        <f t="shared" si="6"/>
        <v>0</v>
      </c>
    </row>
    <row r="352" spans="9:9" x14ac:dyDescent="0.3">
      <c r="I352" s="20">
        <f t="shared" si="6"/>
        <v>0</v>
      </c>
    </row>
    <row r="353" spans="9:9" x14ac:dyDescent="0.3">
      <c r="I353" s="20">
        <f t="shared" si="6"/>
        <v>0</v>
      </c>
    </row>
    <row r="354" spans="9:9" x14ac:dyDescent="0.3">
      <c r="I354" s="20">
        <f t="shared" si="6"/>
        <v>0</v>
      </c>
    </row>
    <row r="355" spans="9:9" x14ac:dyDescent="0.3">
      <c r="I355" s="20">
        <f t="shared" si="6"/>
        <v>0</v>
      </c>
    </row>
    <row r="356" spans="9:9" x14ac:dyDescent="0.3">
      <c r="I356" s="20">
        <f t="shared" si="6"/>
        <v>0</v>
      </c>
    </row>
    <row r="357" spans="9:9" x14ac:dyDescent="0.3">
      <c r="I357" s="20">
        <f t="shared" si="6"/>
        <v>0</v>
      </c>
    </row>
    <row r="358" spans="9:9" x14ac:dyDescent="0.3">
      <c r="I358" s="20">
        <f t="shared" si="6"/>
        <v>0</v>
      </c>
    </row>
    <row r="359" spans="9:9" x14ac:dyDescent="0.3">
      <c r="I359" s="20">
        <f t="shared" si="6"/>
        <v>0</v>
      </c>
    </row>
    <row r="360" spans="9:9" x14ac:dyDescent="0.3">
      <c r="I360" s="20">
        <f t="shared" si="6"/>
        <v>0</v>
      </c>
    </row>
    <row r="361" spans="9:9" x14ac:dyDescent="0.3">
      <c r="I361" s="20">
        <f t="shared" si="6"/>
        <v>0</v>
      </c>
    </row>
    <row r="362" spans="9:9" x14ac:dyDescent="0.3">
      <c r="I362" s="20">
        <f t="shared" si="6"/>
        <v>0</v>
      </c>
    </row>
    <row r="363" spans="9:9" x14ac:dyDescent="0.3">
      <c r="I363" s="20">
        <f t="shared" si="6"/>
        <v>0</v>
      </c>
    </row>
    <row r="364" spans="9:9" x14ac:dyDescent="0.3">
      <c r="I364" s="20">
        <f t="shared" si="6"/>
        <v>0</v>
      </c>
    </row>
    <row r="365" spans="9:9" x14ac:dyDescent="0.3">
      <c r="I365" s="20">
        <f t="shared" si="6"/>
        <v>0</v>
      </c>
    </row>
    <row r="366" spans="9:9" x14ac:dyDescent="0.3">
      <c r="I366" s="20">
        <f t="shared" si="6"/>
        <v>0</v>
      </c>
    </row>
    <row r="367" spans="9:9" x14ac:dyDescent="0.3">
      <c r="I367" s="20">
        <f t="shared" si="6"/>
        <v>0</v>
      </c>
    </row>
    <row r="368" spans="9:9" x14ac:dyDescent="0.3">
      <c r="I368" s="20">
        <f t="shared" si="6"/>
        <v>0</v>
      </c>
    </row>
    <row r="369" spans="9:10" x14ac:dyDescent="0.3">
      <c r="I369" s="20">
        <f t="shared" si="6"/>
        <v>0</v>
      </c>
    </row>
    <row r="370" spans="9:10" x14ac:dyDescent="0.3">
      <c r="I370" s="20">
        <f t="shared" si="6"/>
        <v>0</v>
      </c>
    </row>
    <row r="371" spans="9:10" x14ac:dyDescent="0.3">
      <c r="I371" s="20">
        <f t="shared" si="6"/>
        <v>0</v>
      </c>
    </row>
    <row r="372" spans="9:10" x14ac:dyDescent="0.3">
      <c r="I372" s="20">
        <f t="shared" si="6"/>
        <v>0</v>
      </c>
    </row>
    <row r="373" spans="9:10" x14ac:dyDescent="0.3">
      <c r="I373" s="20">
        <f t="shared" si="6"/>
        <v>0</v>
      </c>
    </row>
    <row r="374" spans="9:10" x14ac:dyDescent="0.3">
      <c r="I374" s="20">
        <f t="shared" si="6"/>
        <v>0</v>
      </c>
    </row>
    <row r="375" spans="9:10" x14ac:dyDescent="0.3">
      <c r="I375" s="20">
        <f t="shared" si="6"/>
        <v>0</v>
      </c>
    </row>
    <row r="376" spans="9:10" x14ac:dyDescent="0.3">
      <c r="I376" s="20">
        <f t="shared" si="6"/>
        <v>0</v>
      </c>
      <c r="J376" s="1"/>
    </row>
    <row r="377" spans="9:10" x14ac:dyDescent="0.3">
      <c r="I377" s="20">
        <f t="shared" si="6"/>
        <v>0</v>
      </c>
      <c r="J377" s="3"/>
    </row>
    <row r="378" spans="9:10" x14ac:dyDescent="0.3">
      <c r="I378" s="20">
        <f t="shared" si="6"/>
        <v>0</v>
      </c>
      <c r="J378" s="3"/>
    </row>
    <row r="379" spans="9:10" x14ac:dyDescent="0.3">
      <c r="I379" s="20">
        <f t="shared" si="6"/>
        <v>0</v>
      </c>
      <c r="J379" s="3"/>
    </row>
    <row r="380" spans="9:10" x14ac:dyDescent="0.3">
      <c r="I380" s="20">
        <f t="shared" si="6"/>
        <v>0</v>
      </c>
      <c r="J380" s="3"/>
    </row>
    <row r="381" spans="9:10" x14ac:dyDescent="0.3">
      <c r="I381" s="20">
        <f t="shared" si="6"/>
        <v>0</v>
      </c>
      <c r="J381" s="3"/>
    </row>
    <row r="382" spans="9:10" x14ac:dyDescent="0.3">
      <c r="I382" s="21"/>
      <c r="J382" s="2"/>
    </row>
    <row r="383" spans="9:10" x14ac:dyDescent="0.3">
      <c r="J383" s="1"/>
    </row>
    <row r="384" spans="9:10" x14ac:dyDescent="0.3">
      <c r="I384" s="19"/>
      <c r="J384" s="1"/>
    </row>
    <row r="385" spans="9:10" ht="17" customHeight="1" x14ac:dyDescent="0.3">
      <c r="I385" s="19"/>
      <c r="J385" s="1"/>
    </row>
    <row r="386" spans="9:10" ht="18.5" customHeight="1" x14ac:dyDescent="0.3">
      <c r="I386" s="19"/>
      <c r="J386" s="1"/>
    </row>
    <row r="387" spans="9:10" ht="34" customHeight="1" x14ac:dyDescent="0.3">
      <c r="I387" s="22"/>
      <c r="J387" s="4"/>
    </row>
    <row r="388" spans="9:10" ht="18" customHeight="1" x14ac:dyDescent="0.3">
      <c r="I388" s="23"/>
      <c r="J388" s="5"/>
    </row>
    <row r="389" spans="9:10" ht="46" customHeight="1" x14ac:dyDescent="0.3">
      <c r="I389" s="23"/>
      <c r="J389" s="5"/>
    </row>
    <row r="390" spans="9:10" ht="11.25" customHeight="1" x14ac:dyDescent="0.3">
      <c r="I390" s="23"/>
      <c r="J390" s="5"/>
    </row>
  </sheetData>
  <autoFilter ref="K1:L381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D3F2-FF12-48F9-BF41-01798881331A}">
  <dimension ref="B1:Q27"/>
  <sheetViews>
    <sheetView showGridLines="0" tabSelected="1" topLeftCell="A13" zoomScale="115" zoomScaleNormal="115" workbookViewId="0">
      <selection activeCell="I28" sqref="I28"/>
    </sheetView>
  </sheetViews>
  <sheetFormatPr defaultColWidth="11.19921875" defaultRowHeight="13" x14ac:dyDescent="0.3"/>
  <cols>
    <col min="1" max="1" width="4.69921875" customWidth="1"/>
    <col min="2" max="2" width="4.796875" customWidth="1"/>
    <col min="6" max="6" width="13.8984375" bestFit="1" customWidth="1"/>
    <col min="7" max="7" width="12.796875" bestFit="1" customWidth="1"/>
    <col min="8" max="8" width="14.8984375" bestFit="1" customWidth="1"/>
    <col min="9" max="9" width="16.3984375" bestFit="1" customWidth="1"/>
    <col min="10" max="10" width="12.796875" bestFit="1" customWidth="1"/>
    <col min="11" max="11" width="11.19921875" style="12"/>
  </cols>
  <sheetData>
    <row r="1" spans="2:17" x14ac:dyDescent="0.3">
      <c r="F1" s="10"/>
      <c r="G1" s="10"/>
      <c r="H1" s="10"/>
      <c r="I1" s="10"/>
      <c r="J1" s="10"/>
    </row>
    <row r="2" spans="2:17" x14ac:dyDescent="0.3">
      <c r="B2" s="8" t="s">
        <v>27</v>
      </c>
      <c r="F2" s="10"/>
      <c r="G2" s="10"/>
      <c r="H2" s="10"/>
      <c r="I2" s="10"/>
      <c r="J2" s="13" t="s">
        <v>30</v>
      </c>
      <c r="K2" s="14" t="s">
        <v>31</v>
      </c>
    </row>
    <row r="3" spans="2:17" x14ac:dyDescent="0.3">
      <c r="B3" s="8"/>
      <c r="F3" s="10"/>
      <c r="G3" s="10"/>
      <c r="H3" s="10"/>
      <c r="I3" s="10"/>
      <c r="J3" s="10"/>
    </row>
    <row r="4" spans="2:17" x14ac:dyDescent="0.3">
      <c r="B4" t="s">
        <v>3</v>
      </c>
      <c r="F4" s="10">
        <v>1</v>
      </c>
      <c r="G4" s="10">
        <v>2</v>
      </c>
      <c r="H4" s="10">
        <v>3</v>
      </c>
      <c r="I4" s="10">
        <v>4</v>
      </c>
      <c r="J4" s="10">
        <v>5</v>
      </c>
      <c r="K4" s="12">
        <v>6</v>
      </c>
      <c r="L4">
        <v>7</v>
      </c>
      <c r="M4">
        <v>8</v>
      </c>
      <c r="N4">
        <v>9</v>
      </c>
      <c r="O4">
        <v>10</v>
      </c>
      <c r="P4">
        <v>11</v>
      </c>
      <c r="Q4">
        <v>12</v>
      </c>
    </row>
    <row r="5" spans="2:17" x14ac:dyDescent="0.3">
      <c r="B5" s="9" t="s">
        <v>22</v>
      </c>
      <c r="C5" t="s">
        <v>1</v>
      </c>
      <c r="F5" s="11">
        <f>(SUMIFS(nairaGlobus!$G:$G, nairaGlobus!$K:$K,cashflow!$B$5, nairaGlobus!$L:$L, F4))/1000</f>
        <v>0</v>
      </c>
      <c r="G5" s="11">
        <f>(SUMIFS(nairaGlobus!$G:$G, nairaGlobus!$K:$K,cashflow!$B$5, nairaGlobus!$L:$L, G4))/1000</f>
        <v>0</v>
      </c>
      <c r="H5" s="11">
        <f>(SUMIFS(nairaGlobus!$G:$G, nairaGlobus!$K:$K,cashflow!$B$5, nairaGlobus!$L:$L, H4))/1000</f>
        <v>0</v>
      </c>
      <c r="I5" s="11">
        <f>(SUMIFS(nairaGlobus!$G:$G, nairaGlobus!$K:$K,cashflow!$B$5, nairaGlobus!$L:$L, I4))/1000</f>
        <v>0</v>
      </c>
      <c r="J5" s="11">
        <f>(SUMIFS(nairaGlobus!$G:$G, nairaGlobus!$K:$K,cashflow!$B$5, nairaGlobus!$L:$L, J4))/1000</f>
        <v>0</v>
      </c>
    </row>
    <row r="6" spans="2:17" x14ac:dyDescent="0.3">
      <c r="B6" s="9" t="s">
        <v>23</v>
      </c>
      <c r="C6" t="s">
        <v>2</v>
      </c>
      <c r="F6" s="11">
        <f>(SUMIFS(nairaGlobus!$G:$G, nairaGlobus!$K:$K,cashflow!$B$6, nairaGlobus!$L:$L, F4))/1000</f>
        <v>0</v>
      </c>
      <c r="G6" s="11">
        <f>(SUMIFS(nairaGlobus!$G:$G, nairaGlobus!$K:$K,cashflow!$B$6, nairaGlobus!$L:$L, G4))/1000</f>
        <v>0</v>
      </c>
      <c r="H6" s="11">
        <f>(SUMIFS(nairaGlobus!$G:$G, nairaGlobus!$K:$K,cashflow!$B$6, nairaGlobus!$L:$L, H4))/1000</f>
        <v>660020</v>
      </c>
      <c r="I6" s="11">
        <f>(SUMIFS(nairaGlobus!$G:$G, nairaGlobus!$K:$K,cashflow!$B$6, nairaGlobus!$L:$L, I4))/1000</f>
        <v>0</v>
      </c>
      <c r="J6" s="11">
        <f>(SUMIFS(nairaGlobus!$G:$G, nairaGlobus!$K:$K,cashflow!$B$6, nairaGlobus!$L:$L, J4))/1000</f>
        <v>0</v>
      </c>
    </row>
    <row r="7" spans="2:17" x14ac:dyDescent="0.3">
      <c r="F7" s="11"/>
      <c r="G7" s="11"/>
      <c r="H7" s="11"/>
      <c r="I7" s="11"/>
      <c r="J7" s="11"/>
    </row>
    <row r="8" spans="2:17" x14ac:dyDescent="0.3">
      <c r="B8" s="15" t="s">
        <v>33</v>
      </c>
      <c r="C8" s="15"/>
      <c r="D8" s="15"/>
      <c r="E8" s="15"/>
      <c r="F8" s="16">
        <f>SUM(F5:F6)</f>
        <v>0</v>
      </c>
      <c r="G8" s="16">
        <f t="shared" ref="G8:J8" si="0">SUM(G5:G6)</f>
        <v>0</v>
      </c>
      <c r="H8" s="16">
        <f t="shared" si="0"/>
        <v>660020</v>
      </c>
      <c r="I8" s="16">
        <f t="shared" si="0"/>
        <v>0</v>
      </c>
      <c r="J8" s="16">
        <f t="shared" si="0"/>
        <v>0</v>
      </c>
    </row>
    <row r="9" spans="2:17" x14ac:dyDescent="0.3">
      <c r="F9" s="11"/>
      <c r="G9" s="11"/>
      <c r="H9" s="11"/>
      <c r="I9" s="11"/>
      <c r="J9" s="11"/>
    </row>
    <row r="10" spans="2:17" x14ac:dyDescent="0.3">
      <c r="B10" t="s">
        <v>4</v>
      </c>
      <c r="F10" s="11"/>
      <c r="G10" s="11"/>
      <c r="H10" s="11"/>
      <c r="I10" s="11"/>
      <c r="J10" s="11"/>
    </row>
    <row r="11" spans="2:17" x14ac:dyDescent="0.3">
      <c r="B11" s="9" t="s">
        <v>24</v>
      </c>
      <c r="C11" t="s">
        <v>21</v>
      </c>
      <c r="F11" s="11">
        <f>(SUMIFS(nairaGlobus!$F:$F, nairaGlobus!$K:$K, $B$11, nairaGlobus!$L:$L, F4))/1000</f>
        <v>0</v>
      </c>
      <c r="G11" s="11">
        <f>(SUMIFS(nairaGlobus!$F:$F, nairaGlobus!$K:$K, $B$11, nairaGlobus!$L:$L, G4))/1000</f>
        <v>0</v>
      </c>
      <c r="H11" s="11">
        <f>(SUMIFS(nairaGlobus!$F:$F, nairaGlobus!$K:$K, $B$11, nairaGlobus!$L:$L, H4))/1000</f>
        <v>0</v>
      </c>
      <c r="I11" s="11">
        <f>(SUMIFS(nairaGlobus!$F:$F, nairaGlobus!$K:$K, $B$11, nairaGlobus!$L:$L, I4))/1000</f>
        <v>100000</v>
      </c>
      <c r="J11" s="11">
        <f>(SUMIFS(nairaGlobus!$F:$F, nairaGlobus!$K:$K, $B$11, nairaGlobus!$L:$L, J4))/1000</f>
        <v>0</v>
      </c>
    </row>
    <row r="12" spans="2:17" x14ac:dyDescent="0.3">
      <c r="B12" s="9" t="s">
        <v>68</v>
      </c>
      <c r="C12" t="s">
        <v>69</v>
      </c>
      <c r="F12" s="11">
        <f>(SUMIFS(nairaGlobus!$F:$F, nairaGlobus!$K:$K, $B$12, nairaGlobus!$L:$L, F4))/1000</f>
        <v>0</v>
      </c>
      <c r="G12" s="11">
        <f>(SUMIFS(nairaGlobus!$F:$F, nairaGlobus!$K:$K, $B$12, nairaGlobus!$L:$L, G4))/1000</f>
        <v>0</v>
      </c>
      <c r="H12" s="11">
        <f>(SUMIFS(nairaGlobus!$F:$F, nairaGlobus!$K:$K, $B$12, nairaGlobus!$L:$L, H4))/1000</f>
        <v>500000</v>
      </c>
      <c r="I12" s="11">
        <f>(SUMIFS(nairaGlobus!$F:$F, nairaGlobus!$K:$K, $B$12, nairaGlobus!$L:$L, I4))/1000</f>
        <v>0</v>
      </c>
      <c r="J12" s="11">
        <f>(SUMIFS(nairaGlobus!$F:$F, nairaGlobus!$K:$K, $B$12, nairaGlobus!$L:$L, J4))/1000</f>
        <v>0</v>
      </c>
    </row>
    <row r="13" spans="2:17" x14ac:dyDescent="0.3">
      <c r="B13" s="9" t="s">
        <v>11</v>
      </c>
      <c r="C13" t="s">
        <v>6</v>
      </c>
      <c r="F13" s="11">
        <f>(SUMIFS(nairaGlobus!$F:$F, nairaGlobus!$K:$K, $B$13, nairaGlobus!$L:$L, F4))/1000</f>
        <v>0</v>
      </c>
      <c r="G13" s="11">
        <f>(SUMIFS(nairaGlobus!$F:$F, nairaGlobus!$K:$K, $B$13, nairaGlobus!$L:$L, G4))/1000</f>
        <v>0</v>
      </c>
      <c r="H13" s="11">
        <f>(SUMIFS(nairaGlobus!$F:$F, nairaGlobus!$K:$K, $B$13, nairaGlobus!$L:$L, H4))/1000</f>
        <v>0</v>
      </c>
      <c r="I13" s="11">
        <f>(SUMIFS(nairaGlobus!$F:$F, nairaGlobus!$K:$K, $B$13, nairaGlobus!$L:$L, I4))/1000</f>
        <v>0</v>
      </c>
      <c r="J13" s="11">
        <f>(SUMIFS(nairaGlobus!$F:$F, nairaGlobus!$K:$K, $B$13, nairaGlobus!$L:$L, J4))/1000</f>
        <v>0</v>
      </c>
    </row>
    <row r="14" spans="2:17" x14ac:dyDescent="0.3">
      <c r="B14" s="9" t="s">
        <v>12</v>
      </c>
      <c r="C14" t="s">
        <v>5</v>
      </c>
      <c r="F14" s="11">
        <f>(SUMIFS(nairaGlobus!$F:$F, nairaGlobus!$K:$K, $B$14, nairaGlobus!$L:$L, F4))/1000</f>
        <v>0</v>
      </c>
      <c r="G14" s="11">
        <f>(SUMIFS(nairaGlobus!$F:$F, nairaGlobus!$K:$K, $B$14, nairaGlobus!$L:$L, G4))/1000</f>
        <v>0</v>
      </c>
      <c r="H14" s="11">
        <f>(SUMIFS(nairaGlobus!$F:$F, nairaGlobus!$K:$K, $B$14, nairaGlobus!$L:$L, H4))/1000</f>
        <v>0</v>
      </c>
      <c r="I14" s="11">
        <f>(SUMIFS(nairaGlobus!$F:$F, nairaGlobus!$K:$K, $B$14, nairaGlobus!$L:$L, I4))/1000</f>
        <v>0</v>
      </c>
      <c r="J14" s="11">
        <f>(SUMIFS(nairaGlobus!$F:$F, nairaGlobus!$K:$K, $B$14, nairaGlobus!$L:$L, J4))/1000</f>
        <v>0</v>
      </c>
    </row>
    <row r="15" spans="2:17" x14ac:dyDescent="0.3">
      <c r="B15" s="9" t="s">
        <v>20</v>
      </c>
      <c r="C15" s="8" t="s">
        <v>32</v>
      </c>
      <c r="F15" s="11">
        <f>(SUMIFS(nairaGlobus!$F:$F, nairaGlobus!$K:$K, $B$15, nairaGlobus!$L:$L, F4))/1000</f>
        <v>0</v>
      </c>
      <c r="G15" s="11">
        <f>(SUMIFS(nairaGlobus!$F:$F, nairaGlobus!$K:$K, $B$15, nairaGlobus!$L:$L, G4))/1000</f>
        <v>0</v>
      </c>
      <c r="H15" s="11">
        <f>(SUMIFS(nairaGlobus!$F:$F, nairaGlobus!$K:$K, $B$15, nairaGlobus!$L:$L, H4))/1000</f>
        <v>0</v>
      </c>
      <c r="I15" s="11">
        <f>(SUMIFS(nairaGlobus!$F:$F, nairaGlobus!$K:$K, $B$15, nairaGlobus!$L:$L, I4))/1000</f>
        <v>0</v>
      </c>
      <c r="J15" s="11">
        <f>(SUMIFS(nairaGlobus!$F:$F, nairaGlobus!$K:$K, $B$15, nairaGlobus!$L:$L, J4))/1000</f>
        <v>0</v>
      </c>
    </row>
    <row r="16" spans="2:17" x14ac:dyDescent="0.3">
      <c r="B16" s="9" t="s">
        <v>14</v>
      </c>
      <c r="C16" t="s">
        <v>7</v>
      </c>
      <c r="F16" s="11">
        <f>(SUMIFS(nairaGlobus!$F:$F, nairaGlobus!$K:$K, $B$16, nairaGlobus!$L:$L, F4))/1000</f>
        <v>0</v>
      </c>
      <c r="G16" s="11">
        <f>(SUMIFS(nairaGlobus!$F:$F, nairaGlobus!$K:$K, $B$16, nairaGlobus!$L:$L, G4))/1000</f>
        <v>0</v>
      </c>
      <c r="H16" s="11">
        <f>(SUMIFS(nairaGlobus!$F:$F, nairaGlobus!$K:$K, $B$16, nairaGlobus!$L:$L, H4))/1000</f>
        <v>0</v>
      </c>
      <c r="I16" s="11">
        <f>(SUMIFS(nairaGlobus!$F:$F, nairaGlobus!$K:$K, $B$16, nairaGlobus!$L:$L, I4))/1000</f>
        <v>0</v>
      </c>
      <c r="J16" s="11">
        <f>(SUMIFS(nairaGlobus!$F:$F, nairaGlobus!$K:$K, $B$16, nairaGlobus!$L:$L, J4))/1000</f>
        <v>0</v>
      </c>
    </row>
    <row r="17" spans="2:10" x14ac:dyDescent="0.3">
      <c r="B17" s="9" t="s">
        <v>15</v>
      </c>
      <c r="C17" t="s">
        <v>8</v>
      </c>
      <c r="F17" s="11">
        <f>(SUMIFS(nairaGlobus!$F:$F, nairaGlobus!$K:$K, $B$17, nairaGlobus!$L:$L, F4))/1000</f>
        <v>0</v>
      </c>
      <c r="G17" s="11">
        <f>(SUMIFS(nairaGlobus!$F:$F, nairaGlobus!$K:$K, $B$17, nairaGlobus!$L:$L, G4))/1000</f>
        <v>0</v>
      </c>
      <c r="H17" s="11">
        <f>(SUMIFS(nairaGlobus!$F:$F, nairaGlobus!$K:$K, $B$17, nairaGlobus!$L:$L, H4))/1000</f>
        <v>0</v>
      </c>
      <c r="I17" s="11">
        <f>(SUMIFS(nairaGlobus!$F:$F, nairaGlobus!$K:$K, $B$17, nairaGlobus!$L:$L, I4))/1000</f>
        <v>0</v>
      </c>
      <c r="J17" s="11">
        <f>(SUMIFS(nairaGlobus!$F:$F, nairaGlobus!$K:$K, $B$17, nairaGlobus!$L:$L, J4))/1000</f>
        <v>0</v>
      </c>
    </row>
    <row r="18" spans="2:10" x14ac:dyDescent="0.3">
      <c r="B18" s="9" t="s">
        <v>18</v>
      </c>
      <c r="C18" t="s">
        <v>17</v>
      </c>
      <c r="F18" s="11">
        <f>(SUMIFS(nairaGlobus!$F:$F, nairaGlobus!$K:$K, $B$18, nairaGlobus!$L:$L, F4))/1000</f>
        <v>0</v>
      </c>
      <c r="G18" s="11">
        <f>(SUMIFS(nairaGlobus!$F:$F, nairaGlobus!$K:$K, $B$18, nairaGlobus!$L:$L, G4))/1000</f>
        <v>0</v>
      </c>
      <c r="H18" s="11">
        <f>(SUMIFS(nairaGlobus!$F:$F, nairaGlobus!$K:$K, $B$18, nairaGlobus!$L:$L, H4))/1000</f>
        <v>0</v>
      </c>
      <c r="I18" s="11">
        <f>(SUMIFS(nairaGlobus!$F:$F, nairaGlobus!$K:$K, $B$18, nairaGlobus!$L:$L, I4))/1000</f>
        <v>0</v>
      </c>
      <c r="J18" s="11">
        <f>(SUMIFS(nairaGlobus!$F:$F, nairaGlobus!$K:$K, $B$18, nairaGlobus!$L:$L, J4))/1000</f>
        <v>0</v>
      </c>
    </row>
    <row r="19" spans="2:10" x14ac:dyDescent="0.3">
      <c r="B19" s="9" t="s">
        <v>13</v>
      </c>
      <c r="C19" t="s">
        <v>10</v>
      </c>
      <c r="F19" s="11">
        <f>(SUMIFS(nairaGlobus!$F:$F, nairaGlobus!$K:$K, $B$19, nairaGlobus!$L:$L, F4))/1000</f>
        <v>0</v>
      </c>
      <c r="G19" s="11">
        <f>(SUMIFS(nairaGlobus!$F:$F, nairaGlobus!$K:$K, $B$19, nairaGlobus!$L:$L, G4))/1000</f>
        <v>0</v>
      </c>
      <c r="H19" s="11">
        <f>(SUMIFS(nairaGlobus!$F:$F, nairaGlobus!$K:$K, $B$19, nairaGlobus!$L:$L, H4))/1000</f>
        <v>0</v>
      </c>
      <c r="I19" s="11">
        <f>(SUMIFS(nairaGlobus!$F:$F, nairaGlobus!$K:$K, $B$19, nairaGlobus!$L:$L, I4))/1000</f>
        <v>0</v>
      </c>
      <c r="J19" s="11">
        <f>(SUMIFS(nairaGlobus!$F:$F, nairaGlobus!$K:$K, $B$19, nairaGlobus!$L:$L, J4))/1000</f>
        <v>0</v>
      </c>
    </row>
    <row r="20" spans="2:10" x14ac:dyDescent="0.3">
      <c r="B20" s="9" t="s">
        <v>16</v>
      </c>
      <c r="C20" t="s">
        <v>9</v>
      </c>
      <c r="F20" s="11">
        <f>(SUMIFS(nairaGlobus!$F:$F, nairaGlobus!$K:$K, $B$20, nairaGlobus!$L:$L, F4))/1000</f>
        <v>0</v>
      </c>
      <c r="G20" s="11">
        <f>(SUMIFS(nairaGlobus!$F:$F, nairaGlobus!$K:$K, $B$20, nairaGlobus!$L:$L, G4))/1000</f>
        <v>0</v>
      </c>
      <c r="H20" s="11">
        <f>(SUMIFS(nairaGlobus!$F:$F, nairaGlobus!$K:$K, $B$20, nairaGlobus!$L:$L, H4))/1000</f>
        <v>0</v>
      </c>
      <c r="I20" s="11">
        <f>(SUMIFS(nairaGlobus!$F:$F, nairaGlobus!$K:$K, $B$20, nairaGlobus!$L:$L, I4))/1000</f>
        <v>0</v>
      </c>
      <c r="J20" s="11">
        <f>(SUMIFS(nairaGlobus!$F:$F, nairaGlobus!$K:$K, $B$20, nairaGlobus!$L:$L, J4))/1000</f>
        <v>0</v>
      </c>
    </row>
    <row r="21" spans="2:10" x14ac:dyDescent="0.3">
      <c r="B21" s="9" t="s">
        <v>25</v>
      </c>
      <c r="C21" s="8" t="s">
        <v>26</v>
      </c>
      <c r="F21" s="11">
        <f>(SUMIFS(nairaGlobus!$F:$F, nairaGlobus!$K:$K, $B$21, nairaGlobus!$L:$L, F4))/1000</f>
        <v>0</v>
      </c>
      <c r="G21" s="11">
        <f>(SUMIFS(nairaGlobus!$F:$F, nairaGlobus!$K:$K, $B$21, nairaGlobus!$L:$L, G4))/1000</f>
        <v>0</v>
      </c>
      <c r="H21" s="11">
        <f>(SUMIFS(nairaGlobus!$F:$F, nairaGlobus!$K:$K, $B$21, nairaGlobus!$L:$L, H4))/1000</f>
        <v>10.048</v>
      </c>
      <c r="I21" s="11">
        <f>(SUMIFS(nairaGlobus!$F:$F, nairaGlobus!$K:$K, $B$21, nairaGlobus!$L:$L, I4))/1000</f>
        <v>0.10375</v>
      </c>
      <c r="J21" s="11">
        <f>(SUMIFS(nairaGlobus!$F:$F, nairaGlobus!$K:$K, $B$21, nairaGlobus!$L:$L, J4))/1000</f>
        <v>0</v>
      </c>
    </row>
    <row r="23" spans="2:10" x14ac:dyDescent="0.3">
      <c r="C23" s="15" t="s">
        <v>34</v>
      </c>
      <c r="D23" s="15"/>
      <c r="E23" s="15"/>
      <c r="F23" s="17">
        <f>SUM(F11:F21)</f>
        <v>0</v>
      </c>
      <c r="G23" s="17">
        <f t="shared" ref="G23:J23" si="1">SUM(G11:G21)</f>
        <v>0</v>
      </c>
      <c r="H23" s="17">
        <f t="shared" si="1"/>
        <v>500010.04800000001</v>
      </c>
      <c r="I23" s="17">
        <f t="shared" si="1"/>
        <v>100000.10374999999</v>
      </c>
      <c r="J23" s="17">
        <f t="shared" si="1"/>
        <v>0</v>
      </c>
    </row>
    <row r="24" spans="2:10" x14ac:dyDescent="0.3">
      <c r="F24" s="18"/>
      <c r="G24" s="18"/>
      <c r="H24" s="18"/>
      <c r="I24" s="18"/>
      <c r="J24" s="18"/>
    </row>
    <row r="25" spans="2:10" x14ac:dyDescent="0.3">
      <c r="C25" s="15" t="s">
        <v>35</v>
      </c>
      <c r="D25" s="15"/>
      <c r="E25" s="15"/>
      <c r="F25" s="17">
        <f>F8-F23</f>
        <v>0</v>
      </c>
      <c r="G25" s="17">
        <f t="shared" ref="G25:J25" si="2">G8-G23</f>
        <v>0</v>
      </c>
      <c r="H25" s="17">
        <f t="shared" si="2"/>
        <v>160009.95199999999</v>
      </c>
      <c r="I25" s="17">
        <f>H25+I8-I23</f>
        <v>60009.848249999995</v>
      </c>
      <c r="J25" s="17">
        <f t="shared" si="2"/>
        <v>0</v>
      </c>
    </row>
    <row r="26" spans="2:10" x14ac:dyDescent="0.3">
      <c r="F26" s="18"/>
      <c r="G26" s="18"/>
      <c r="H26" s="18"/>
      <c r="I26" s="18"/>
      <c r="J26" s="18"/>
    </row>
    <row r="27" spans="2:10" x14ac:dyDescent="0.3">
      <c r="C27" s="15" t="s">
        <v>37</v>
      </c>
      <c r="D27" s="15"/>
      <c r="E27" s="15"/>
      <c r="F27" s="24">
        <v>0</v>
      </c>
      <c r="G27" s="24">
        <v>0</v>
      </c>
      <c r="H27" s="28">
        <f>(SUM(nairaGlobus!G3:G13)-SUM(nairaGlobus!F3:F13))/1000</f>
        <v>160009.95199999999</v>
      </c>
      <c r="I27" s="28">
        <f>nairaGlobus!H16/1000</f>
        <v>60009.848250000003</v>
      </c>
      <c r="J27" s="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nairaGlobus</vt:lpstr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Statement of Account</dc:title>
  <dc:creator>Kai L</dc:creator>
  <cp:lastModifiedBy>Aliyu Gosta</cp:lastModifiedBy>
  <dcterms:created xsi:type="dcterms:W3CDTF">2026-03-27T09:55:24Z</dcterms:created>
  <dcterms:modified xsi:type="dcterms:W3CDTF">2026-04-27T14:43:39Z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2026-03-27T00:00:00Z</vt:filetime>
  </property>
  <property fmtid="{D5CDD505-2E9C-101B-9397-08002B2CF9AE}" pid="3" name="LastSaved">
    <vt:filetime>2026-03-27T00:00:00Z</vt:filetime>
  </property>
  <property fmtid="{D5CDD505-2E9C-101B-9397-08002B2CF9AE}" pid="4" name="Producer">
    <vt:lpwstr>iText® 5.5.10 ©2000-2015 iText Group NV (AGPL-version)</vt:lpwstr>
  </property>
</Properties>
</file>