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310" activeTab="1"/>
  </bookViews>
  <sheets>
    <sheet name="Total " sheetId="5" r:id="rId1"/>
    <sheet name="Break Down Per Community" sheetId="3" r:id="rId2"/>
    <sheet name="Total Breakdown" sheetId="6" r:id="rId3"/>
  </sheets>
  <definedNames>
    <definedName name="_xlnm.Print_Area" localSheetId="1">'Break Down Per Community'!$B$1:$J$48</definedName>
  </definedNames>
  <calcPr calcId="152511"/>
</workbook>
</file>

<file path=xl/calcChain.xml><?xml version="1.0" encoding="utf-8"?>
<calcChain xmlns="http://schemas.openxmlformats.org/spreadsheetml/2006/main">
  <c r="D108" i="6" l="1"/>
  <c r="E3" i="3"/>
  <c r="Y103" i="6" l="1"/>
  <c r="Y95" i="6"/>
  <c r="Y86" i="6"/>
  <c r="Y75" i="6"/>
  <c r="Y66" i="6"/>
  <c r="Y56" i="6"/>
  <c r="Y47" i="6"/>
  <c r="V103" i="6"/>
  <c r="V95" i="6"/>
  <c r="V86" i="6"/>
  <c r="V75" i="6"/>
  <c r="V66" i="6"/>
  <c r="V56" i="6"/>
  <c r="V47" i="6"/>
  <c r="S103" i="6"/>
  <c r="S95" i="6"/>
  <c r="S86" i="6"/>
  <c r="S75" i="6"/>
  <c r="S66" i="6"/>
  <c r="S56" i="6"/>
  <c r="S47" i="6"/>
  <c r="P103" i="6"/>
  <c r="P95" i="6"/>
  <c r="P86" i="6"/>
  <c r="P75" i="6"/>
  <c r="P66" i="6"/>
  <c r="P56" i="6"/>
  <c r="P47" i="6"/>
  <c r="M103" i="6"/>
  <c r="M95" i="6"/>
  <c r="M86" i="6"/>
  <c r="M75" i="6"/>
  <c r="M66" i="6"/>
  <c r="M56" i="6"/>
  <c r="M47" i="6"/>
  <c r="J103" i="6"/>
  <c r="J95" i="6"/>
  <c r="J86" i="6"/>
  <c r="J75" i="6"/>
  <c r="J56" i="6"/>
  <c r="J47" i="6"/>
  <c r="G103" i="6"/>
  <c r="G95" i="6"/>
  <c r="G86" i="6"/>
  <c r="G75" i="6"/>
  <c r="G8" i="5"/>
  <c r="G9" i="5"/>
  <c r="G10" i="5"/>
  <c r="G11" i="5"/>
  <c r="G12" i="5"/>
  <c r="G13" i="5"/>
  <c r="G14" i="5"/>
  <c r="G15" i="5"/>
  <c r="G7" i="5"/>
  <c r="H107" i="6"/>
  <c r="K107" i="6" s="1"/>
  <c r="N107" i="6" s="1"/>
  <c r="Q107" i="6" s="1"/>
  <c r="T107" i="6" s="1"/>
  <c r="W107" i="6" s="1"/>
  <c r="I107" i="6"/>
  <c r="L107" i="6" s="1"/>
  <c r="O107" i="6" s="1"/>
  <c r="R107" i="6" s="1"/>
  <c r="U107" i="6" s="1"/>
  <c r="X107" i="6" s="1"/>
  <c r="E105" i="6"/>
  <c r="H105" i="6" s="1"/>
  <c r="K105" i="6" s="1"/>
  <c r="N105" i="6" s="1"/>
  <c r="Q105" i="6" s="1"/>
  <c r="T105" i="6" s="1"/>
  <c r="W105" i="6" s="1"/>
  <c r="F105" i="6"/>
  <c r="I105" i="6" s="1"/>
  <c r="L105" i="6" s="1"/>
  <c r="O105" i="6" s="1"/>
  <c r="R105" i="6" s="1"/>
  <c r="U105" i="6" s="1"/>
  <c r="X105" i="6" s="1"/>
  <c r="E106" i="6"/>
  <c r="H106" i="6" s="1"/>
  <c r="K106" i="6" s="1"/>
  <c r="N106" i="6" s="1"/>
  <c r="Q106" i="6" s="1"/>
  <c r="T106" i="6" s="1"/>
  <c r="W106" i="6" s="1"/>
  <c r="F106" i="6"/>
  <c r="I106" i="6" s="1"/>
  <c r="L106" i="6" s="1"/>
  <c r="O106" i="6" s="1"/>
  <c r="R106" i="6" s="1"/>
  <c r="U106" i="6" s="1"/>
  <c r="X106" i="6" s="1"/>
  <c r="E107" i="6"/>
  <c r="F107" i="6"/>
  <c r="H100" i="6"/>
  <c r="K100" i="6" s="1"/>
  <c r="N100" i="6" s="1"/>
  <c r="Q100" i="6" s="1"/>
  <c r="T100" i="6" s="1"/>
  <c r="W100" i="6" s="1"/>
  <c r="I100" i="6"/>
  <c r="L100" i="6" s="1"/>
  <c r="O100" i="6" s="1"/>
  <c r="R100" i="6" s="1"/>
  <c r="U100" i="6" s="1"/>
  <c r="X100" i="6" s="1"/>
  <c r="E100" i="6"/>
  <c r="F100" i="6"/>
  <c r="H69" i="6"/>
  <c r="K69" i="6" s="1"/>
  <c r="N69" i="6" s="1"/>
  <c r="Q69" i="6" s="1"/>
  <c r="T69" i="6" s="1"/>
  <c r="W69" i="6" s="1"/>
  <c r="I69" i="6"/>
  <c r="L69" i="6" s="1"/>
  <c r="O69" i="6" s="1"/>
  <c r="R69" i="6" s="1"/>
  <c r="U69" i="6" s="1"/>
  <c r="X69" i="6" s="1"/>
  <c r="H70" i="6"/>
  <c r="K70" i="6" s="1"/>
  <c r="N70" i="6" s="1"/>
  <c r="Q70" i="6" s="1"/>
  <c r="T70" i="6" s="1"/>
  <c r="W70" i="6" s="1"/>
  <c r="I70" i="6"/>
  <c r="L70" i="6" s="1"/>
  <c r="O70" i="6" s="1"/>
  <c r="R70" i="6" s="1"/>
  <c r="U70" i="6" s="1"/>
  <c r="X70" i="6" s="1"/>
  <c r="I71" i="6"/>
  <c r="L71" i="6" s="1"/>
  <c r="O71" i="6" s="1"/>
  <c r="R71" i="6" s="1"/>
  <c r="U71" i="6" s="1"/>
  <c r="X71" i="6" s="1"/>
  <c r="H72" i="6"/>
  <c r="K72" i="6" s="1"/>
  <c r="N72" i="6" s="1"/>
  <c r="Q72" i="6" s="1"/>
  <c r="T72" i="6" s="1"/>
  <c r="W72" i="6" s="1"/>
  <c r="E69" i="6"/>
  <c r="F69" i="6"/>
  <c r="E70" i="6"/>
  <c r="F70" i="6"/>
  <c r="E71" i="6"/>
  <c r="H71" i="6" s="1"/>
  <c r="K71" i="6" s="1"/>
  <c r="N71" i="6" s="1"/>
  <c r="Q71" i="6" s="1"/>
  <c r="T71" i="6" s="1"/>
  <c r="W71" i="6" s="1"/>
  <c r="F71" i="6"/>
  <c r="E72" i="6"/>
  <c r="F72" i="6"/>
  <c r="I72" i="6" s="1"/>
  <c r="L72" i="6" s="1"/>
  <c r="O72" i="6" s="1"/>
  <c r="R72" i="6" s="1"/>
  <c r="U72" i="6" s="1"/>
  <c r="X72" i="6" s="1"/>
  <c r="E63" i="6"/>
  <c r="H63" i="6" s="1"/>
  <c r="K63" i="6" s="1"/>
  <c r="N63" i="6" s="1"/>
  <c r="Q63" i="6" s="1"/>
  <c r="T63" i="6" s="1"/>
  <c r="W63" i="6" s="1"/>
  <c r="F63" i="6"/>
  <c r="I63" i="6" s="1"/>
  <c r="L63" i="6" s="1"/>
  <c r="O63" i="6" s="1"/>
  <c r="R63" i="6" s="1"/>
  <c r="U63" i="6" s="1"/>
  <c r="X63" i="6" s="1"/>
  <c r="H50" i="6"/>
  <c r="K50" i="6" s="1"/>
  <c r="N50" i="6" s="1"/>
  <c r="Q50" i="6" s="1"/>
  <c r="T50" i="6" s="1"/>
  <c r="W50" i="6" s="1"/>
  <c r="H51" i="6"/>
  <c r="K51" i="6"/>
  <c r="N51" i="6" s="1"/>
  <c r="Q51" i="6" s="1"/>
  <c r="T51" i="6" s="1"/>
  <c r="W51" i="6" s="1"/>
  <c r="K52" i="6"/>
  <c r="N52" i="6" s="1"/>
  <c r="Q52" i="6" s="1"/>
  <c r="T52" i="6" s="1"/>
  <c r="W52" i="6" s="1"/>
  <c r="I53" i="6"/>
  <c r="L53" i="6" s="1"/>
  <c r="O53" i="6" s="1"/>
  <c r="R53" i="6" s="1"/>
  <c r="U53" i="6" s="1"/>
  <c r="X53" i="6" s="1"/>
  <c r="E50" i="6"/>
  <c r="F50" i="6"/>
  <c r="I50" i="6" s="1"/>
  <c r="L50" i="6" s="1"/>
  <c r="O50" i="6" s="1"/>
  <c r="R50" i="6" s="1"/>
  <c r="U50" i="6" s="1"/>
  <c r="X50" i="6" s="1"/>
  <c r="E51" i="6"/>
  <c r="F51" i="6"/>
  <c r="I51" i="6" s="1"/>
  <c r="L51" i="6" s="1"/>
  <c r="O51" i="6" s="1"/>
  <c r="R51" i="6" s="1"/>
  <c r="U51" i="6" s="1"/>
  <c r="X51" i="6" s="1"/>
  <c r="E52" i="6"/>
  <c r="H52" i="6" s="1"/>
  <c r="F52" i="6"/>
  <c r="I52" i="6" s="1"/>
  <c r="L52" i="6" s="1"/>
  <c r="O52" i="6" s="1"/>
  <c r="R52" i="6" s="1"/>
  <c r="U52" i="6" s="1"/>
  <c r="X52" i="6" s="1"/>
  <c r="E53" i="6"/>
  <c r="H53" i="6" s="1"/>
  <c r="K53" i="6" s="1"/>
  <c r="N53" i="6" s="1"/>
  <c r="Q53" i="6" s="1"/>
  <c r="T53" i="6" s="1"/>
  <c r="W53" i="6" s="1"/>
  <c r="F53" i="6"/>
  <c r="H44" i="6"/>
  <c r="K44" i="6" s="1"/>
  <c r="N44" i="6" s="1"/>
  <c r="Q44" i="6" s="1"/>
  <c r="T44" i="6" s="1"/>
  <c r="W44" i="6" s="1"/>
  <c r="E43" i="6"/>
  <c r="H43" i="6" s="1"/>
  <c r="K43" i="6" s="1"/>
  <c r="N43" i="6" s="1"/>
  <c r="Q43" i="6" s="1"/>
  <c r="T43" i="6" s="1"/>
  <c r="W43" i="6" s="1"/>
  <c r="F43" i="6"/>
  <c r="I43" i="6" s="1"/>
  <c r="L43" i="6" s="1"/>
  <c r="O43" i="6" s="1"/>
  <c r="R43" i="6" s="1"/>
  <c r="U43" i="6" s="1"/>
  <c r="X43" i="6" s="1"/>
  <c r="E44" i="6"/>
  <c r="F44" i="6"/>
  <c r="I44" i="6" s="1"/>
  <c r="L44" i="6" s="1"/>
  <c r="O44" i="6" s="1"/>
  <c r="R44" i="6" s="1"/>
  <c r="U44" i="6" s="1"/>
  <c r="X44" i="6" s="1"/>
  <c r="W29" i="6"/>
  <c r="X30" i="6"/>
  <c r="Y32" i="6"/>
  <c r="W33" i="6"/>
  <c r="X35" i="6"/>
  <c r="Y35" i="6"/>
  <c r="T29" i="6"/>
  <c r="U29" i="6"/>
  <c r="X29" i="6" s="1"/>
  <c r="V29" i="6"/>
  <c r="Y29" i="6" s="1"/>
  <c r="T30" i="6"/>
  <c r="W30" i="6" s="1"/>
  <c r="U30" i="6"/>
  <c r="V30" i="6"/>
  <c r="Y30" i="6" s="1"/>
  <c r="T31" i="6"/>
  <c r="W31" i="6" s="1"/>
  <c r="U31" i="6"/>
  <c r="X31" i="6" s="1"/>
  <c r="V31" i="6"/>
  <c r="Y31" i="6" s="1"/>
  <c r="T32" i="6"/>
  <c r="W32" i="6" s="1"/>
  <c r="U32" i="6"/>
  <c r="X32" i="6" s="1"/>
  <c r="V32" i="6"/>
  <c r="T33" i="6"/>
  <c r="U33" i="6"/>
  <c r="X33" i="6" s="1"/>
  <c r="V33" i="6"/>
  <c r="Y33" i="6" s="1"/>
  <c r="T34" i="6"/>
  <c r="W34" i="6" s="1"/>
  <c r="U34" i="6"/>
  <c r="X34" i="6" s="1"/>
  <c r="V34" i="6"/>
  <c r="Y34" i="6" s="1"/>
  <c r="T35" i="6"/>
  <c r="W35" i="6" s="1"/>
  <c r="U35" i="6"/>
  <c r="V35" i="6"/>
  <c r="U28" i="6"/>
  <c r="X28" i="6" s="1"/>
  <c r="V28" i="6"/>
  <c r="Y28" i="6" s="1"/>
  <c r="T28" i="6"/>
  <c r="W28" i="6" s="1"/>
  <c r="Q29" i="6"/>
  <c r="R29" i="6"/>
  <c r="S29" i="6"/>
  <c r="Q30" i="6"/>
  <c r="R30" i="6"/>
  <c r="S30" i="6"/>
  <c r="Q31" i="6"/>
  <c r="R31" i="6"/>
  <c r="S31" i="6"/>
  <c r="Q32" i="6"/>
  <c r="R32" i="6"/>
  <c r="S32" i="6"/>
  <c r="Q33" i="6"/>
  <c r="R33" i="6"/>
  <c r="S33" i="6"/>
  <c r="Q34" i="6"/>
  <c r="R34" i="6"/>
  <c r="S34" i="6"/>
  <c r="Q35" i="6"/>
  <c r="R35" i="6"/>
  <c r="S35" i="6"/>
  <c r="R28" i="6"/>
  <c r="S28" i="6"/>
  <c r="Q28" i="6"/>
  <c r="N29" i="6"/>
  <c r="O29" i="6"/>
  <c r="P29" i="6"/>
  <c r="N30" i="6"/>
  <c r="O30" i="6"/>
  <c r="P30" i="6"/>
  <c r="N31" i="6"/>
  <c r="O31" i="6"/>
  <c r="P31" i="6"/>
  <c r="N32" i="6"/>
  <c r="O32" i="6"/>
  <c r="P32" i="6"/>
  <c r="N33" i="6"/>
  <c r="O33" i="6"/>
  <c r="P33" i="6"/>
  <c r="N34" i="6"/>
  <c r="O34" i="6"/>
  <c r="P34" i="6"/>
  <c r="N35" i="6"/>
  <c r="O35" i="6"/>
  <c r="P35" i="6"/>
  <c r="O28" i="6"/>
  <c r="P28" i="6"/>
  <c r="N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L28" i="6"/>
  <c r="M28" i="6"/>
  <c r="K28" i="6"/>
  <c r="H29" i="6"/>
  <c r="I29" i="6"/>
  <c r="J29" i="6"/>
  <c r="H30" i="6"/>
  <c r="I30" i="6"/>
  <c r="J30" i="6"/>
  <c r="H31" i="6"/>
  <c r="I31" i="6"/>
  <c r="J31" i="6"/>
  <c r="H32" i="6"/>
  <c r="I32" i="6"/>
  <c r="J32" i="6"/>
  <c r="H33" i="6"/>
  <c r="I33" i="6"/>
  <c r="J33" i="6"/>
  <c r="H34" i="6"/>
  <c r="I34" i="6"/>
  <c r="J34" i="6"/>
  <c r="H35" i="6"/>
  <c r="I35" i="6"/>
  <c r="J35" i="6"/>
  <c r="I28" i="6"/>
  <c r="J28" i="6"/>
  <c r="H28" i="6"/>
  <c r="E29" i="6"/>
  <c r="F29" i="6"/>
  <c r="G29" i="6"/>
  <c r="E30" i="6"/>
  <c r="F30" i="6"/>
  <c r="G30" i="6"/>
  <c r="E31" i="6"/>
  <c r="F31" i="6"/>
  <c r="G31" i="6"/>
  <c r="E32" i="6"/>
  <c r="F32" i="6"/>
  <c r="G32" i="6"/>
  <c r="E33" i="6"/>
  <c r="F33" i="6"/>
  <c r="G33" i="6"/>
  <c r="E34" i="6"/>
  <c r="F34" i="6"/>
  <c r="G34" i="6"/>
  <c r="E35" i="6"/>
  <c r="F35" i="6"/>
  <c r="G35" i="6"/>
  <c r="F28" i="6"/>
  <c r="G28" i="6"/>
  <c r="E28" i="6"/>
  <c r="B12" i="6" l="1"/>
  <c r="B104" i="6"/>
  <c r="E104" i="6" s="1"/>
  <c r="H104" i="6" s="1"/>
  <c r="K104" i="6" s="1"/>
  <c r="N104" i="6" s="1"/>
  <c r="Q104" i="6" s="1"/>
  <c r="T104" i="6" s="1"/>
  <c r="W104" i="6" s="1"/>
  <c r="W108" i="6" s="1"/>
  <c r="C104" i="6"/>
  <c r="F104" i="6" s="1"/>
  <c r="I104" i="6" s="1"/>
  <c r="L104" i="6" s="1"/>
  <c r="O104" i="6" s="1"/>
  <c r="R104" i="6" s="1"/>
  <c r="U104" i="6" s="1"/>
  <c r="X104" i="6" s="1"/>
  <c r="A104" i="6"/>
  <c r="B96" i="6"/>
  <c r="E96" i="6" s="1"/>
  <c r="H96" i="6" s="1"/>
  <c r="K96" i="6" s="1"/>
  <c r="N96" i="6" s="1"/>
  <c r="Q96" i="6" s="1"/>
  <c r="T96" i="6" s="1"/>
  <c r="W96" i="6" s="1"/>
  <c r="W101" i="6" s="1"/>
  <c r="C96" i="6"/>
  <c r="F96" i="6" s="1"/>
  <c r="I96" i="6" s="1"/>
  <c r="L96" i="6" s="1"/>
  <c r="O96" i="6" s="1"/>
  <c r="R96" i="6" s="1"/>
  <c r="U96" i="6" s="1"/>
  <c r="X96" i="6" s="1"/>
  <c r="B97" i="6"/>
  <c r="E97" i="6" s="1"/>
  <c r="H97" i="6" s="1"/>
  <c r="K97" i="6" s="1"/>
  <c r="N97" i="6" s="1"/>
  <c r="Q97" i="6" s="1"/>
  <c r="T97" i="6" s="1"/>
  <c r="W97" i="6" s="1"/>
  <c r="C97" i="6"/>
  <c r="B98" i="6"/>
  <c r="E98" i="6" s="1"/>
  <c r="H98" i="6" s="1"/>
  <c r="K98" i="6" s="1"/>
  <c r="N98" i="6" s="1"/>
  <c r="Q98" i="6" s="1"/>
  <c r="T98" i="6" s="1"/>
  <c r="W98" i="6" s="1"/>
  <c r="C98" i="6"/>
  <c r="F98" i="6" s="1"/>
  <c r="I98" i="6" s="1"/>
  <c r="L98" i="6" s="1"/>
  <c r="O98" i="6" s="1"/>
  <c r="R98" i="6" s="1"/>
  <c r="U98" i="6" s="1"/>
  <c r="X98" i="6" s="1"/>
  <c r="B99" i="6"/>
  <c r="E99" i="6" s="1"/>
  <c r="H99" i="6" s="1"/>
  <c r="K99" i="6" s="1"/>
  <c r="N99" i="6" s="1"/>
  <c r="Q99" i="6" s="1"/>
  <c r="T99" i="6" s="1"/>
  <c r="W99" i="6" s="1"/>
  <c r="C99" i="6"/>
  <c r="A97" i="6"/>
  <c r="A98" i="6"/>
  <c r="A99" i="6"/>
  <c r="A96" i="6"/>
  <c r="B87" i="6"/>
  <c r="E87" i="6" s="1"/>
  <c r="H87" i="6" s="1"/>
  <c r="K87" i="6" s="1"/>
  <c r="N87" i="6" s="1"/>
  <c r="Q87" i="6" s="1"/>
  <c r="T87" i="6" s="1"/>
  <c r="W87" i="6" s="1"/>
  <c r="C87" i="6"/>
  <c r="F87" i="6" s="1"/>
  <c r="I87" i="6" s="1"/>
  <c r="L87" i="6" s="1"/>
  <c r="O87" i="6" s="1"/>
  <c r="R87" i="6" s="1"/>
  <c r="U87" i="6" s="1"/>
  <c r="X87" i="6" s="1"/>
  <c r="B88" i="6"/>
  <c r="C88" i="6"/>
  <c r="F88" i="6" s="1"/>
  <c r="I88" i="6" s="1"/>
  <c r="L88" i="6" s="1"/>
  <c r="O88" i="6" s="1"/>
  <c r="R88" i="6" s="1"/>
  <c r="U88" i="6" s="1"/>
  <c r="X88" i="6" s="1"/>
  <c r="B89" i="6"/>
  <c r="E89" i="6" s="1"/>
  <c r="H89" i="6" s="1"/>
  <c r="K89" i="6" s="1"/>
  <c r="N89" i="6" s="1"/>
  <c r="Q89" i="6" s="1"/>
  <c r="T89" i="6" s="1"/>
  <c r="W89" i="6" s="1"/>
  <c r="C89" i="6"/>
  <c r="F89" i="6" s="1"/>
  <c r="I89" i="6" s="1"/>
  <c r="L89" i="6" s="1"/>
  <c r="O89" i="6" s="1"/>
  <c r="R89" i="6" s="1"/>
  <c r="U89" i="6" s="1"/>
  <c r="X89" i="6" s="1"/>
  <c r="B90" i="6"/>
  <c r="C90" i="6"/>
  <c r="F90" i="6" s="1"/>
  <c r="I90" i="6" s="1"/>
  <c r="L90" i="6" s="1"/>
  <c r="O90" i="6" s="1"/>
  <c r="R90" i="6" s="1"/>
  <c r="U90" i="6" s="1"/>
  <c r="X90" i="6" s="1"/>
  <c r="B91" i="6"/>
  <c r="C91" i="6"/>
  <c r="F91" i="6" s="1"/>
  <c r="I91" i="6" s="1"/>
  <c r="L91" i="6" s="1"/>
  <c r="O91" i="6" s="1"/>
  <c r="R91" i="6" s="1"/>
  <c r="U91" i="6" s="1"/>
  <c r="X91" i="6" s="1"/>
  <c r="B92" i="6"/>
  <c r="E92" i="6" s="1"/>
  <c r="H92" i="6" s="1"/>
  <c r="K92" i="6" s="1"/>
  <c r="N92" i="6" s="1"/>
  <c r="Q92" i="6" s="1"/>
  <c r="T92" i="6" s="1"/>
  <c r="W92" i="6" s="1"/>
  <c r="C92" i="6"/>
  <c r="A88" i="6"/>
  <c r="A89" i="6"/>
  <c r="A90" i="6"/>
  <c r="A91" i="6"/>
  <c r="A92" i="6"/>
  <c r="A87" i="6"/>
  <c r="D92" i="6"/>
  <c r="AA92" i="6"/>
  <c r="B76" i="6"/>
  <c r="E76" i="6" s="1"/>
  <c r="H76" i="6" s="1"/>
  <c r="K76" i="6" s="1"/>
  <c r="N76" i="6" s="1"/>
  <c r="Q76" i="6" s="1"/>
  <c r="T76" i="6" s="1"/>
  <c r="W76" i="6" s="1"/>
  <c r="C76" i="6"/>
  <c r="F76" i="6" s="1"/>
  <c r="I76" i="6" s="1"/>
  <c r="L76" i="6" s="1"/>
  <c r="O76" i="6" s="1"/>
  <c r="R76" i="6" s="1"/>
  <c r="U76" i="6" s="1"/>
  <c r="X76" i="6" s="1"/>
  <c r="B77" i="6"/>
  <c r="E77" i="6" s="1"/>
  <c r="H77" i="6" s="1"/>
  <c r="K77" i="6" s="1"/>
  <c r="N77" i="6" s="1"/>
  <c r="Q77" i="6" s="1"/>
  <c r="T77" i="6" s="1"/>
  <c r="W77" i="6" s="1"/>
  <c r="C77" i="6"/>
  <c r="B78" i="6"/>
  <c r="E78" i="6" s="1"/>
  <c r="H78" i="6" s="1"/>
  <c r="K78" i="6" s="1"/>
  <c r="N78" i="6" s="1"/>
  <c r="Q78" i="6" s="1"/>
  <c r="T78" i="6" s="1"/>
  <c r="W78" i="6" s="1"/>
  <c r="C78" i="6"/>
  <c r="F78" i="6" s="1"/>
  <c r="I78" i="6" s="1"/>
  <c r="L78" i="6" s="1"/>
  <c r="O78" i="6" s="1"/>
  <c r="R78" i="6" s="1"/>
  <c r="U78" i="6" s="1"/>
  <c r="X78" i="6" s="1"/>
  <c r="B79" i="6"/>
  <c r="C79" i="6"/>
  <c r="B80" i="6"/>
  <c r="E80" i="6" s="1"/>
  <c r="H80" i="6" s="1"/>
  <c r="K80" i="6" s="1"/>
  <c r="N80" i="6" s="1"/>
  <c r="Q80" i="6" s="1"/>
  <c r="T80" i="6" s="1"/>
  <c r="W80" i="6" s="1"/>
  <c r="C80" i="6"/>
  <c r="F80" i="6" s="1"/>
  <c r="I80" i="6" s="1"/>
  <c r="L80" i="6" s="1"/>
  <c r="O80" i="6" s="1"/>
  <c r="R80" i="6" s="1"/>
  <c r="U80" i="6" s="1"/>
  <c r="X80" i="6" s="1"/>
  <c r="B81" i="6"/>
  <c r="E81" i="6" s="1"/>
  <c r="H81" i="6" s="1"/>
  <c r="K81" i="6" s="1"/>
  <c r="N81" i="6" s="1"/>
  <c r="Q81" i="6" s="1"/>
  <c r="T81" i="6" s="1"/>
  <c r="W81" i="6" s="1"/>
  <c r="C81" i="6"/>
  <c r="B82" i="6"/>
  <c r="E82" i="6" s="1"/>
  <c r="H82" i="6" s="1"/>
  <c r="K82" i="6" s="1"/>
  <c r="N82" i="6" s="1"/>
  <c r="Q82" i="6" s="1"/>
  <c r="T82" i="6" s="1"/>
  <c r="W82" i="6" s="1"/>
  <c r="C82" i="6"/>
  <c r="F82" i="6" s="1"/>
  <c r="I82" i="6" s="1"/>
  <c r="L82" i="6" s="1"/>
  <c r="O82" i="6" s="1"/>
  <c r="R82" i="6" s="1"/>
  <c r="U82" i="6" s="1"/>
  <c r="X82" i="6" s="1"/>
  <c r="B83" i="6"/>
  <c r="C83" i="6"/>
  <c r="F83" i="6" s="1"/>
  <c r="I83" i="6" s="1"/>
  <c r="L83" i="6" s="1"/>
  <c r="O83" i="6" s="1"/>
  <c r="R83" i="6" s="1"/>
  <c r="U83" i="6" s="1"/>
  <c r="X83" i="6" s="1"/>
  <c r="A77" i="6"/>
  <c r="A78" i="6"/>
  <c r="A79" i="6"/>
  <c r="A80" i="6"/>
  <c r="A81" i="6"/>
  <c r="A82" i="6"/>
  <c r="A83" i="6"/>
  <c r="A76" i="6"/>
  <c r="B67" i="6"/>
  <c r="C67" i="6"/>
  <c r="F67" i="6" s="1"/>
  <c r="I67" i="6" s="1"/>
  <c r="L67" i="6" s="1"/>
  <c r="O67" i="6" s="1"/>
  <c r="R67" i="6" s="1"/>
  <c r="U67" i="6" s="1"/>
  <c r="X67" i="6" s="1"/>
  <c r="B68" i="6"/>
  <c r="C68" i="6"/>
  <c r="A68" i="6"/>
  <c r="A67" i="6"/>
  <c r="B57" i="6"/>
  <c r="E57" i="6" s="1"/>
  <c r="H57" i="6" s="1"/>
  <c r="K57" i="6" s="1"/>
  <c r="N57" i="6" s="1"/>
  <c r="Q57" i="6" s="1"/>
  <c r="T57" i="6" s="1"/>
  <c r="W57" i="6" s="1"/>
  <c r="C57" i="6"/>
  <c r="B58" i="6"/>
  <c r="C58" i="6"/>
  <c r="B59" i="6"/>
  <c r="C59" i="6"/>
  <c r="B60" i="6"/>
  <c r="C60" i="6"/>
  <c r="B61" i="6"/>
  <c r="C61" i="6"/>
  <c r="F61" i="6" s="1"/>
  <c r="I61" i="6" s="1"/>
  <c r="L61" i="6" s="1"/>
  <c r="O61" i="6" s="1"/>
  <c r="R61" i="6" s="1"/>
  <c r="U61" i="6" s="1"/>
  <c r="X61" i="6" s="1"/>
  <c r="B62" i="6"/>
  <c r="C62" i="6"/>
  <c r="A58" i="6"/>
  <c r="A59" i="6"/>
  <c r="A60" i="6"/>
  <c r="A61" i="6"/>
  <c r="A62" i="6"/>
  <c r="A57" i="6"/>
  <c r="C48" i="6"/>
  <c r="C49" i="6"/>
  <c r="F49" i="6" s="1"/>
  <c r="I49" i="6" s="1"/>
  <c r="L49" i="6" s="1"/>
  <c r="O49" i="6" s="1"/>
  <c r="R49" i="6" s="1"/>
  <c r="U49" i="6" s="1"/>
  <c r="X49" i="6" s="1"/>
  <c r="B49" i="6"/>
  <c r="B48" i="6"/>
  <c r="A49" i="6"/>
  <c r="A48" i="6"/>
  <c r="C40" i="6"/>
  <c r="C41" i="6"/>
  <c r="C42" i="6"/>
  <c r="C39" i="6"/>
  <c r="B40" i="6"/>
  <c r="B41" i="6"/>
  <c r="E41" i="6" s="1"/>
  <c r="H41" i="6" s="1"/>
  <c r="K41" i="6" s="1"/>
  <c r="N41" i="6" s="1"/>
  <c r="Q41" i="6" s="1"/>
  <c r="T41" i="6" s="1"/>
  <c r="W41" i="6" s="1"/>
  <c r="B42" i="6"/>
  <c r="E42" i="6" s="1"/>
  <c r="H42" i="6" s="1"/>
  <c r="K42" i="6" s="1"/>
  <c r="N42" i="6" s="1"/>
  <c r="Q42" i="6" s="1"/>
  <c r="T42" i="6" s="1"/>
  <c r="W42" i="6" s="1"/>
  <c r="B39" i="6"/>
  <c r="E39" i="6" s="1"/>
  <c r="H39" i="6" s="1"/>
  <c r="K39" i="6" s="1"/>
  <c r="N39" i="6" s="1"/>
  <c r="Q39" i="6" s="1"/>
  <c r="T39" i="6" s="1"/>
  <c r="W39" i="6" s="1"/>
  <c r="A42" i="6"/>
  <c r="A40" i="6"/>
  <c r="A41" i="6"/>
  <c r="A39" i="6"/>
  <c r="AB107" i="6"/>
  <c r="AA107" i="6"/>
  <c r="D107" i="6"/>
  <c r="AB106" i="6"/>
  <c r="AA106" i="6"/>
  <c r="D106" i="6"/>
  <c r="G106" i="6" s="1"/>
  <c r="J106" i="6" s="1"/>
  <c r="M106" i="6" s="1"/>
  <c r="P106" i="6" s="1"/>
  <c r="S106" i="6" s="1"/>
  <c r="V106" i="6" s="1"/>
  <c r="Y106" i="6" s="1"/>
  <c r="AB105" i="6"/>
  <c r="AA105" i="6"/>
  <c r="D105" i="6"/>
  <c r="AB104" i="6"/>
  <c r="AB100" i="6"/>
  <c r="AA100" i="6"/>
  <c r="D100" i="6"/>
  <c r="AA99" i="6"/>
  <c r="AA97" i="6"/>
  <c r="AA96" i="6"/>
  <c r="AB90" i="6"/>
  <c r="AB89" i="6"/>
  <c r="AB88" i="6"/>
  <c r="AB82" i="6"/>
  <c r="AB80" i="6"/>
  <c r="AA80" i="6"/>
  <c r="D80" i="6"/>
  <c r="G80" i="6" s="1"/>
  <c r="J80" i="6" s="1"/>
  <c r="M80" i="6" s="1"/>
  <c r="P80" i="6" s="1"/>
  <c r="S80" i="6" s="1"/>
  <c r="V80" i="6" s="1"/>
  <c r="Y80" i="6" s="1"/>
  <c r="AB78" i="6"/>
  <c r="AA78" i="6"/>
  <c r="D78" i="6"/>
  <c r="AB76" i="6"/>
  <c r="AA76" i="6"/>
  <c r="D76" i="6"/>
  <c r="G76" i="6" s="1"/>
  <c r="J76" i="6" s="1"/>
  <c r="M76" i="6" s="1"/>
  <c r="P76" i="6" s="1"/>
  <c r="S76" i="6" s="1"/>
  <c r="V76" i="6" s="1"/>
  <c r="Y76" i="6" s="1"/>
  <c r="AB72" i="6"/>
  <c r="AA72" i="6"/>
  <c r="D72" i="6"/>
  <c r="AB71" i="6"/>
  <c r="AA71" i="6"/>
  <c r="AC71" i="6"/>
  <c r="D71" i="6"/>
  <c r="G71" i="6" s="1"/>
  <c r="J71" i="6" s="1"/>
  <c r="M71" i="6" s="1"/>
  <c r="P71" i="6" s="1"/>
  <c r="S71" i="6" s="1"/>
  <c r="V71" i="6" s="1"/>
  <c r="Y71" i="6" s="1"/>
  <c r="AB70" i="6"/>
  <c r="AA70" i="6"/>
  <c r="AC70" i="6"/>
  <c r="D70" i="6"/>
  <c r="G70" i="6" s="1"/>
  <c r="J70" i="6" s="1"/>
  <c r="M70" i="6" s="1"/>
  <c r="P70" i="6" s="1"/>
  <c r="S70" i="6" s="1"/>
  <c r="V70" i="6" s="1"/>
  <c r="Y70" i="6" s="1"/>
  <c r="AB69" i="6"/>
  <c r="AA69" i="6"/>
  <c r="D69" i="6"/>
  <c r="D67" i="6"/>
  <c r="D63" i="6"/>
  <c r="G63" i="6" s="1"/>
  <c r="J63" i="6" s="1"/>
  <c r="M63" i="6" s="1"/>
  <c r="P63" i="6" s="1"/>
  <c r="S63" i="6" s="1"/>
  <c r="V63" i="6" s="1"/>
  <c r="Y63" i="6" s="1"/>
  <c r="AA63" i="6"/>
  <c r="AB63" i="6"/>
  <c r="AB61" i="6"/>
  <c r="AA57" i="6"/>
  <c r="AB53" i="6"/>
  <c r="AA53" i="6"/>
  <c r="D53" i="6"/>
  <c r="AB52" i="6"/>
  <c r="AA52" i="6"/>
  <c r="D52" i="6"/>
  <c r="G52" i="6" s="1"/>
  <c r="J52" i="6" s="1"/>
  <c r="M52" i="6" s="1"/>
  <c r="P52" i="6" s="1"/>
  <c r="S52" i="6" s="1"/>
  <c r="V52" i="6" s="1"/>
  <c r="Y52" i="6" s="1"/>
  <c r="AB51" i="6"/>
  <c r="AA51" i="6"/>
  <c r="AC51" i="6"/>
  <c r="D51" i="6"/>
  <c r="G51" i="6" s="1"/>
  <c r="J51" i="6" s="1"/>
  <c r="M51" i="6" s="1"/>
  <c r="P51" i="6" s="1"/>
  <c r="S51" i="6" s="1"/>
  <c r="V51" i="6" s="1"/>
  <c r="Y51" i="6" s="1"/>
  <c r="AB50" i="6"/>
  <c r="AA50" i="6"/>
  <c r="D50" i="6"/>
  <c r="AC43" i="6"/>
  <c r="D44" i="6"/>
  <c r="G44" i="6" s="1"/>
  <c r="J44" i="6" s="1"/>
  <c r="M44" i="6" s="1"/>
  <c r="P44" i="6" s="1"/>
  <c r="S44" i="6" s="1"/>
  <c r="V44" i="6" s="1"/>
  <c r="Y44" i="6" s="1"/>
  <c r="D43" i="6"/>
  <c r="G43" i="6" s="1"/>
  <c r="J43" i="6" s="1"/>
  <c r="M43" i="6" s="1"/>
  <c r="P43" i="6" s="1"/>
  <c r="S43" i="6" s="1"/>
  <c r="V43" i="6" s="1"/>
  <c r="Y43" i="6" s="1"/>
  <c r="AC44" i="6"/>
  <c r="AB44" i="6"/>
  <c r="AA44" i="6"/>
  <c r="AB43" i="6"/>
  <c r="AA43" i="6"/>
  <c r="AA47" i="6"/>
  <c r="AB47" i="6"/>
  <c r="AC47" i="6"/>
  <c r="O108" i="6"/>
  <c r="O103" i="6"/>
  <c r="N103" i="6"/>
  <c r="N101" i="6"/>
  <c r="O95" i="6"/>
  <c r="N95" i="6"/>
  <c r="O86" i="6"/>
  <c r="N86" i="6"/>
  <c r="O75" i="6"/>
  <c r="N75" i="6"/>
  <c r="O66" i="6"/>
  <c r="N66" i="6"/>
  <c r="O56" i="6"/>
  <c r="N56" i="6"/>
  <c r="O47" i="6"/>
  <c r="N47" i="6"/>
  <c r="P38" i="6"/>
  <c r="O38" i="6"/>
  <c r="N38" i="6"/>
  <c r="O36" i="6"/>
  <c r="N36" i="6"/>
  <c r="P27" i="6"/>
  <c r="O27" i="6"/>
  <c r="N27" i="6"/>
  <c r="X108" i="6"/>
  <c r="X103" i="6"/>
  <c r="W103" i="6"/>
  <c r="X95" i="6"/>
  <c r="W95" i="6"/>
  <c r="X86" i="6"/>
  <c r="W86" i="6"/>
  <c r="X75" i="6"/>
  <c r="W75" i="6"/>
  <c r="X66" i="6"/>
  <c r="W66" i="6"/>
  <c r="X56" i="6"/>
  <c r="W56" i="6"/>
  <c r="X47" i="6"/>
  <c r="W47" i="6"/>
  <c r="Y38" i="6"/>
  <c r="X38" i="6"/>
  <c r="W38" i="6"/>
  <c r="X36" i="6"/>
  <c r="W36" i="6"/>
  <c r="Y27" i="6"/>
  <c r="X27" i="6"/>
  <c r="W27" i="6"/>
  <c r="AC31" i="6"/>
  <c r="AB29" i="6"/>
  <c r="AB30" i="6"/>
  <c r="AA31" i="6"/>
  <c r="AB31" i="6"/>
  <c r="AA32" i="6"/>
  <c r="AB32" i="6"/>
  <c r="AA33" i="6"/>
  <c r="AB33" i="6"/>
  <c r="AA34" i="6"/>
  <c r="AB34" i="6"/>
  <c r="AA35" i="6"/>
  <c r="AB35" i="6"/>
  <c r="AB28" i="6"/>
  <c r="D31" i="6"/>
  <c r="D32" i="6"/>
  <c r="AC32" i="6" s="1"/>
  <c r="D33" i="6"/>
  <c r="AC33" i="6" s="1"/>
  <c r="D34" i="6"/>
  <c r="AC34" i="6" s="1"/>
  <c r="D35" i="6"/>
  <c r="AC35" i="6" s="1"/>
  <c r="B29" i="6"/>
  <c r="AA29" i="6" s="1"/>
  <c r="B30" i="6"/>
  <c r="AA30" i="6" s="1"/>
  <c r="B28" i="6"/>
  <c r="AA28" i="6" s="1"/>
  <c r="A29" i="6"/>
  <c r="A30" i="6"/>
  <c r="A28" i="6"/>
  <c r="A103" i="6"/>
  <c r="A108" i="6" s="1"/>
  <c r="A95" i="6"/>
  <c r="A101" i="6" s="1"/>
  <c r="A86" i="6"/>
  <c r="A93" i="6" s="1"/>
  <c r="A75" i="6"/>
  <c r="A84" i="6" s="1"/>
  <c r="A66" i="6"/>
  <c r="A73" i="6" s="1"/>
  <c r="A56" i="6"/>
  <c r="A47" i="6"/>
  <c r="A54" i="6" s="1"/>
  <c r="A38" i="6"/>
  <c r="X123" i="6"/>
  <c r="W123" i="6"/>
  <c r="U123" i="6"/>
  <c r="T123" i="6"/>
  <c r="R123" i="6"/>
  <c r="Q123" i="6"/>
  <c r="O123" i="6"/>
  <c r="N123" i="6"/>
  <c r="L123" i="6"/>
  <c r="K123" i="6"/>
  <c r="I123" i="6"/>
  <c r="H123" i="6"/>
  <c r="F123" i="6"/>
  <c r="E123" i="6"/>
  <c r="C123" i="6"/>
  <c r="AB123" i="6" s="1"/>
  <c r="B123" i="6"/>
  <c r="A123" i="6"/>
  <c r="AC122" i="6"/>
  <c r="AB122" i="6"/>
  <c r="AA122" i="6"/>
  <c r="Y122" i="6"/>
  <c r="V122" i="6"/>
  <c r="S122" i="6"/>
  <c r="P122" i="6"/>
  <c r="M122" i="6"/>
  <c r="J122" i="6"/>
  <c r="G122" i="6"/>
  <c r="D122" i="6"/>
  <c r="AC121" i="6"/>
  <c r="AB121" i="6"/>
  <c r="AA121" i="6"/>
  <c r="Y121" i="6"/>
  <c r="V121" i="6"/>
  <c r="S121" i="6"/>
  <c r="P121" i="6"/>
  <c r="M121" i="6"/>
  <c r="J121" i="6"/>
  <c r="G121" i="6"/>
  <c r="D121" i="6"/>
  <c r="AC120" i="6"/>
  <c r="AB120" i="6"/>
  <c r="AA120" i="6"/>
  <c r="Y120" i="6"/>
  <c r="V120" i="6"/>
  <c r="S120" i="6"/>
  <c r="P120" i="6"/>
  <c r="M120" i="6"/>
  <c r="J120" i="6"/>
  <c r="G120" i="6"/>
  <c r="D120" i="6"/>
  <c r="AC119" i="6"/>
  <c r="AB119" i="6"/>
  <c r="AA119" i="6"/>
  <c r="Y119" i="6"/>
  <c r="V119" i="6"/>
  <c r="S119" i="6"/>
  <c r="P119" i="6"/>
  <c r="M119" i="6"/>
  <c r="J119" i="6"/>
  <c r="G119" i="6"/>
  <c r="D119" i="6"/>
  <c r="AC118" i="6"/>
  <c r="AB118" i="6"/>
  <c r="AA118" i="6"/>
  <c r="Y118" i="6"/>
  <c r="V118" i="6"/>
  <c r="S118" i="6"/>
  <c r="P118" i="6"/>
  <c r="M118" i="6"/>
  <c r="J118" i="6"/>
  <c r="G118" i="6"/>
  <c r="D118" i="6"/>
  <c r="AC117" i="6"/>
  <c r="AB117" i="6"/>
  <c r="AA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X115" i="6"/>
  <c r="W115" i="6"/>
  <c r="U115" i="6"/>
  <c r="T115" i="6"/>
  <c r="R115" i="6"/>
  <c r="Q115" i="6"/>
  <c r="O115" i="6"/>
  <c r="N115" i="6"/>
  <c r="L115" i="6"/>
  <c r="K115" i="6"/>
  <c r="I115" i="6"/>
  <c r="H115" i="6"/>
  <c r="F115" i="6"/>
  <c r="E115" i="6"/>
  <c r="C115" i="6"/>
  <c r="B115" i="6"/>
  <c r="A115" i="6"/>
  <c r="AC114" i="6"/>
  <c r="AB114" i="6"/>
  <c r="AA114" i="6"/>
  <c r="Y114" i="6"/>
  <c r="V114" i="6"/>
  <c r="S114" i="6"/>
  <c r="P114" i="6"/>
  <c r="M114" i="6"/>
  <c r="J114" i="6"/>
  <c r="G114" i="6"/>
  <c r="D114" i="6"/>
  <c r="AC113" i="6"/>
  <c r="AB113" i="6"/>
  <c r="AA113" i="6"/>
  <c r="Y113" i="6"/>
  <c r="V113" i="6"/>
  <c r="S113" i="6"/>
  <c r="P113" i="6"/>
  <c r="M113" i="6"/>
  <c r="J113" i="6"/>
  <c r="G113" i="6"/>
  <c r="D113" i="6"/>
  <c r="AC112" i="6"/>
  <c r="AB112" i="6"/>
  <c r="AA112" i="6"/>
  <c r="Y112" i="6"/>
  <c r="V112" i="6"/>
  <c r="S112" i="6"/>
  <c r="P112" i="6"/>
  <c r="M112" i="6"/>
  <c r="J112" i="6"/>
  <c r="G112" i="6"/>
  <c r="D112" i="6"/>
  <c r="AC111" i="6"/>
  <c r="AB111" i="6"/>
  <c r="AA111" i="6"/>
  <c r="Y111" i="6"/>
  <c r="V111" i="6"/>
  <c r="S111" i="6"/>
  <c r="P111" i="6"/>
  <c r="M111" i="6"/>
  <c r="J111" i="6"/>
  <c r="G111" i="6"/>
  <c r="D111" i="6"/>
  <c r="AC110" i="6"/>
  <c r="AB110" i="6"/>
  <c r="AA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U108" i="6"/>
  <c r="R108" i="6"/>
  <c r="L108" i="6"/>
  <c r="I108" i="6"/>
  <c r="F108" i="6"/>
  <c r="C108" i="6"/>
  <c r="AC103" i="6"/>
  <c r="AB103" i="6"/>
  <c r="AA103" i="6"/>
  <c r="U103" i="6"/>
  <c r="T103" i="6"/>
  <c r="R103" i="6"/>
  <c r="Q103" i="6"/>
  <c r="L103" i="6"/>
  <c r="K103" i="6"/>
  <c r="I103" i="6"/>
  <c r="H103" i="6"/>
  <c r="F103" i="6"/>
  <c r="E103" i="6"/>
  <c r="D103" i="6"/>
  <c r="C103" i="6"/>
  <c r="B103" i="6"/>
  <c r="T101" i="6"/>
  <c r="K101" i="6"/>
  <c r="E101" i="6"/>
  <c r="B101" i="6"/>
  <c r="AC95" i="6"/>
  <c r="AB95" i="6"/>
  <c r="AA95" i="6"/>
  <c r="U95" i="6"/>
  <c r="T95" i="6"/>
  <c r="R95" i="6"/>
  <c r="Q95" i="6"/>
  <c r="L95" i="6"/>
  <c r="K95" i="6"/>
  <c r="I95" i="6"/>
  <c r="H95" i="6"/>
  <c r="F95" i="6"/>
  <c r="E95" i="6"/>
  <c r="D95" i="6"/>
  <c r="C95" i="6"/>
  <c r="B95" i="6"/>
  <c r="AC86" i="6"/>
  <c r="AB86" i="6"/>
  <c r="AA86" i="6"/>
  <c r="U86" i="6"/>
  <c r="T86" i="6"/>
  <c r="R86" i="6"/>
  <c r="Q86" i="6"/>
  <c r="L86" i="6"/>
  <c r="K86" i="6"/>
  <c r="I86" i="6"/>
  <c r="H86" i="6"/>
  <c r="F86" i="6"/>
  <c r="E86" i="6"/>
  <c r="D86" i="6"/>
  <c r="C86" i="6"/>
  <c r="B86" i="6"/>
  <c r="AC75" i="6"/>
  <c r="AB75" i="6"/>
  <c r="AA75" i="6"/>
  <c r="U75" i="6"/>
  <c r="T75" i="6"/>
  <c r="R75" i="6"/>
  <c r="Q75" i="6"/>
  <c r="L75" i="6"/>
  <c r="K75" i="6"/>
  <c r="I75" i="6"/>
  <c r="H75" i="6"/>
  <c r="F75" i="6"/>
  <c r="E75" i="6"/>
  <c r="D75" i="6"/>
  <c r="C75" i="6"/>
  <c r="B75" i="6"/>
  <c r="AC66" i="6"/>
  <c r="AB66" i="6"/>
  <c r="AA66" i="6"/>
  <c r="U66" i="6"/>
  <c r="T66" i="6"/>
  <c r="R66" i="6"/>
  <c r="Q66" i="6"/>
  <c r="L66" i="6"/>
  <c r="K66" i="6"/>
  <c r="I66" i="6"/>
  <c r="H66" i="6"/>
  <c r="G66" i="6"/>
  <c r="F66" i="6"/>
  <c r="E66" i="6"/>
  <c r="D66" i="6"/>
  <c r="C66" i="6"/>
  <c r="B66" i="6"/>
  <c r="A64" i="6"/>
  <c r="AC56" i="6"/>
  <c r="AB56" i="6"/>
  <c r="AA56" i="6"/>
  <c r="U56" i="6"/>
  <c r="T56" i="6"/>
  <c r="R56" i="6"/>
  <c r="Q56" i="6"/>
  <c r="L56" i="6"/>
  <c r="K56" i="6"/>
  <c r="I56" i="6"/>
  <c r="H56" i="6"/>
  <c r="F56" i="6"/>
  <c r="E56" i="6"/>
  <c r="D56" i="6"/>
  <c r="C56" i="6"/>
  <c r="B56" i="6"/>
  <c r="U47" i="6"/>
  <c r="T47" i="6"/>
  <c r="R47" i="6"/>
  <c r="Q47" i="6"/>
  <c r="L47" i="6"/>
  <c r="K47" i="6"/>
  <c r="I47" i="6"/>
  <c r="H47" i="6"/>
  <c r="G47" i="6"/>
  <c r="F47" i="6"/>
  <c r="E47" i="6"/>
  <c r="D47" i="6"/>
  <c r="C47" i="6"/>
  <c r="B47" i="6"/>
  <c r="A45" i="6"/>
  <c r="AC38" i="6"/>
  <c r="AB38" i="6"/>
  <c r="AA38" i="6"/>
  <c r="V38" i="6"/>
  <c r="U38" i="6"/>
  <c r="T38" i="6"/>
  <c r="S38" i="6"/>
  <c r="R38" i="6"/>
  <c r="Q38" i="6"/>
  <c r="M38" i="6"/>
  <c r="L38" i="6"/>
  <c r="K38" i="6"/>
  <c r="J38" i="6"/>
  <c r="I38" i="6"/>
  <c r="H38" i="6"/>
  <c r="G38" i="6"/>
  <c r="F38" i="6"/>
  <c r="E38" i="6"/>
  <c r="D38" i="6"/>
  <c r="C38" i="6"/>
  <c r="B38" i="6"/>
  <c r="U36" i="6"/>
  <c r="T36" i="6"/>
  <c r="R36" i="6"/>
  <c r="Q36" i="6"/>
  <c r="L36" i="6"/>
  <c r="K36" i="6"/>
  <c r="I36" i="6"/>
  <c r="H36" i="6"/>
  <c r="F36" i="6"/>
  <c r="E36" i="6"/>
  <c r="C36" i="6"/>
  <c r="AC27" i="6"/>
  <c r="AB27" i="6"/>
  <c r="AA27" i="6"/>
  <c r="V27" i="6"/>
  <c r="U27" i="6"/>
  <c r="T27" i="6"/>
  <c r="S27" i="6"/>
  <c r="R27" i="6"/>
  <c r="Q27" i="6"/>
  <c r="M27" i="6"/>
  <c r="L27" i="6"/>
  <c r="K27" i="6"/>
  <c r="J27" i="6"/>
  <c r="I27" i="6"/>
  <c r="H27" i="6"/>
  <c r="G27" i="6"/>
  <c r="F27" i="6"/>
  <c r="E27" i="6"/>
  <c r="D27" i="6"/>
  <c r="C27" i="6"/>
  <c r="B27" i="6"/>
  <c r="X25" i="6"/>
  <c r="X13" i="6" s="1"/>
  <c r="W25" i="6"/>
  <c r="W13" i="6" s="1"/>
  <c r="U25" i="6"/>
  <c r="U13" i="6" s="1"/>
  <c r="T25" i="6"/>
  <c r="R25" i="6"/>
  <c r="R13" i="6" s="1"/>
  <c r="Q25" i="6"/>
  <c r="Q13" i="6" s="1"/>
  <c r="O25" i="6"/>
  <c r="O13" i="6" s="1"/>
  <c r="N25" i="6"/>
  <c r="N13" i="6" s="1"/>
  <c r="L25" i="6"/>
  <c r="L13" i="6" s="1"/>
  <c r="K25" i="6"/>
  <c r="K13" i="6" s="1"/>
  <c r="I25" i="6"/>
  <c r="I13" i="6" s="1"/>
  <c r="H25" i="6"/>
  <c r="H13" i="6" s="1"/>
  <c r="F25" i="6"/>
  <c r="F13" i="6" s="1"/>
  <c r="E25" i="6"/>
  <c r="E13" i="6" s="1"/>
  <c r="C25" i="6"/>
  <c r="C13" i="6" s="1"/>
  <c r="B25" i="6"/>
  <c r="B13" i="6" s="1"/>
  <c r="A25" i="6"/>
  <c r="AC24" i="6"/>
  <c r="AB24" i="6"/>
  <c r="AA24" i="6"/>
  <c r="Y24" i="6"/>
  <c r="V24" i="6"/>
  <c r="S24" i="6"/>
  <c r="P24" i="6"/>
  <c r="M24" i="6"/>
  <c r="J24" i="6"/>
  <c r="G24" i="6"/>
  <c r="D24" i="6"/>
  <c r="AC23" i="6"/>
  <c r="AB23" i="6"/>
  <c r="AA23" i="6"/>
  <c r="Y23" i="6"/>
  <c r="V23" i="6"/>
  <c r="S23" i="6"/>
  <c r="P23" i="6"/>
  <c r="M23" i="6"/>
  <c r="J23" i="6"/>
  <c r="G23" i="6"/>
  <c r="D23" i="6"/>
  <c r="AC22" i="6"/>
  <c r="AB22" i="6"/>
  <c r="AA22" i="6"/>
  <c r="Y22" i="6"/>
  <c r="V22" i="6"/>
  <c r="S22" i="6"/>
  <c r="P22" i="6"/>
  <c r="M22" i="6"/>
  <c r="J22" i="6"/>
  <c r="G22" i="6"/>
  <c r="D22" i="6"/>
  <c r="AC21" i="6"/>
  <c r="AB21" i="6"/>
  <c r="AA21" i="6"/>
  <c r="Y21" i="6"/>
  <c r="V21" i="6"/>
  <c r="S21" i="6"/>
  <c r="P21" i="6"/>
  <c r="M21" i="6"/>
  <c r="J21" i="6"/>
  <c r="G21" i="6"/>
  <c r="D21" i="6"/>
  <c r="AC20" i="6"/>
  <c r="AB20" i="6"/>
  <c r="AA20" i="6"/>
  <c r="Y20" i="6"/>
  <c r="V20" i="6"/>
  <c r="S20" i="6"/>
  <c r="P20" i="6"/>
  <c r="M20" i="6"/>
  <c r="J20" i="6"/>
  <c r="G20" i="6"/>
  <c r="D20" i="6"/>
  <c r="AC19" i="6"/>
  <c r="AB19" i="6"/>
  <c r="AA19" i="6"/>
  <c r="Y19" i="6"/>
  <c r="V19" i="6"/>
  <c r="S19" i="6"/>
  <c r="P19" i="6"/>
  <c r="M19" i="6"/>
  <c r="J19" i="6"/>
  <c r="G19" i="6"/>
  <c r="D19" i="6"/>
  <c r="AB18" i="6"/>
  <c r="AA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Y16" i="6"/>
  <c r="P16" i="6"/>
  <c r="Y15" i="6"/>
  <c r="P15" i="6"/>
  <c r="Y14" i="6"/>
  <c r="P14" i="6"/>
  <c r="Y13" i="6"/>
  <c r="T13" i="6"/>
  <c r="P13" i="6"/>
  <c r="D12" i="6"/>
  <c r="D82" i="6" l="1"/>
  <c r="AA82" i="6"/>
  <c r="G67" i="6"/>
  <c r="J67" i="6" s="1"/>
  <c r="G78" i="6"/>
  <c r="J78" i="6" s="1"/>
  <c r="M78" i="6" s="1"/>
  <c r="P78" i="6" s="1"/>
  <c r="S78" i="6" s="1"/>
  <c r="V78" i="6" s="1"/>
  <c r="Y78" i="6" s="1"/>
  <c r="E40" i="6"/>
  <c r="F40" i="6"/>
  <c r="I40" i="6" s="1"/>
  <c r="L40" i="6" s="1"/>
  <c r="O40" i="6" s="1"/>
  <c r="R40" i="6" s="1"/>
  <c r="U40" i="6" s="1"/>
  <c r="X40" i="6" s="1"/>
  <c r="AA61" i="6"/>
  <c r="E61" i="6"/>
  <c r="H61" i="6" s="1"/>
  <c r="K61" i="6" s="1"/>
  <c r="N61" i="6" s="1"/>
  <c r="Q61" i="6" s="1"/>
  <c r="T61" i="6" s="1"/>
  <c r="W61" i="6" s="1"/>
  <c r="E68" i="6"/>
  <c r="H68" i="6" s="1"/>
  <c r="K68" i="6" s="1"/>
  <c r="N68" i="6" s="1"/>
  <c r="Q68" i="6" s="1"/>
  <c r="T68" i="6" s="1"/>
  <c r="W68" i="6" s="1"/>
  <c r="AB81" i="6"/>
  <c r="F81" i="6"/>
  <c r="I81" i="6" s="1"/>
  <c r="L81" i="6" s="1"/>
  <c r="O81" i="6" s="1"/>
  <c r="R81" i="6" s="1"/>
  <c r="U81" i="6" s="1"/>
  <c r="X81" i="6" s="1"/>
  <c r="F79" i="6"/>
  <c r="I79" i="6" s="1"/>
  <c r="L79" i="6" s="1"/>
  <c r="O79" i="6" s="1"/>
  <c r="R79" i="6" s="1"/>
  <c r="U79" i="6" s="1"/>
  <c r="X79" i="6" s="1"/>
  <c r="D77" i="6"/>
  <c r="F77" i="6"/>
  <c r="H108" i="6"/>
  <c r="AB96" i="6"/>
  <c r="D104" i="6"/>
  <c r="G104" i="6" s="1"/>
  <c r="J104" i="6" s="1"/>
  <c r="G105" i="6"/>
  <c r="J105" i="6" s="1"/>
  <c r="M105" i="6" s="1"/>
  <c r="P105" i="6" s="1"/>
  <c r="S105" i="6" s="1"/>
  <c r="V105" i="6" s="1"/>
  <c r="Y105" i="6" s="1"/>
  <c r="G107" i="6"/>
  <c r="J107" i="6" s="1"/>
  <c r="M107" i="6" s="1"/>
  <c r="P107" i="6" s="1"/>
  <c r="S107" i="6" s="1"/>
  <c r="V107" i="6" s="1"/>
  <c r="Y107" i="6" s="1"/>
  <c r="D39" i="6"/>
  <c r="G39" i="6" s="1"/>
  <c r="F39" i="6"/>
  <c r="F60" i="6"/>
  <c r="I60" i="6" s="1"/>
  <c r="L60" i="6" s="1"/>
  <c r="O60" i="6" s="1"/>
  <c r="R60" i="6" s="1"/>
  <c r="U60" i="6" s="1"/>
  <c r="X60" i="6" s="1"/>
  <c r="E83" i="6"/>
  <c r="H83" i="6" s="1"/>
  <c r="K83" i="6" s="1"/>
  <c r="N83" i="6" s="1"/>
  <c r="Q83" i="6" s="1"/>
  <c r="T83" i="6" s="1"/>
  <c r="W83" i="6" s="1"/>
  <c r="G92" i="6"/>
  <c r="J92" i="6" s="1"/>
  <c r="M92" i="6" s="1"/>
  <c r="P92" i="6" s="1"/>
  <c r="S92" i="6" s="1"/>
  <c r="V92" i="6" s="1"/>
  <c r="Y92" i="6" s="1"/>
  <c r="D91" i="6"/>
  <c r="G91" i="6" s="1"/>
  <c r="J91" i="6" s="1"/>
  <c r="M91" i="6" s="1"/>
  <c r="P91" i="6" s="1"/>
  <c r="S91" i="6" s="1"/>
  <c r="V91" i="6" s="1"/>
  <c r="Y91" i="6" s="1"/>
  <c r="E91" i="6"/>
  <c r="H91" i="6" s="1"/>
  <c r="K91" i="6" s="1"/>
  <c r="N91" i="6" s="1"/>
  <c r="Q91" i="6" s="1"/>
  <c r="T91" i="6" s="1"/>
  <c r="W91" i="6" s="1"/>
  <c r="B84" i="6"/>
  <c r="C93" i="6"/>
  <c r="H93" i="6"/>
  <c r="N108" i="6"/>
  <c r="AB49" i="6"/>
  <c r="AC63" i="6"/>
  <c r="G82" i="6"/>
  <c r="J82" i="6" s="1"/>
  <c r="M82" i="6" s="1"/>
  <c r="P82" i="6" s="1"/>
  <c r="S82" i="6" s="1"/>
  <c r="V82" i="6" s="1"/>
  <c r="Y82" i="6" s="1"/>
  <c r="AA87" i="6"/>
  <c r="D89" i="6"/>
  <c r="G89" i="6" s="1"/>
  <c r="J89" i="6" s="1"/>
  <c r="M89" i="6" s="1"/>
  <c r="P89" i="6" s="1"/>
  <c r="S89" i="6" s="1"/>
  <c r="V89" i="6" s="1"/>
  <c r="Y89" i="6" s="1"/>
  <c r="D96" i="6"/>
  <c r="G96" i="6" s="1"/>
  <c r="J96" i="6" s="1"/>
  <c r="M96" i="6" s="1"/>
  <c r="AA98" i="6"/>
  <c r="AA101" i="6" s="1"/>
  <c r="AC100" i="6"/>
  <c r="G100" i="6"/>
  <c r="J100" i="6" s="1"/>
  <c r="M100" i="6" s="1"/>
  <c r="P100" i="6" s="1"/>
  <c r="S100" i="6" s="1"/>
  <c r="V100" i="6" s="1"/>
  <c r="Y100" i="6" s="1"/>
  <c r="F42" i="6"/>
  <c r="I42" i="6" s="1"/>
  <c r="L42" i="6" s="1"/>
  <c r="O42" i="6" s="1"/>
  <c r="R42" i="6" s="1"/>
  <c r="U42" i="6" s="1"/>
  <c r="X42" i="6" s="1"/>
  <c r="D48" i="6"/>
  <c r="G48" i="6" s="1"/>
  <c r="F48" i="6"/>
  <c r="E62" i="6"/>
  <c r="H62" i="6" s="1"/>
  <c r="K62" i="6" s="1"/>
  <c r="N62" i="6" s="1"/>
  <c r="Q62" i="6" s="1"/>
  <c r="T62" i="6" s="1"/>
  <c r="W62" i="6" s="1"/>
  <c r="AA60" i="6"/>
  <c r="E60" i="6"/>
  <c r="H60" i="6" s="1"/>
  <c r="K60" i="6" s="1"/>
  <c r="N60" i="6" s="1"/>
  <c r="Q60" i="6" s="1"/>
  <c r="T60" i="6" s="1"/>
  <c r="W60" i="6" s="1"/>
  <c r="E58" i="6"/>
  <c r="H58" i="6" s="1"/>
  <c r="B73" i="6"/>
  <c r="E67" i="6"/>
  <c r="AB91" i="6"/>
  <c r="F92" i="6"/>
  <c r="D99" i="6"/>
  <c r="F99" i="6"/>
  <c r="D97" i="6"/>
  <c r="F97" i="6"/>
  <c r="F101" i="6" s="1"/>
  <c r="G53" i="6"/>
  <c r="J53" i="6" s="1"/>
  <c r="M53" i="6" s="1"/>
  <c r="P53" i="6" s="1"/>
  <c r="S53" i="6" s="1"/>
  <c r="V53" i="6" s="1"/>
  <c r="Y53" i="6" s="1"/>
  <c r="E49" i="6"/>
  <c r="H49" i="6" s="1"/>
  <c r="K49" i="6" s="1"/>
  <c r="N49" i="6" s="1"/>
  <c r="Q49" i="6" s="1"/>
  <c r="T49" i="6" s="1"/>
  <c r="W49" i="6" s="1"/>
  <c r="E59" i="6"/>
  <c r="H59" i="6" s="1"/>
  <c r="K59" i="6" s="1"/>
  <c r="N59" i="6" s="1"/>
  <c r="Q59" i="6" s="1"/>
  <c r="T59" i="6" s="1"/>
  <c r="W59" i="6" s="1"/>
  <c r="B108" i="6"/>
  <c r="Q108" i="6"/>
  <c r="D87" i="6"/>
  <c r="D98" i="6"/>
  <c r="AB62" i="6"/>
  <c r="F62" i="6"/>
  <c r="I62" i="6" s="1"/>
  <c r="L62" i="6" s="1"/>
  <c r="O62" i="6" s="1"/>
  <c r="R62" i="6" s="1"/>
  <c r="U62" i="6" s="1"/>
  <c r="X62" i="6" s="1"/>
  <c r="F58" i="6"/>
  <c r="I58" i="6" s="1"/>
  <c r="L58" i="6" s="1"/>
  <c r="O58" i="6" s="1"/>
  <c r="R58" i="6" s="1"/>
  <c r="U58" i="6" s="1"/>
  <c r="X58" i="6" s="1"/>
  <c r="E79" i="6"/>
  <c r="H79" i="6" s="1"/>
  <c r="E84" i="6"/>
  <c r="H101" i="6"/>
  <c r="Q101" i="6"/>
  <c r="E108" i="6"/>
  <c r="K108" i="6"/>
  <c r="T108" i="6"/>
  <c r="AA39" i="6"/>
  <c r="G50" i="6"/>
  <c r="J50" i="6" s="1"/>
  <c r="M50" i="6" s="1"/>
  <c r="P50" i="6" s="1"/>
  <c r="S50" i="6" s="1"/>
  <c r="V50" i="6" s="1"/>
  <c r="Y50" i="6" s="1"/>
  <c r="AC52" i="6"/>
  <c r="AB67" i="6"/>
  <c r="G69" i="6"/>
  <c r="J69" i="6" s="1"/>
  <c r="M69" i="6" s="1"/>
  <c r="P69" i="6" s="1"/>
  <c r="S69" i="6" s="1"/>
  <c r="V69" i="6" s="1"/>
  <c r="Y69" i="6" s="1"/>
  <c r="G72" i="6"/>
  <c r="J72" i="6" s="1"/>
  <c r="M72" i="6" s="1"/>
  <c r="P72" i="6" s="1"/>
  <c r="S72" i="6" s="1"/>
  <c r="V72" i="6" s="1"/>
  <c r="Y72" i="6" s="1"/>
  <c r="AA77" i="6"/>
  <c r="AB87" i="6"/>
  <c r="AA89" i="6"/>
  <c r="AB98" i="6"/>
  <c r="AA104" i="6"/>
  <c r="F41" i="6"/>
  <c r="I41" i="6" s="1"/>
  <c r="L41" i="6" s="1"/>
  <c r="O41" i="6" s="1"/>
  <c r="R41" i="6" s="1"/>
  <c r="U41" i="6" s="1"/>
  <c r="X41" i="6" s="1"/>
  <c r="B54" i="6"/>
  <c r="E48" i="6"/>
  <c r="F59" i="6"/>
  <c r="I59" i="6" s="1"/>
  <c r="L59" i="6" s="1"/>
  <c r="O59" i="6" s="1"/>
  <c r="R59" i="6" s="1"/>
  <c r="U59" i="6" s="1"/>
  <c r="X59" i="6" s="1"/>
  <c r="F57" i="6"/>
  <c r="D68" i="6"/>
  <c r="F68" i="6"/>
  <c r="AA91" i="6"/>
  <c r="E90" i="6"/>
  <c r="H90" i="6" s="1"/>
  <c r="K90" i="6" s="1"/>
  <c r="N90" i="6" s="1"/>
  <c r="Q90" i="6" s="1"/>
  <c r="T90" i="6" s="1"/>
  <c r="W90" i="6" s="1"/>
  <c r="E88" i="6"/>
  <c r="H88" i="6" s="1"/>
  <c r="K88" i="6" s="1"/>
  <c r="AB108" i="6"/>
  <c r="AA108" i="6"/>
  <c r="G108" i="6"/>
  <c r="Y36" i="6"/>
  <c r="P36" i="6"/>
  <c r="M36" i="6"/>
  <c r="D41" i="6"/>
  <c r="G41" i="6" s="1"/>
  <c r="J41" i="6" s="1"/>
  <c r="M41" i="6" s="1"/>
  <c r="P41" i="6" s="1"/>
  <c r="S41" i="6" s="1"/>
  <c r="V41" i="6" s="1"/>
  <c r="Y41" i="6" s="1"/>
  <c r="D83" i="6"/>
  <c r="C101" i="6"/>
  <c r="AC89" i="6"/>
  <c r="D88" i="6"/>
  <c r="D90" i="6"/>
  <c r="G90" i="6" s="1"/>
  <c r="J90" i="6" s="1"/>
  <c r="M90" i="6" s="1"/>
  <c r="P90" i="6" s="1"/>
  <c r="S90" i="6" s="1"/>
  <c r="V90" i="6" s="1"/>
  <c r="Y90" i="6" s="1"/>
  <c r="AC91" i="6"/>
  <c r="D81" i="6"/>
  <c r="G81" i="6" s="1"/>
  <c r="J81" i="6" s="1"/>
  <c r="M81" i="6" s="1"/>
  <c r="P81" i="6" s="1"/>
  <c r="S81" i="6" s="1"/>
  <c r="V81" i="6" s="1"/>
  <c r="Y81" i="6" s="1"/>
  <c r="C54" i="6"/>
  <c r="B64" i="6"/>
  <c r="AC76" i="6"/>
  <c r="AC80" i="6"/>
  <c r="C84" i="6"/>
  <c r="D79" i="6"/>
  <c r="G79" i="6" s="1"/>
  <c r="J79" i="6" s="1"/>
  <c r="M79" i="6" s="1"/>
  <c r="P79" i="6" s="1"/>
  <c r="S79" i="6" s="1"/>
  <c r="V79" i="6" s="1"/>
  <c r="Y79" i="6" s="1"/>
  <c r="AB83" i="6"/>
  <c r="AA81" i="6"/>
  <c r="D30" i="6"/>
  <c r="AC30" i="6" s="1"/>
  <c r="D57" i="6"/>
  <c r="D28" i="6"/>
  <c r="AC28" i="6" s="1"/>
  <c r="D49" i="6"/>
  <c r="D59" i="6"/>
  <c r="D29" i="6"/>
  <c r="AC29" i="6" s="1"/>
  <c r="AA41" i="6"/>
  <c r="AB36" i="6"/>
  <c r="D61" i="6"/>
  <c r="C45" i="6"/>
  <c r="C73" i="6"/>
  <c r="D73" i="6"/>
  <c r="C64" i="6"/>
  <c r="D58" i="6"/>
  <c r="D60" i="6"/>
  <c r="G60" i="6" s="1"/>
  <c r="J60" i="6" s="1"/>
  <c r="M60" i="6" s="1"/>
  <c r="P60" i="6" s="1"/>
  <c r="S60" i="6" s="1"/>
  <c r="V60" i="6" s="1"/>
  <c r="Y60" i="6" s="1"/>
  <c r="D62" i="6"/>
  <c r="D42" i="6"/>
  <c r="D40" i="6"/>
  <c r="B45" i="6"/>
  <c r="AA42" i="6"/>
  <c r="AC106" i="6"/>
  <c r="B36" i="6"/>
  <c r="D13" i="6"/>
  <c r="D25" i="6"/>
  <c r="P25" i="6"/>
  <c r="G25" i="6"/>
  <c r="S25" i="6"/>
  <c r="AA25" i="6"/>
  <c r="AA13" i="6" s="1"/>
  <c r="J115" i="6"/>
  <c r="V115" i="6"/>
  <c r="AC115" i="6"/>
  <c r="G115" i="6"/>
  <c r="S115" i="6"/>
  <c r="AB115" i="6"/>
  <c r="M123" i="6"/>
  <c r="Y123" i="6"/>
  <c r="AC123" i="6"/>
  <c r="AC25" i="6"/>
  <c r="AB25" i="6"/>
  <c r="AA36" i="6"/>
  <c r="J13" i="6"/>
  <c r="V13" i="6"/>
  <c r="AB13" i="6"/>
  <c r="M13" i="6"/>
  <c r="J25" i="6"/>
  <c r="V25" i="6"/>
  <c r="G36" i="6"/>
  <c r="S36" i="6"/>
  <c r="M115" i="6"/>
  <c r="Y115" i="6"/>
  <c r="D115" i="6"/>
  <c r="P115" i="6"/>
  <c r="D123" i="6"/>
  <c r="P123" i="6"/>
  <c r="AA123" i="6"/>
  <c r="J123" i="6"/>
  <c r="V123" i="6"/>
  <c r="AC13" i="6"/>
  <c r="M25" i="6"/>
  <c r="Y25" i="6"/>
  <c r="J36" i="6"/>
  <c r="V36" i="6"/>
  <c r="D101" i="6"/>
  <c r="AA115" i="6"/>
  <c r="G123" i="6"/>
  <c r="S123" i="6"/>
  <c r="G13" i="6"/>
  <c r="S13" i="6"/>
  <c r="G40" i="6" l="1"/>
  <c r="J40" i="6" s="1"/>
  <c r="M40" i="6" s="1"/>
  <c r="P40" i="6" s="1"/>
  <c r="S40" i="6" s="1"/>
  <c r="V40" i="6" s="1"/>
  <c r="Y40" i="6" s="1"/>
  <c r="AC58" i="6"/>
  <c r="G58" i="6"/>
  <c r="J58" i="6" s="1"/>
  <c r="M58" i="6" s="1"/>
  <c r="P58" i="6" s="1"/>
  <c r="S58" i="6" s="1"/>
  <c r="V58" i="6" s="1"/>
  <c r="Y58" i="6" s="1"/>
  <c r="I92" i="6"/>
  <c r="F93" i="6"/>
  <c r="J48" i="6"/>
  <c r="G77" i="6"/>
  <c r="E64" i="6"/>
  <c r="AC92" i="6"/>
  <c r="AC107" i="6"/>
  <c r="AC41" i="6"/>
  <c r="D54" i="6"/>
  <c r="G62" i="6"/>
  <c r="J62" i="6" s="1"/>
  <c r="M62" i="6" s="1"/>
  <c r="P62" i="6" s="1"/>
  <c r="S62" i="6" s="1"/>
  <c r="V62" i="6" s="1"/>
  <c r="Y62" i="6" s="1"/>
  <c r="G57" i="6"/>
  <c r="AC81" i="6"/>
  <c r="AC90" i="6"/>
  <c r="G83" i="6"/>
  <c r="J83" i="6" s="1"/>
  <c r="M83" i="6" s="1"/>
  <c r="P83" i="6" s="1"/>
  <c r="S83" i="6" s="1"/>
  <c r="V83" i="6" s="1"/>
  <c r="Y83" i="6" s="1"/>
  <c r="AA90" i="6"/>
  <c r="G68" i="6"/>
  <c r="AB59" i="6"/>
  <c r="AB41" i="6"/>
  <c r="AB58" i="6"/>
  <c r="G87" i="6"/>
  <c r="I99" i="6"/>
  <c r="L99" i="6" s="1"/>
  <c r="O99" i="6" s="1"/>
  <c r="R99" i="6" s="1"/>
  <c r="U99" i="6" s="1"/>
  <c r="X99" i="6" s="1"/>
  <c r="AB99" i="6"/>
  <c r="AA62" i="6"/>
  <c r="AB42" i="6"/>
  <c r="P96" i="6"/>
  <c r="AC82" i="6"/>
  <c r="I39" i="6"/>
  <c r="F45" i="6"/>
  <c r="F14" i="6" s="1"/>
  <c r="F15" i="6" s="1"/>
  <c r="AB79" i="6"/>
  <c r="AA68" i="6"/>
  <c r="AB40" i="6"/>
  <c r="AC78" i="6"/>
  <c r="G49" i="6"/>
  <c r="J49" i="6" s="1"/>
  <c r="M49" i="6" s="1"/>
  <c r="P49" i="6" s="1"/>
  <c r="S49" i="6" s="1"/>
  <c r="V49" i="6" s="1"/>
  <c r="Y49" i="6" s="1"/>
  <c r="I97" i="6"/>
  <c r="M104" i="6"/>
  <c r="J108" i="6"/>
  <c r="AC42" i="6"/>
  <c r="G42" i="6"/>
  <c r="J42" i="6" s="1"/>
  <c r="M42" i="6" s="1"/>
  <c r="P42" i="6" s="1"/>
  <c r="S42" i="6" s="1"/>
  <c r="V42" i="6" s="1"/>
  <c r="Y42" i="6" s="1"/>
  <c r="G61" i="6"/>
  <c r="J61" i="6" s="1"/>
  <c r="M61" i="6" s="1"/>
  <c r="P61" i="6" s="1"/>
  <c r="S61" i="6" s="1"/>
  <c r="V61" i="6" s="1"/>
  <c r="Y61" i="6" s="1"/>
  <c r="AC88" i="6"/>
  <c r="G88" i="6"/>
  <c r="J88" i="6" s="1"/>
  <c r="M88" i="6" s="1"/>
  <c r="P88" i="6" s="1"/>
  <c r="S88" i="6" s="1"/>
  <c r="V88" i="6" s="1"/>
  <c r="Y88" i="6" s="1"/>
  <c r="I68" i="6"/>
  <c r="F73" i="6"/>
  <c r="AC72" i="6"/>
  <c r="G98" i="6"/>
  <c r="J98" i="6" s="1"/>
  <c r="M98" i="6" s="1"/>
  <c r="P98" i="6" s="1"/>
  <c r="S98" i="6" s="1"/>
  <c r="V98" i="6" s="1"/>
  <c r="Y98" i="6" s="1"/>
  <c r="AA49" i="6"/>
  <c r="G97" i="6"/>
  <c r="K58" i="6"/>
  <c r="H64" i="6"/>
  <c r="AB60" i="6"/>
  <c r="G59" i="6"/>
  <c r="J59" i="6" s="1"/>
  <c r="M59" i="6" s="1"/>
  <c r="P59" i="6" s="1"/>
  <c r="S59" i="6" s="1"/>
  <c r="V59" i="6" s="1"/>
  <c r="Y59" i="6" s="1"/>
  <c r="N88" i="6"/>
  <c r="K93" i="6"/>
  <c r="I57" i="6"/>
  <c r="F64" i="6"/>
  <c r="H48" i="6"/>
  <c r="E54" i="6"/>
  <c r="AC69" i="6"/>
  <c r="AC50" i="6"/>
  <c r="E93" i="6"/>
  <c r="K79" i="6"/>
  <c r="H84" i="6"/>
  <c r="AA59" i="6"/>
  <c r="AC53" i="6"/>
  <c r="AC99" i="6"/>
  <c r="G99" i="6"/>
  <c r="J99" i="6" s="1"/>
  <c r="M99" i="6" s="1"/>
  <c r="P99" i="6" s="1"/>
  <c r="S99" i="6" s="1"/>
  <c r="V99" i="6" s="1"/>
  <c r="Y99" i="6" s="1"/>
  <c r="H67" i="6"/>
  <c r="E73" i="6"/>
  <c r="I48" i="6"/>
  <c r="F54" i="6"/>
  <c r="AA83" i="6"/>
  <c r="J39" i="6"/>
  <c r="AC105" i="6"/>
  <c r="I77" i="6"/>
  <c r="F84" i="6"/>
  <c r="H40" i="6"/>
  <c r="E45" i="6"/>
  <c r="M67" i="6"/>
  <c r="AC36" i="6"/>
  <c r="H7" i="5" s="1"/>
  <c r="D45" i="6"/>
  <c r="C14" i="6"/>
  <c r="C16" i="6" s="1"/>
  <c r="F12" i="6" s="1"/>
  <c r="D84" i="6"/>
  <c r="D36" i="6"/>
  <c r="AC79" i="6"/>
  <c r="D64" i="6"/>
  <c r="AC60" i="6"/>
  <c r="P67" i="6" l="1"/>
  <c r="L77" i="6"/>
  <c r="I84" i="6"/>
  <c r="L97" i="6"/>
  <c r="I101" i="6"/>
  <c r="S96" i="6"/>
  <c r="AC62" i="6"/>
  <c r="K40" i="6"/>
  <c r="H45" i="6"/>
  <c r="H14" i="6" s="1"/>
  <c r="G45" i="6"/>
  <c r="K67" i="6"/>
  <c r="H73" i="6"/>
  <c r="K48" i="6"/>
  <c r="H54" i="6"/>
  <c r="Q88" i="6"/>
  <c r="N93" i="6"/>
  <c r="N58" i="6"/>
  <c r="K64" i="6"/>
  <c r="L68" i="6"/>
  <c r="I73" i="6"/>
  <c r="AC61" i="6"/>
  <c r="P104" i="6"/>
  <c r="M108" i="6"/>
  <c r="AC49" i="6"/>
  <c r="J87" i="6"/>
  <c r="G93" i="6"/>
  <c r="J57" i="6"/>
  <c r="G64" i="6"/>
  <c r="L92" i="6"/>
  <c r="I93" i="6"/>
  <c r="AC40" i="6"/>
  <c r="N79" i="6"/>
  <c r="K84" i="6"/>
  <c r="L57" i="6"/>
  <c r="I64" i="6"/>
  <c r="M48" i="6"/>
  <c r="J54" i="6"/>
  <c r="E14" i="6"/>
  <c r="AC59" i="6"/>
  <c r="L39" i="6"/>
  <c r="I45" i="6"/>
  <c r="J77" i="6"/>
  <c r="G84" i="6"/>
  <c r="F16" i="6"/>
  <c r="I12" i="6" s="1"/>
  <c r="M39" i="6"/>
  <c r="J45" i="6"/>
  <c r="L48" i="6"/>
  <c r="I54" i="6"/>
  <c r="J97" i="6"/>
  <c r="G101" i="6"/>
  <c r="AC98" i="6"/>
  <c r="J68" i="6"/>
  <c r="G73" i="6"/>
  <c r="AC83" i="6"/>
  <c r="G54" i="6"/>
  <c r="C15" i="6"/>
  <c r="AB84" i="6" l="1"/>
  <c r="AB93" i="6"/>
  <c r="P39" i="6"/>
  <c r="M45" i="6"/>
  <c r="M77" i="6"/>
  <c r="J84" i="6"/>
  <c r="M57" i="6"/>
  <c r="J64" i="6"/>
  <c r="N48" i="6"/>
  <c r="K54" i="6"/>
  <c r="V96" i="6"/>
  <c r="S67" i="6"/>
  <c r="O48" i="6"/>
  <c r="L54" i="6"/>
  <c r="AB54" i="6" s="1"/>
  <c r="O68" i="6"/>
  <c r="L73" i="6"/>
  <c r="AB73" i="6" s="1"/>
  <c r="AB101" i="6"/>
  <c r="O77" i="6"/>
  <c r="L84" i="6"/>
  <c r="E15" i="6"/>
  <c r="G15" i="6" s="1"/>
  <c r="G14" i="6"/>
  <c r="O92" i="6"/>
  <c r="L93" i="6"/>
  <c r="M87" i="6"/>
  <c r="J93" i="6"/>
  <c r="T88" i="6"/>
  <c r="Q93" i="6"/>
  <c r="N67" i="6"/>
  <c r="K73" i="6"/>
  <c r="N40" i="6"/>
  <c r="K45" i="6"/>
  <c r="O97" i="6"/>
  <c r="L101" i="6"/>
  <c r="O57" i="6"/>
  <c r="L64" i="6"/>
  <c r="P48" i="6"/>
  <c r="M54" i="6"/>
  <c r="S104" i="6"/>
  <c r="P108" i="6"/>
  <c r="H15" i="6"/>
  <c r="M97" i="6"/>
  <c r="J101" i="6"/>
  <c r="I14" i="6"/>
  <c r="M68" i="6"/>
  <c r="J73" i="6"/>
  <c r="O39" i="6"/>
  <c r="L45" i="6"/>
  <c r="AB64" i="6"/>
  <c r="Q79" i="6"/>
  <c r="N84" i="6"/>
  <c r="Q58" i="6"/>
  <c r="N64" i="6"/>
  <c r="T58" i="6" l="1"/>
  <c r="Q64" i="6"/>
  <c r="S48" i="6"/>
  <c r="P54" i="6"/>
  <c r="K14" i="6"/>
  <c r="P87" i="6"/>
  <c r="M93" i="6"/>
  <c r="P68" i="6"/>
  <c r="M73" i="6"/>
  <c r="P97" i="6"/>
  <c r="M101" i="6"/>
  <c r="R48" i="6"/>
  <c r="O54" i="6"/>
  <c r="Y96" i="6"/>
  <c r="R77" i="6"/>
  <c r="O84" i="6"/>
  <c r="V67" i="6"/>
  <c r="L14" i="6"/>
  <c r="L15" i="6" s="1"/>
  <c r="AB45" i="6"/>
  <c r="Q67" i="6"/>
  <c r="N73" i="6"/>
  <c r="Q48" i="6"/>
  <c r="N54" i="6"/>
  <c r="P77" i="6"/>
  <c r="M84" i="6"/>
  <c r="R39" i="6"/>
  <c r="O45" i="6"/>
  <c r="Q40" i="6"/>
  <c r="N45" i="6"/>
  <c r="T79" i="6"/>
  <c r="Q84" i="6"/>
  <c r="I15" i="6"/>
  <c r="AB15" i="6" s="1"/>
  <c r="I16" i="6"/>
  <c r="L12" i="6" s="1"/>
  <c r="J14" i="6"/>
  <c r="V104" i="6"/>
  <c r="S108" i="6"/>
  <c r="R57" i="6"/>
  <c r="O64" i="6"/>
  <c r="R97" i="6"/>
  <c r="O101" i="6"/>
  <c r="W88" i="6"/>
  <c r="W93" i="6" s="1"/>
  <c r="T93" i="6"/>
  <c r="R92" i="6"/>
  <c r="O93" i="6"/>
  <c r="R68" i="6"/>
  <c r="O73" i="6"/>
  <c r="P57" i="6"/>
  <c r="M64" i="6"/>
  <c r="S39" i="6"/>
  <c r="P45" i="6"/>
  <c r="L16" i="6"/>
  <c r="AB12" i="6"/>
  <c r="W79" i="6" l="1"/>
  <c r="W84" i="6" s="1"/>
  <c r="T84" i="6"/>
  <c r="T40" i="6"/>
  <c r="Q45" i="6"/>
  <c r="S87" i="6"/>
  <c r="P93" i="6"/>
  <c r="U92" i="6"/>
  <c r="R93" i="6"/>
  <c r="U77" i="6"/>
  <c r="R84" i="6"/>
  <c r="U48" i="6"/>
  <c r="R54" i="6"/>
  <c r="S68" i="6"/>
  <c r="P73" i="6"/>
  <c r="S57" i="6"/>
  <c r="P64" i="6"/>
  <c r="U68" i="6"/>
  <c r="R73" i="6"/>
  <c r="AB14" i="6"/>
  <c r="AB16" i="6" s="1"/>
  <c r="AA79" i="6"/>
  <c r="AA84" i="6" s="1"/>
  <c r="O14" i="6"/>
  <c r="O15" i="6" s="1"/>
  <c r="S77" i="6"/>
  <c r="P84" i="6"/>
  <c r="T67" i="6"/>
  <c r="Q73" i="6"/>
  <c r="W58" i="6"/>
  <c r="T64" i="6"/>
  <c r="U97" i="6"/>
  <c r="R101" i="6"/>
  <c r="Y104" i="6"/>
  <c r="Y108" i="6" s="1"/>
  <c r="V108" i="6"/>
  <c r="AC104" i="6"/>
  <c r="AC108" i="6" s="1"/>
  <c r="H15" i="5" s="1"/>
  <c r="T48" i="6"/>
  <c r="Q54" i="6"/>
  <c r="K15" i="6"/>
  <c r="M15" i="6" s="1"/>
  <c r="M14" i="6"/>
  <c r="AA88" i="6"/>
  <c r="U57" i="6"/>
  <c r="R64" i="6"/>
  <c r="V39" i="6"/>
  <c r="S45" i="6"/>
  <c r="N14" i="6"/>
  <c r="N15" i="6" s="1"/>
  <c r="U39" i="6"/>
  <c r="R45" i="6"/>
  <c r="Y67" i="6"/>
  <c r="AC96" i="6"/>
  <c r="S97" i="6"/>
  <c r="P101" i="6"/>
  <c r="V48" i="6"/>
  <c r="S54" i="6"/>
  <c r="J15" i="6"/>
  <c r="O12" i="6"/>
  <c r="X39" i="6" l="1"/>
  <c r="X45" i="6" s="1"/>
  <c r="U45" i="6"/>
  <c r="AB39" i="6"/>
  <c r="X97" i="6"/>
  <c r="X101" i="6" s="1"/>
  <c r="U101" i="6"/>
  <c r="X68" i="6"/>
  <c r="X73" i="6" s="1"/>
  <c r="U73" i="6"/>
  <c r="AB68" i="6"/>
  <c r="X92" i="6"/>
  <c r="X93" i="6" s="1"/>
  <c r="U93" i="6"/>
  <c r="AB92" i="6"/>
  <c r="Y39" i="6"/>
  <c r="V45" i="6"/>
  <c r="W64" i="6"/>
  <c r="AA58" i="6"/>
  <c r="AA64" i="6" s="1"/>
  <c r="V68" i="6"/>
  <c r="S73" i="6"/>
  <c r="Q14" i="6"/>
  <c r="X57" i="6"/>
  <c r="X64" i="6" s="1"/>
  <c r="U64" i="6"/>
  <c r="W67" i="6"/>
  <c r="W73" i="6" s="1"/>
  <c r="T73" i="6"/>
  <c r="AA67" i="6"/>
  <c r="AA73" i="6" s="1"/>
  <c r="X48" i="6"/>
  <c r="X54" i="6" s="1"/>
  <c r="U54" i="6"/>
  <c r="W40" i="6"/>
  <c r="T45" i="6"/>
  <c r="V97" i="6"/>
  <c r="S101" i="6"/>
  <c r="AC67" i="6"/>
  <c r="Y48" i="6"/>
  <c r="Y54" i="6" s="1"/>
  <c r="V54" i="6"/>
  <c r="AC48" i="6"/>
  <c r="AC54" i="6" s="1"/>
  <c r="H9" i="5" s="1"/>
  <c r="R14" i="6"/>
  <c r="R15" i="6" s="1"/>
  <c r="W48" i="6"/>
  <c r="T54" i="6"/>
  <c r="V77" i="6"/>
  <c r="S84" i="6"/>
  <c r="V57" i="6"/>
  <c r="S64" i="6"/>
  <c r="AB48" i="6"/>
  <c r="X77" i="6"/>
  <c r="X84" i="6" s="1"/>
  <c r="U84" i="6"/>
  <c r="AB77" i="6"/>
  <c r="V87" i="6"/>
  <c r="S93" i="6"/>
  <c r="O16" i="6"/>
  <c r="R12" i="6" s="1"/>
  <c r="Y87" i="6" l="1"/>
  <c r="Y93" i="6" s="1"/>
  <c r="V93" i="6"/>
  <c r="AC87" i="6"/>
  <c r="Y57" i="6"/>
  <c r="V64" i="6"/>
  <c r="T14" i="6"/>
  <c r="Y45" i="6"/>
  <c r="AC39" i="6"/>
  <c r="AC45" i="6" s="1"/>
  <c r="H8" i="5" s="1"/>
  <c r="W54" i="6"/>
  <c r="AA48" i="6"/>
  <c r="AA54" i="6" s="1"/>
  <c r="W45" i="6"/>
  <c r="W14" i="6" s="1"/>
  <c r="W15" i="6" s="1"/>
  <c r="AA40" i="6"/>
  <c r="AA45" i="6" s="1"/>
  <c r="Q15" i="6"/>
  <c r="S15" i="6" s="1"/>
  <c r="S14" i="6"/>
  <c r="AB97" i="6"/>
  <c r="U14" i="6"/>
  <c r="U15" i="6" s="1"/>
  <c r="AB57" i="6"/>
  <c r="Y77" i="6"/>
  <c r="V84" i="6"/>
  <c r="Y97" i="6"/>
  <c r="Y101" i="6" s="1"/>
  <c r="V101" i="6"/>
  <c r="AC97" i="6"/>
  <c r="AC101" i="6" s="1"/>
  <c r="H14" i="5" s="1"/>
  <c r="Y68" i="6"/>
  <c r="Y73" i="6" s="1"/>
  <c r="V73" i="6"/>
  <c r="X14" i="6"/>
  <c r="X15" i="6" s="1"/>
  <c r="R16" i="6"/>
  <c r="J9" i="3"/>
  <c r="C13" i="3"/>
  <c r="H2" i="3" s="1"/>
  <c r="E33" i="3"/>
  <c r="E34" i="3"/>
  <c r="E35" i="3"/>
  <c r="E36" i="3"/>
  <c r="E37" i="3"/>
  <c r="E38" i="3"/>
  <c r="E32" i="3"/>
  <c r="B7" i="5"/>
  <c r="A27" i="6" s="1"/>
  <c r="A36" i="6" s="1"/>
  <c r="B8" i="5"/>
  <c r="B9" i="5"/>
  <c r="B10" i="5"/>
  <c r="B11" i="5"/>
  <c r="B12" i="5"/>
  <c r="B13" i="5"/>
  <c r="B14" i="5"/>
  <c r="B15" i="5"/>
  <c r="J24" i="3"/>
  <c r="J25" i="3"/>
  <c r="J26" i="3"/>
  <c r="J27" i="3"/>
  <c r="J23" i="3"/>
  <c r="I20" i="3"/>
  <c r="J33" i="3"/>
  <c r="J34" i="3"/>
  <c r="J35" i="3"/>
  <c r="J32" i="3"/>
  <c r="E43" i="3"/>
  <c r="E44" i="3"/>
  <c r="E45" i="3"/>
  <c r="E46" i="3"/>
  <c r="E47" i="3"/>
  <c r="E42" i="3"/>
  <c r="J15" i="3"/>
  <c r="J16" i="3"/>
  <c r="J17" i="3"/>
  <c r="J18" i="3"/>
  <c r="J19" i="3"/>
  <c r="J14" i="3"/>
  <c r="J2" i="3"/>
  <c r="J13" i="3" s="1"/>
  <c r="J22" i="3" s="1"/>
  <c r="J31" i="3" s="1"/>
  <c r="I2" i="3"/>
  <c r="I13" i="3" s="1"/>
  <c r="I22" i="3" s="1"/>
  <c r="I31" i="3" s="1"/>
  <c r="J4" i="3"/>
  <c r="J5" i="3"/>
  <c r="J6" i="3"/>
  <c r="J7" i="3"/>
  <c r="J8" i="3"/>
  <c r="J10" i="3"/>
  <c r="J3" i="3"/>
  <c r="D41" i="3"/>
  <c r="E31" i="3"/>
  <c r="E41" i="3" s="1"/>
  <c r="E24" i="3"/>
  <c r="E25" i="3"/>
  <c r="E26" i="3"/>
  <c r="E27" i="3"/>
  <c r="E28" i="3"/>
  <c r="E23" i="3"/>
  <c r="E15" i="3"/>
  <c r="E16" i="3"/>
  <c r="E17" i="3"/>
  <c r="E18" i="3"/>
  <c r="E19" i="3"/>
  <c r="E14" i="3"/>
  <c r="E4" i="3"/>
  <c r="E5" i="3"/>
  <c r="E6" i="3"/>
  <c r="E7" i="3"/>
  <c r="E8" i="3"/>
  <c r="E9" i="3"/>
  <c r="E10" i="3"/>
  <c r="AC68" i="6" l="1"/>
  <c r="AC73" i="6" s="1"/>
  <c r="H11" i="5" s="1"/>
  <c r="Y64" i="6"/>
  <c r="AC57" i="6"/>
  <c r="AC64" i="6" s="1"/>
  <c r="H10" i="5" s="1"/>
  <c r="Y84" i="6"/>
  <c r="AC77" i="6"/>
  <c r="AC84" i="6" s="1"/>
  <c r="H12" i="5" s="1"/>
  <c r="T15" i="6"/>
  <c r="V15" i="6" s="1"/>
  <c r="V14" i="6"/>
  <c r="U12" i="6"/>
  <c r="C22" i="3"/>
  <c r="C31" i="3" s="1"/>
  <c r="H13" i="3"/>
  <c r="E11" i="3"/>
  <c r="C7" i="5" s="1"/>
  <c r="E48" i="3"/>
  <c r="C11" i="5" s="1"/>
  <c r="E20" i="3"/>
  <c r="C8" i="5" s="1"/>
  <c r="J11" i="3"/>
  <c r="C12" i="5" s="1"/>
  <c r="J36" i="3"/>
  <c r="C15" i="5" s="1"/>
  <c r="J20" i="3"/>
  <c r="C13" i="5" s="1"/>
  <c r="E29" i="3"/>
  <c r="C9" i="5" s="1"/>
  <c r="U16" i="6" l="1"/>
  <c r="C41" i="3"/>
  <c r="H22" i="3"/>
  <c r="H31" i="3"/>
  <c r="X12" i="6" l="1"/>
  <c r="X16" i="6" l="1"/>
  <c r="C11" i="3" l="1"/>
  <c r="C20" i="3"/>
  <c r="C29" i="3"/>
  <c r="C39" i="3"/>
  <c r="C48" i="3"/>
  <c r="H11" i="3"/>
  <c r="H28" i="3"/>
  <c r="H36" i="3"/>
  <c r="D11" i="3"/>
  <c r="D20" i="3"/>
  <c r="D29" i="3"/>
  <c r="D39" i="3"/>
  <c r="D48" i="3"/>
  <c r="I11" i="3"/>
  <c r="I28" i="3"/>
  <c r="I36" i="3"/>
  <c r="G11" i="3"/>
  <c r="B11" i="3"/>
  <c r="G20" i="3"/>
  <c r="H20" i="3"/>
  <c r="B20" i="3"/>
  <c r="J28" i="3"/>
  <c r="C14" i="5" s="1"/>
  <c r="G28" i="3"/>
  <c r="B29" i="3"/>
  <c r="G36" i="3"/>
  <c r="B39" i="3"/>
  <c r="B48" i="3"/>
  <c r="AA93" i="6" l="1"/>
  <c r="AA14" i="6" s="1"/>
  <c r="B93" i="6"/>
  <c r="B14" i="6" s="1"/>
  <c r="E39" i="3"/>
  <c r="C10" i="5" s="1"/>
  <c r="C17" i="5" s="1"/>
  <c r="B15" i="6" l="1"/>
  <c r="D14" i="6"/>
  <c r="B16" i="6"/>
  <c r="AC93" i="6"/>
  <c r="H13" i="5" s="1"/>
  <c r="H17" i="5" s="1"/>
  <c r="D93" i="6"/>
  <c r="AA15" i="6"/>
  <c r="AA16" i="6"/>
  <c r="AC16" i="6" s="1"/>
  <c r="AC14" i="6"/>
  <c r="E12" i="6" l="1"/>
  <c r="D16" i="6"/>
  <c r="D15" i="6"/>
  <c r="AC15" i="6"/>
  <c r="E16" i="6" l="1"/>
  <c r="G12" i="6"/>
  <c r="H12" i="6" l="1"/>
  <c r="G16" i="6"/>
  <c r="H16" i="6" l="1"/>
  <c r="J12" i="6"/>
  <c r="K12" i="6" l="1"/>
  <c r="J16" i="6"/>
  <c r="K16" i="6" l="1"/>
  <c r="M12" i="6"/>
  <c r="AA12" i="6"/>
  <c r="AC12" i="6" s="1"/>
  <c r="N12" i="6" l="1"/>
  <c r="M16" i="6"/>
  <c r="N16" i="6" l="1"/>
  <c r="Q12" i="6" s="1"/>
  <c r="P12" i="6"/>
  <c r="Q16" i="6" l="1"/>
  <c r="S12" i="6"/>
  <c r="T12" i="6" l="1"/>
  <c r="S16" i="6"/>
  <c r="T16" i="6" l="1"/>
  <c r="V12" i="6"/>
  <c r="W12" i="6" l="1"/>
  <c r="V16" i="6"/>
  <c r="W16" i="6" l="1"/>
  <c r="Y12" i="6"/>
</calcChain>
</file>

<file path=xl/sharedStrings.xml><?xml version="1.0" encoding="utf-8"?>
<sst xmlns="http://schemas.openxmlformats.org/spreadsheetml/2006/main" count="120" uniqueCount="78">
  <si>
    <t>Team dues</t>
  </si>
  <si>
    <t>Sports equipment</t>
  </si>
  <si>
    <t>Gym fees</t>
  </si>
  <si>
    <t>Souvenirs</t>
  </si>
  <si>
    <t>Utilities</t>
  </si>
  <si>
    <t>Toys/child gear</t>
  </si>
  <si>
    <t>Total Expenses</t>
  </si>
  <si>
    <t>Total Income</t>
  </si>
  <si>
    <t>Difference</t>
  </si>
  <si>
    <t>Starting Balance</t>
  </si>
  <si>
    <t>NET (Income - Expenses)</t>
  </si>
  <si>
    <t>Projected End Balance</t>
  </si>
  <si>
    <t>Equipment and Supplies</t>
  </si>
  <si>
    <t>Training and Educaton</t>
  </si>
  <si>
    <t>Outreach and Mobilization</t>
  </si>
  <si>
    <t>Facilities and Infrastructure</t>
  </si>
  <si>
    <t>Monitoring and Evaluation</t>
  </si>
  <si>
    <t>Administrative and Overhead Costs</t>
  </si>
  <si>
    <t>Security</t>
  </si>
  <si>
    <t>Contingency Funds</t>
  </si>
  <si>
    <t>Wages for Medical Doctor</t>
  </si>
  <si>
    <t>Wages for Nurse</t>
  </si>
  <si>
    <t>Wages for outreach Staff</t>
  </si>
  <si>
    <t>Labotory Analysis</t>
  </si>
  <si>
    <t>Gynescope</t>
  </si>
  <si>
    <t>Medical Supply and consumables</t>
  </si>
  <si>
    <t>Training Programs</t>
  </si>
  <si>
    <t>Education Materials</t>
  </si>
  <si>
    <t>Community Engagement</t>
  </si>
  <si>
    <t>Renovation and Construction</t>
  </si>
  <si>
    <t>Furnitures and Fittings</t>
  </si>
  <si>
    <t>Data Collection and Analysis</t>
  </si>
  <si>
    <t>Evaluation Studies</t>
  </si>
  <si>
    <t>Rent</t>
  </si>
  <si>
    <t>Communication</t>
  </si>
  <si>
    <t>Insurance and Legal Fees</t>
  </si>
  <si>
    <t>Security Personnel</t>
  </si>
  <si>
    <t>Emergency  Funds</t>
  </si>
  <si>
    <t>Frequency</t>
  </si>
  <si>
    <t>Total</t>
  </si>
  <si>
    <t>IT Infrastructure and Data Management</t>
  </si>
  <si>
    <t>Inverter Maintenance</t>
  </si>
  <si>
    <t>TOTAL</t>
  </si>
  <si>
    <t>OVERHEADS</t>
  </si>
  <si>
    <t>Radio Ad</t>
  </si>
  <si>
    <t>Content Creation &amp; Social Media Promotions</t>
  </si>
  <si>
    <t>Brochures, Flyers and Posters</t>
  </si>
  <si>
    <t>Cost</t>
  </si>
  <si>
    <t>Stationeries</t>
  </si>
  <si>
    <t>Laptop</t>
  </si>
  <si>
    <t>Projector and white screen</t>
  </si>
  <si>
    <t>MONTH</t>
  </si>
  <si>
    <t>Community 1</t>
  </si>
  <si>
    <t>Community 2</t>
  </si>
  <si>
    <t>Community 3</t>
  </si>
  <si>
    <t>Community 4</t>
  </si>
  <si>
    <t>Community 5</t>
  </si>
  <si>
    <t>Community 6</t>
  </si>
  <si>
    <t>Community 7</t>
  </si>
  <si>
    <t>Community 8</t>
  </si>
  <si>
    <t>MONTH TO DATE</t>
  </si>
  <si>
    <t>WEEKLY BUDGET SUMMARY</t>
  </si>
  <si>
    <t>INCOME</t>
  </si>
  <si>
    <t>RECREATION</t>
  </si>
  <si>
    <t>MISCELLANEOUS</t>
  </si>
  <si>
    <t xml:space="preserve">   Other</t>
  </si>
  <si>
    <t>Personnel Expenses</t>
  </si>
  <si>
    <t>Name of Community</t>
  </si>
  <si>
    <t>Population</t>
  </si>
  <si>
    <t>Communities</t>
  </si>
  <si>
    <t>Internet Routers and Subsription</t>
  </si>
  <si>
    <t>Portable Tablets</t>
  </si>
  <si>
    <t>Back Up Power Supply and Mini Inverters</t>
  </si>
  <si>
    <t>Procurement for HPV Sampling</t>
  </si>
  <si>
    <t>Total Per Community</t>
  </si>
  <si>
    <t>Total Per 8 Communities</t>
  </si>
  <si>
    <t>Logistics</t>
  </si>
  <si>
    <t>Transportation and Logistics for the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</si>
</sst>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[$-F800]dddd\,\ mmmm\ dd\,\ yyyy"/>
    <numFmt numFmtId="166" formatCode="_-* #,##0.00_-;\(\-\ #,##0.00\);_-* &quot;-&quot;??_-;_-@_-"/>
    <numFmt numFmtId="167" formatCode="_-* #,##0.00_-;[Red]\(\-\ #,##0.00\);_-* &quot;-&quot;??_-;_-@_-"/>
    <numFmt numFmtId="172" formatCode="_-[$₦-468]\ * #,##0.00_-;\-[$₦-468]\ * #,##0.00_-;_-[$₦-468]\ * &quot;-&quot;??_-;_-@_-"/>
  </numFmts>
  <fonts count="21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sz val="10"/>
      <color theme="1"/>
      <name val="Arial"/>
      <family val="2"/>
    </font>
    <font>
      <b/>
      <sz val="10"/>
      <color indexed="9"/>
      <name val="Century Gothic"/>
      <family val="2"/>
    </font>
    <font>
      <b/>
      <sz val="9"/>
      <name val="Arial"/>
      <family val="2"/>
    </font>
    <font>
      <b/>
      <sz val="12"/>
      <color indexed="9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indexed="8"/>
      <name val="Century Gothic"/>
      <family val="2"/>
    </font>
    <font>
      <b/>
      <sz val="8"/>
      <color theme="3" tint="0.79998168889431442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3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/>
      <diagonal/>
    </border>
    <border>
      <left style="medium">
        <color indexed="18"/>
      </left>
      <right/>
      <top style="medium">
        <color indexed="18"/>
      </top>
      <bottom/>
      <diagonal/>
    </border>
    <border>
      <left/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  <border>
      <left/>
      <right/>
      <top/>
      <bottom style="medium">
        <color indexed="12"/>
      </bottom>
      <diagonal/>
    </border>
    <border>
      <left style="medium">
        <color indexed="18"/>
      </left>
      <right/>
      <top/>
      <bottom/>
      <diagonal/>
    </border>
    <border>
      <left/>
      <right style="medium">
        <color indexed="18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18"/>
      </left>
      <right/>
      <top/>
      <bottom style="medium">
        <color indexed="23"/>
      </bottom>
      <diagonal/>
    </border>
    <border>
      <left/>
      <right style="medium">
        <color indexed="18"/>
      </right>
      <top/>
      <bottom style="medium">
        <color indexed="23"/>
      </bottom>
      <diagonal/>
    </border>
    <border>
      <left style="medium">
        <color indexed="18"/>
      </left>
      <right style="medium">
        <color indexed="18"/>
      </right>
      <top/>
      <bottom/>
      <diagonal/>
    </border>
    <border>
      <left style="medium">
        <color indexed="23"/>
      </left>
      <right style="medium">
        <color indexed="18"/>
      </right>
      <top style="medium">
        <color indexed="23"/>
      </top>
      <bottom style="medium">
        <color indexed="23"/>
      </bottom>
      <diagonal/>
    </border>
    <border>
      <left/>
      <right/>
      <top/>
      <bottom style="medium">
        <color indexed="58"/>
      </bottom>
      <diagonal/>
    </border>
    <border>
      <left style="medium">
        <color indexed="58"/>
      </left>
      <right/>
      <top/>
      <bottom/>
      <diagonal/>
    </border>
    <border>
      <left/>
      <right style="medium">
        <color indexed="58"/>
      </right>
      <top/>
      <bottom/>
      <diagonal/>
    </border>
    <border>
      <left style="medium">
        <color indexed="58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medium">
        <color indexed="58"/>
      </right>
      <top/>
      <bottom/>
      <diagonal/>
    </border>
    <border>
      <left style="medium">
        <color indexed="58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8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55"/>
      </left>
      <right style="medium">
        <color indexed="58"/>
      </right>
      <top/>
      <bottom style="medium">
        <color indexed="55"/>
      </bottom>
      <diagonal/>
    </border>
    <border>
      <left style="medium">
        <color indexed="58"/>
      </left>
      <right/>
      <top style="medium">
        <color indexed="55"/>
      </top>
      <bottom/>
      <diagonal/>
    </border>
    <border>
      <left/>
      <right style="medium">
        <color indexed="58"/>
      </right>
      <top style="medium">
        <color indexed="55"/>
      </top>
      <bottom/>
      <diagonal/>
    </border>
    <border>
      <left/>
      <right/>
      <top/>
      <bottom style="medium">
        <color indexed="18"/>
      </bottom>
      <diagonal/>
    </border>
    <border>
      <left style="medium">
        <color indexed="18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medium">
        <color indexed="18"/>
      </right>
      <top/>
      <bottom/>
      <diagonal/>
    </border>
    <border>
      <left style="medium">
        <color indexed="18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18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55"/>
      </left>
      <right style="medium">
        <color indexed="18"/>
      </right>
      <top/>
      <bottom style="medium">
        <color indexed="55"/>
      </bottom>
      <diagonal/>
    </border>
    <border>
      <left style="medium">
        <color indexed="18"/>
      </left>
      <right/>
      <top style="medium">
        <color indexed="55"/>
      </top>
      <bottom/>
      <diagonal/>
    </border>
    <border>
      <left/>
      <right style="medium">
        <color indexed="18"/>
      </right>
      <top style="medium">
        <color indexed="55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69">
    <xf numFmtId="0" fontId="0" fillId="0" borderId="0" xfId="0"/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vertical="center"/>
    </xf>
    <xf numFmtId="40" fontId="8" fillId="3" borderId="5" xfId="0" applyNumberFormat="1" applyFont="1" applyFill="1" applyBorder="1" applyAlignment="1" applyProtection="1">
      <alignment vertical="center"/>
      <protection hidden="1"/>
    </xf>
    <xf numFmtId="0" fontId="10" fillId="0" borderId="0" xfId="0" applyFont="1" applyFill="1" applyBorder="1" applyAlignment="1">
      <alignment vertical="center"/>
    </xf>
    <xf numFmtId="40" fontId="8" fillId="3" borderId="5" xfId="0" applyNumberFormat="1" applyFont="1" applyFill="1" applyBorder="1" applyAlignment="1" applyProtection="1">
      <alignment vertical="center"/>
      <protection locked="0" hidden="1"/>
    </xf>
    <xf numFmtId="40" fontId="8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left" vertical="center" indent="1"/>
      <protection locked="0" hidden="1"/>
    </xf>
    <xf numFmtId="40" fontId="8" fillId="3" borderId="5" xfId="0" applyNumberFormat="1" applyFont="1" applyFill="1" applyBorder="1" applyAlignment="1" applyProtection="1">
      <alignment horizontal="left" vertical="center" indent="1"/>
      <protection hidden="1"/>
    </xf>
    <xf numFmtId="40" fontId="8" fillId="5" borderId="5" xfId="0" applyNumberFormat="1" applyFont="1" applyFill="1" applyBorder="1" applyAlignment="1" applyProtection="1">
      <alignment horizontal="left" vertical="center" indent="1"/>
      <protection hidden="1"/>
    </xf>
    <xf numFmtId="40" fontId="6" fillId="4" borderId="8" xfId="0" applyNumberFormat="1" applyFont="1" applyFill="1" applyBorder="1" applyAlignment="1">
      <alignment horizontal="centerContinuous" vertical="center"/>
    </xf>
    <xf numFmtId="0" fontId="0" fillId="0" borderId="0" xfId="0" applyFill="1" applyBorder="1"/>
    <xf numFmtId="0" fontId="2" fillId="0" borderId="0" xfId="3" applyFill="1" applyBorder="1" applyAlignment="1" applyProtection="1">
      <alignment horizontal="left"/>
    </xf>
    <xf numFmtId="0" fontId="8" fillId="3" borderId="0" xfId="0" applyFont="1" applyFill="1" applyBorder="1" applyAlignment="1">
      <alignment horizontal="left" vertical="center" indent="1"/>
    </xf>
    <xf numFmtId="40" fontId="8" fillId="3" borderId="0" xfId="0" applyNumberFormat="1" applyFont="1" applyFill="1" applyBorder="1" applyAlignment="1" applyProtection="1">
      <alignment horizontal="left" vertical="center" indent="1"/>
      <protection hidden="1"/>
    </xf>
    <xf numFmtId="40" fontId="8" fillId="3" borderId="0" xfId="0" applyNumberFormat="1" applyFont="1" applyFill="1" applyBorder="1" applyAlignment="1" applyProtection="1">
      <alignment vertical="center"/>
      <protection hidden="1"/>
    </xf>
    <xf numFmtId="167" fontId="8" fillId="3" borderId="0" xfId="0" applyNumberFormat="1" applyFont="1" applyFill="1" applyBorder="1" applyAlignment="1" applyProtection="1">
      <alignment vertical="center"/>
      <protection locked="0" hidden="1"/>
    </xf>
    <xf numFmtId="40" fontId="3" fillId="0" borderId="10" xfId="0" applyNumberFormat="1" applyFont="1" applyFill="1" applyBorder="1" applyAlignment="1" applyProtection="1">
      <alignment vertical="center"/>
      <protection locked="0" hidden="1"/>
    </xf>
    <xf numFmtId="40" fontId="3" fillId="0" borderId="11" xfId="0" applyNumberFormat="1" applyFont="1" applyFill="1" applyBorder="1" applyAlignment="1" applyProtection="1">
      <alignment vertical="center"/>
      <protection locked="0" hidden="1"/>
    </xf>
    <xf numFmtId="40" fontId="3" fillId="0" borderId="12" xfId="0" applyNumberFormat="1" applyFont="1" applyFill="1" applyBorder="1" applyAlignment="1" applyProtection="1">
      <alignment vertical="center"/>
      <protection locked="0" hidden="1"/>
    </xf>
    <xf numFmtId="0" fontId="12" fillId="4" borderId="0" xfId="0" applyFont="1" applyFill="1" applyBorder="1" applyAlignment="1" applyProtection="1">
      <alignment vertical="center"/>
      <protection locked="0" hidden="1"/>
    </xf>
    <xf numFmtId="0" fontId="3" fillId="0" borderId="9" xfId="0" applyFont="1" applyFill="1" applyBorder="1" applyAlignment="1" applyProtection="1">
      <alignment horizontal="left" vertical="center" indent="1"/>
      <protection locked="0" hidden="1"/>
    </xf>
    <xf numFmtId="0" fontId="6" fillId="4" borderId="0" xfId="0" applyFont="1" applyFill="1" applyBorder="1" applyAlignment="1" applyProtection="1">
      <alignment vertical="center"/>
      <protection locked="0" hidden="1"/>
    </xf>
    <xf numFmtId="40" fontId="3" fillId="0" borderId="10" xfId="0" applyNumberFormat="1" applyFont="1" applyFill="1" applyBorder="1" applyAlignment="1" applyProtection="1">
      <alignment vertical="center"/>
      <protection hidden="1"/>
    </xf>
    <xf numFmtId="40" fontId="3" fillId="0" borderId="11" xfId="0" applyNumberFormat="1" applyFont="1" applyFill="1" applyBorder="1" applyAlignment="1" applyProtection="1">
      <alignment vertical="center"/>
      <protection hidden="1"/>
    </xf>
    <xf numFmtId="40" fontId="3" fillId="0" borderId="12" xfId="0" applyNumberFormat="1" applyFont="1" applyFill="1" applyBorder="1" applyAlignment="1" applyProtection="1">
      <alignment vertical="center"/>
      <protection hidden="1"/>
    </xf>
    <xf numFmtId="40" fontId="3" fillId="0" borderId="13" xfId="0" applyNumberFormat="1" applyFont="1" applyFill="1" applyBorder="1" applyAlignment="1" applyProtection="1">
      <alignment vertical="center"/>
      <protection locked="0" hidden="1"/>
    </xf>
    <xf numFmtId="40" fontId="3" fillId="0" borderId="14" xfId="0" applyNumberFormat="1" applyFont="1" applyFill="1" applyBorder="1" applyAlignment="1" applyProtection="1">
      <alignment vertical="center"/>
      <protection locked="0" hidden="1"/>
    </xf>
    <xf numFmtId="40" fontId="3" fillId="0" borderId="15" xfId="0" applyNumberFormat="1" applyFont="1" applyFill="1" applyBorder="1" applyAlignment="1" applyProtection="1">
      <alignment vertical="center"/>
      <protection locked="0" hidden="1"/>
    </xf>
    <xf numFmtId="166" fontId="8" fillId="2" borderId="9" xfId="0" applyNumberFormat="1" applyFont="1" applyFill="1" applyBorder="1" applyAlignment="1" applyProtection="1">
      <alignment vertical="center"/>
      <protection locked="0" hidden="1"/>
    </xf>
    <xf numFmtId="0" fontId="5" fillId="0" borderId="9" xfId="0" applyFont="1" applyBorder="1"/>
    <xf numFmtId="0" fontId="2" fillId="0" borderId="0" xfId="3" applyFill="1" applyAlignment="1" applyProtection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3" applyFill="1" applyAlignment="1" applyProtection="1">
      <alignment horizontal="left"/>
    </xf>
    <xf numFmtId="0" fontId="0" fillId="0" borderId="0" xfId="0" applyFill="1"/>
    <xf numFmtId="0" fontId="6" fillId="4" borderId="2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6" fillId="7" borderId="24" xfId="0" applyFont="1" applyFill="1" applyBorder="1" applyAlignment="1">
      <alignment horizontal="left" vertical="center" indent="1"/>
    </xf>
    <xf numFmtId="0" fontId="8" fillId="0" borderId="28" xfId="0" applyFont="1" applyFill="1" applyBorder="1" applyAlignment="1">
      <alignment horizontal="left" vertical="center" indent="1"/>
    </xf>
    <xf numFmtId="0" fontId="8" fillId="9" borderId="0" xfId="0" applyFont="1" applyFill="1" applyBorder="1" applyAlignment="1">
      <alignment horizontal="left" vertical="center" indent="1"/>
    </xf>
    <xf numFmtId="0" fontId="6" fillId="6" borderId="33" xfId="0" applyFont="1" applyFill="1" applyBorder="1" applyAlignment="1" applyProtection="1">
      <alignment horizontal="left" vertical="center" indent="1"/>
      <protection locked="0" hidden="1"/>
    </xf>
    <xf numFmtId="0" fontId="7" fillId="0" borderId="0" xfId="0" applyFont="1" applyFill="1" applyBorder="1" applyAlignment="1">
      <alignment horizontal="left" vertical="center" indent="1"/>
    </xf>
    <xf numFmtId="0" fontId="6" fillId="4" borderId="43" xfId="0" applyFont="1" applyFill="1" applyBorder="1" applyAlignment="1" applyProtection="1">
      <alignment horizontal="left" vertical="center" indent="1"/>
      <protection locked="0" hidden="1"/>
    </xf>
    <xf numFmtId="0" fontId="10" fillId="0" borderId="0" xfId="0" applyFont="1" applyFill="1" applyBorder="1" applyAlignment="1">
      <alignment horizontal="left" vertical="center" indent="1"/>
    </xf>
    <xf numFmtId="40" fontId="8" fillId="0" borderId="0" xfId="0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Fill="1" applyAlignment="1">
      <alignment horizontal="left" vertical="center" indent="1"/>
    </xf>
    <xf numFmtId="43" fontId="3" fillId="0" borderId="0" xfId="1" applyFont="1" applyFill="1" applyBorder="1" applyAlignment="1">
      <alignment horizontal="center" vertical="center"/>
    </xf>
    <xf numFmtId="43" fontId="2" fillId="0" borderId="0" xfId="1" applyFont="1" applyFill="1" applyAlignment="1" applyProtection="1">
      <alignment horizontal="left" vertical="center"/>
    </xf>
    <xf numFmtId="43" fontId="2" fillId="0" borderId="0" xfId="1" applyFont="1" applyFill="1" applyAlignment="1" applyProtection="1">
      <alignment horizontal="left"/>
    </xf>
    <xf numFmtId="43" fontId="3" fillId="0" borderId="0" xfId="1" applyFont="1" applyFill="1" applyBorder="1"/>
    <xf numFmtId="43" fontId="6" fillId="7" borderId="24" xfId="1" applyFont="1" applyFill="1" applyBorder="1" applyAlignment="1">
      <alignment horizontal="center" vertical="center"/>
    </xf>
    <xf numFmtId="43" fontId="8" fillId="2" borderId="25" xfId="1" applyFont="1" applyFill="1" applyBorder="1" applyAlignment="1">
      <alignment vertical="center"/>
    </xf>
    <xf numFmtId="43" fontId="8" fillId="2" borderId="25" xfId="1" applyFont="1" applyFill="1" applyBorder="1" applyAlignment="1" applyProtection="1">
      <alignment horizontal="right" vertical="center"/>
      <protection locked="0"/>
    </xf>
    <xf numFmtId="43" fontId="8" fillId="2" borderId="29" xfId="1" applyFont="1" applyFill="1" applyBorder="1" applyAlignment="1" applyProtection="1">
      <alignment horizontal="right" vertical="center"/>
      <protection locked="0"/>
    </xf>
    <xf numFmtId="43" fontId="8" fillId="3" borderId="25" xfId="1" applyFont="1" applyFill="1" applyBorder="1" applyAlignment="1" applyProtection="1">
      <alignment horizontal="right" vertical="center"/>
      <protection locked="0"/>
    </xf>
    <xf numFmtId="43" fontId="9" fillId="9" borderId="25" xfId="1" applyFont="1" applyFill="1" applyBorder="1" applyAlignment="1">
      <alignment horizontal="right" vertical="center"/>
    </xf>
    <xf numFmtId="43" fontId="3" fillId="0" borderId="0" xfId="1" applyFont="1" applyFill="1" applyBorder="1" applyAlignment="1">
      <alignment vertical="center"/>
    </xf>
    <xf numFmtId="43" fontId="6" fillId="6" borderId="33" xfId="1" applyFont="1" applyFill="1" applyBorder="1" applyAlignment="1">
      <alignment horizontal="center" vertical="center"/>
    </xf>
    <xf numFmtId="43" fontId="3" fillId="0" borderId="36" xfId="1" applyFont="1" applyFill="1" applyBorder="1" applyAlignment="1" applyProtection="1">
      <alignment horizontal="right" vertical="center"/>
      <protection locked="0" hidden="1"/>
    </xf>
    <xf numFmtId="43" fontId="3" fillId="0" borderId="38" xfId="1" applyFont="1" applyFill="1" applyBorder="1" applyAlignment="1" applyProtection="1">
      <alignment horizontal="right" vertical="center"/>
      <protection locked="0" hidden="1"/>
    </xf>
    <xf numFmtId="43" fontId="3" fillId="0" borderId="39" xfId="1" applyFont="1" applyFill="1" applyBorder="1" applyAlignment="1" applyProtection="1">
      <alignment horizontal="right" vertical="center"/>
      <protection locked="0" hidden="1"/>
    </xf>
    <xf numFmtId="43" fontId="8" fillId="5" borderId="41" xfId="1" applyFont="1" applyFill="1" applyBorder="1" applyAlignment="1" applyProtection="1">
      <alignment horizontal="right" vertical="center"/>
      <protection hidden="1"/>
    </xf>
    <xf numFmtId="43" fontId="7" fillId="0" borderId="0" xfId="1" applyFont="1" applyFill="1" applyBorder="1" applyAlignment="1">
      <alignment vertical="center"/>
    </xf>
    <xf numFmtId="43" fontId="6" fillId="4" borderId="43" xfId="1" applyFont="1" applyFill="1" applyBorder="1" applyAlignment="1">
      <alignment horizontal="center" vertical="center"/>
    </xf>
    <xf numFmtId="43" fontId="3" fillId="0" borderId="44" xfId="1" applyFont="1" applyFill="1" applyBorder="1" applyAlignment="1" applyProtection="1">
      <alignment horizontal="right" vertical="center"/>
      <protection locked="0" hidden="1"/>
    </xf>
    <xf numFmtId="43" fontId="3" fillId="0" borderId="46" xfId="1" applyFont="1" applyFill="1" applyBorder="1" applyAlignment="1" applyProtection="1">
      <alignment horizontal="right" vertical="center"/>
      <protection locked="0" hidden="1"/>
    </xf>
    <xf numFmtId="43" fontId="3" fillId="0" borderId="47" xfId="1" applyFont="1" applyFill="1" applyBorder="1" applyAlignment="1" applyProtection="1">
      <alignment horizontal="right" vertical="center"/>
      <protection locked="0" hidden="1"/>
    </xf>
    <xf numFmtId="43" fontId="8" fillId="3" borderId="49" xfId="1" applyFont="1" applyFill="1" applyBorder="1" applyAlignment="1" applyProtection="1">
      <alignment horizontal="right" vertical="center"/>
      <protection hidden="1"/>
    </xf>
    <xf numFmtId="43" fontId="10" fillId="0" borderId="0" xfId="1" applyFont="1" applyFill="1" applyBorder="1" applyAlignment="1">
      <alignment vertical="center"/>
    </xf>
    <xf numFmtId="43" fontId="8" fillId="0" borderId="0" xfId="1" applyFont="1" applyFill="1" applyBorder="1" applyAlignment="1" applyProtection="1">
      <alignment vertical="center"/>
      <protection hidden="1"/>
    </xf>
    <xf numFmtId="43" fontId="3" fillId="0" borderId="0" xfId="1" applyFont="1" applyFill="1" applyBorder="1" applyAlignment="1" applyProtection="1">
      <alignment horizontal="left" vertical="center" indent="1"/>
      <protection locked="0" hidden="1"/>
    </xf>
    <xf numFmtId="43" fontId="0" fillId="0" borderId="0" xfId="1" applyFont="1" applyFill="1" applyAlignment="1">
      <alignment vertical="center"/>
    </xf>
    <xf numFmtId="43" fontId="0" fillId="0" borderId="0" xfId="1" applyFont="1" applyFill="1"/>
    <xf numFmtId="43" fontId="8" fillId="8" borderId="27" xfId="1" applyFont="1" applyFill="1" applyBorder="1" applyAlignment="1">
      <alignment vertical="center"/>
    </xf>
    <xf numFmtId="43" fontId="8" fillId="2" borderId="0" xfId="1" applyFont="1" applyFill="1" applyBorder="1" applyAlignment="1" applyProtection="1">
      <alignment horizontal="right" vertical="center"/>
      <protection locked="0"/>
    </xf>
    <xf numFmtId="43" fontId="8" fillId="2" borderId="28" xfId="1" applyFont="1" applyFill="1" applyBorder="1" applyAlignment="1" applyProtection="1">
      <alignment horizontal="right" vertical="center"/>
      <protection locked="0"/>
    </xf>
    <xf numFmtId="43" fontId="8" fillId="3" borderId="0" xfId="1" applyFont="1" applyFill="1" applyBorder="1" applyAlignment="1" applyProtection="1">
      <alignment horizontal="right" vertical="center"/>
      <protection locked="0"/>
    </xf>
    <xf numFmtId="43" fontId="9" fillId="9" borderId="0" xfId="1" applyFont="1" applyFill="1" applyBorder="1" applyAlignment="1">
      <alignment horizontal="right" vertical="center"/>
    </xf>
    <xf numFmtId="43" fontId="3" fillId="0" borderId="7" xfId="1" applyFont="1" applyFill="1" applyBorder="1" applyAlignment="1" applyProtection="1">
      <alignment horizontal="right" vertical="center"/>
      <protection locked="0" hidden="1"/>
    </xf>
    <xf numFmtId="43" fontId="3" fillId="0" borderId="3" xfId="1" applyFont="1" applyFill="1" applyBorder="1" applyAlignment="1" applyProtection="1">
      <alignment horizontal="right" vertical="center"/>
      <protection locked="0" hidden="1"/>
    </xf>
    <xf numFmtId="43" fontId="3" fillId="0" borderId="4" xfId="1" applyFont="1" applyFill="1" applyBorder="1" applyAlignment="1" applyProtection="1">
      <alignment horizontal="right" vertical="center"/>
      <protection locked="0" hidden="1"/>
    </xf>
    <xf numFmtId="43" fontId="8" fillId="5" borderId="5" xfId="1" applyFont="1" applyFill="1" applyBorder="1" applyAlignment="1" applyProtection="1">
      <alignment horizontal="right" vertical="center"/>
      <protection hidden="1"/>
    </xf>
    <xf numFmtId="43" fontId="3" fillId="0" borderId="6" xfId="1" applyFont="1" applyFill="1" applyBorder="1" applyAlignment="1" applyProtection="1">
      <alignment horizontal="right" vertical="center"/>
      <protection locked="0" hidden="1"/>
    </xf>
    <xf numFmtId="43" fontId="8" fillId="3" borderId="5" xfId="1" applyFont="1" applyFill="1" applyBorder="1" applyAlignment="1" applyProtection="1">
      <alignment horizontal="right" vertical="center"/>
      <protection hidden="1"/>
    </xf>
    <xf numFmtId="43" fontId="0" fillId="0" borderId="0" xfId="1" applyFont="1" applyFill="1" applyAlignment="1">
      <alignment horizontal="right"/>
    </xf>
    <xf numFmtId="43" fontId="8" fillId="0" borderId="16" xfId="1" applyFont="1" applyFill="1" applyBorder="1" applyAlignment="1">
      <alignment horizontal="center" vertical="center"/>
    </xf>
    <xf numFmtId="43" fontId="8" fillId="0" borderId="17" xfId="1" applyFont="1" applyFill="1" applyBorder="1" applyAlignment="1">
      <alignment horizontal="center" vertical="center"/>
    </xf>
    <xf numFmtId="43" fontId="8" fillId="0" borderId="18" xfId="1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vertical="center"/>
    </xf>
    <xf numFmtId="43" fontId="6" fillId="4" borderId="0" xfId="1" applyFont="1" applyFill="1" applyBorder="1" applyAlignment="1">
      <alignment horizontal="left" vertical="center" indent="1"/>
    </xf>
    <xf numFmtId="43" fontId="8" fillId="0" borderId="0" xfId="1" applyFont="1" applyFill="1" applyBorder="1" applyAlignment="1">
      <alignment horizontal="center" vertical="center"/>
    </xf>
    <xf numFmtId="43" fontId="3" fillId="0" borderId="19" xfId="1" applyFont="1" applyFill="1" applyBorder="1" applyAlignment="1">
      <alignment horizontal="center" vertical="center"/>
    </xf>
    <xf numFmtId="43" fontId="3" fillId="0" borderId="20" xfId="1" applyFont="1" applyFill="1" applyBorder="1" applyAlignment="1">
      <alignment horizontal="center" vertical="center"/>
    </xf>
    <xf numFmtId="43" fontId="13" fillId="0" borderId="21" xfId="1" applyFont="1" applyFill="1" applyBorder="1" applyAlignment="1">
      <alignment horizontal="center" vertical="center"/>
    </xf>
    <xf numFmtId="43" fontId="13" fillId="0" borderId="22" xfId="1" applyFont="1" applyFill="1" applyBorder="1" applyAlignment="1">
      <alignment horizontal="center" vertical="center"/>
    </xf>
    <xf numFmtId="43" fontId="13" fillId="0" borderId="23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43" fontId="8" fillId="2" borderId="26" xfId="1" applyFont="1" applyFill="1" applyBorder="1" applyAlignment="1">
      <alignment vertical="center"/>
    </xf>
    <xf numFmtId="43" fontId="8" fillId="2" borderId="0" xfId="1" applyFont="1" applyFill="1" applyBorder="1" applyAlignment="1">
      <alignment vertical="center"/>
    </xf>
    <xf numFmtId="43" fontId="8" fillId="2" borderId="26" xfId="1" applyFont="1" applyFill="1" applyBorder="1" applyAlignment="1">
      <alignment horizontal="right" vertical="center"/>
    </xf>
    <xf numFmtId="43" fontId="8" fillId="2" borderId="26" xfId="1" applyFont="1" applyFill="1" applyBorder="1" applyAlignment="1" applyProtection="1">
      <alignment horizontal="right" vertical="center"/>
      <protection locked="0"/>
    </xf>
    <xf numFmtId="43" fontId="8" fillId="0" borderId="0" xfId="1" applyFont="1" applyFill="1" applyBorder="1" applyAlignment="1" applyProtection="1">
      <alignment horizontal="right" vertical="center"/>
      <protection locked="0"/>
    </xf>
    <xf numFmtId="43" fontId="8" fillId="2" borderId="30" xfId="1" applyFont="1" applyFill="1" applyBorder="1" applyAlignment="1" applyProtection="1">
      <alignment horizontal="right" vertical="center"/>
      <protection locked="0"/>
    </xf>
    <xf numFmtId="43" fontId="8" fillId="3" borderId="26" xfId="1" applyFont="1" applyFill="1" applyBorder="1" applyAlignment="1" applyProtection="1">
      <alignment horizontal="right" vertical="center"/>
      <protection locked="0"/>
    </xf>
    <xf numFmtId="43" fontId="8" fillId="0" borderId="31" xfId="1" applyFont="1" applyFill="1" applyBorder="1" applyAlignment="1" applyProtection="1">
      <alignment horizontal="right" vertical="center"/>
      <protection locked="0"/>
    </xf>
    <xf numFmtId="43" fontId="9" fillId="9" borderId="26" xfId="1" applyFont="1" applyFill="1" applyBorder="1" applyAlignment="1">
      <alignment horizontal="right" vertical="center"/>
    </xf>
    <xf numFmtId="43" fontId="8" fillId="0" borderId="31" xfId="1" applyFont="1" applyFill="1" applyBorder="1" applyAlignment="1">
      <alignment horizontal="right" vertical="center"/>
    </xf>
    <xf numFmtId="43" fontId="8" fillId="9" borderId="32" xfId="1" applyFont="1" applyFill="1" applyBorder="1" applyAlignment="1">
      <alignment horizontal="right" vertical="center"/>
    </xf>
    <xf numFmtId="43" fontId="6" fillId="6" borderId="34" xfId="1" applyFont="1" applyFill="1" applyBorder="1" applyAlignment="1">
      <alignment horizontal="center" vertical="center"/>
    </xf>
    <xf numFmtId="43" fontId="6" fillId="6" borderId="0" xfId="1" applyFont="1" applyFill="1" applyBorder="1" applyAlignment="1">
      <alignment horizontal="center" vertical="center"/>
    </xf>
    <xf numFmtId="43" fontId="6" fillId="6" borderId="35" xfId="1" applyFont="1" applyFill="1" applyBorder="1" applyAlignment="1">
      <alignment horizontal="centerContinuous" vertical="center"/>
    </xf>
    <xf numFmtId="43" fontId="8" fillId="2" borderId="37" xfId="1" applyFont="1" applyFill="1" applyBorder="1" applyAlignment="1" applyProtection="1">
      <alignment horizontal="right" vertical="center"/>
      <protection locked="0" hidden="1"/>
    </xf>
    <xf numFmtId="43" fontId="3" fillId="0" borderId="36" xfId="1" applyFont="1" applyFill="1" applyBorder="1" applyAlignment="1" applyProtection="1">
      <alignment horizontal="right" vertical="center"/>
      <protection locked="0"/>
    </xf>
    <xf numFmtId="43" fontId="8" fillId="0" borderId="0" xfId="1" applyFont="1" applyFill="1" applyBorder="1" applyAlignment="1" applyProtection="1">
      <alignment horizontal="right" vertical="center"/>
      <protection locked="0" hidden="1"/>
    </xf>
    <xf numFmtId="43" fontId="8" fillId="2" borderId="34" xfId="1" applyFont="1" applyFill="1" applyBorder="1" applyAlignment="1" applyProtection="1">
      <alignment horizontal="right" vertical="center"/>
      <protection locked="0" hidden="1"/>
    </xf>
    <xf numFmtId="43" fontId="8" fillId="2" borderId="0" xfId="1" applyFont="1" applyFill="1" applyBorder="1" applyAlignment="1" applyProtection="1">
      <alignment horizontal="right" vertical="center"/>
      <protection locked="0" hidden="1"/>
    </xf>
    <xf numFmtId="43" fontId="8" fillId="2" borderId="35" xfId="1" applyFont="1" applyFill="1" applyBorder="1" applyAlignment="1" applyProtection="1">
      <alignment horizontal="right" vertical="center"/>
      <protection locked="0"/>
    </xf>
    <xf numFmtId="43" fontId="3" fillId="0" borderId="38" xfId="1" applyFont="1" applyFill="1" applyBorder="1" applyAlignment="1" applyProtection="1">
      <alignment horizontal="right" vertical="center"/>
      <protection locked="0"/>
    </xf>
    <xf numFmtId="43" fontId="8" fillId="2" borderId="40" xfId="1" applyFont="1" applyFill="1" applyBorder="1" applyAlignment="1" applyProtection="1">
      <alignment horizontal="right" vertical="center"/>
      <protection locked="0" hidden="1"/>
    </xf>
    <xf numFmtId="43" fontId="3" fillId="0" borderId="39" xfId="1" applyFont="1" applyFill="1" applyBorder="1" applyAlignment="1" applyProtection="1">
      <alignment horizontal="right" vertical="center"/>
      <protection locked="0"/>
    </xf>
    <xf numFmtId="43" fontId="8" fillId="5" borderId="42" xfId="1" applyFont="1" applyFill="1" applyBorder="1" applyAlignment="1" applyProtection="1">
      <alignment horizontal="right" vertical="center"/>
      <protection hidden="1"/>
    </xf>
    <xf numFmtId="43" fontId="8" fillId="0" borderId="0" xfId="1" applyFont="1" applyFill="1" applyBorder="1" applyAlignment="1" applyProtection="1">
      <alignment horizontal="right" vertical="center"/>
      <protection hidden="1"/>
    </xf>
    <xf numFmtId="43" fontId="8" fillId="5" borderId="5" xfId="1" applyFont="1" applyFill="1" applyBorder="1" applyAlignment="1" applyProtection="1">
      <alignment horizontal="right" vertical="center"/>
      <protection locked="0" hidden="1"/>
    </xf>
    <xf numFmtId="43" fontId="6" fillId="4" borderId="25" xfId="1" applyFont="1" applyFill="1" applyBorder="1" applyAlignment="1">
      <alignment horizontal="center" vertical="center"/>
    </xf>
    <xf numFmtId="43" fontId="6" fillId="4" borderId="0" xfId="1" applyFont="1" applyFill="1" applyBorder="1" applyAlignment="1">
      <alignment horizontal="center" vertical="center"/>
    </xf>
    <xf numFmtId="43" fontId="6" fillId="4" borderId="26" xfId="1" applyFont="1" applyFill="1" applyBorder="1" applyAlignment="1">
      <alignment horizontal="right" vertical="center"/>
    </xf>
    <xf numFmtId="43" fontId="8" fillId="2" borderId="45" xfId="1" applyFont="1" applyFill="1" applyBorder="1" applyAlignment="1" applyProtection="1">
      <alignment horizontal="right" vertical="center"/>
      <protection locked="0" hidden="1"/>
    </xf>
    <xf numFmtId="43" fontId="8" fillId="2" borderId="25" xfId="1" applyFont="1" applyFill="1" applyBorder="1" applyAlignment="1" applyProtection="1">
      <alignment horizontal="right" vertical="center"/>
      <protection locked="0" hidden="1"/>
    </xf>
    <xf numFmtId="43" fontId="8" fillId="3" borderId="50" xfId="1" applyFont="1" applyFill="1" applyBorder="1" applyAlignment="1" applyProtection="1">
      <alignment horizontal="right" vertical="center"/>
      <protection hidden="1"/>
    </xf>
    <xf numFmtId="43" fontId="5" fillId="0" borderId="0" xfId="1" applyFont="1" applyFill="1" applyBorder="1" applyAlignment="1">
      <alignment vertical="center"/>
    </xf>
    <xf numFmtId="43" fontId="3" fillId="0" borderId="44" xfId="1" applyFont="1" applyFill="1" applyBorder="1" applyAlignment="1" applyProtection="1">
      <alignment horizontal="right" vertical="center"/>
      <protection locked="0"/>
    </xf>
    <xf numFmtId="43" fontId="3" fillId="0" borderId="46" xfId="1" applyFont="1" applyFill="1" applyBorder="1" applyAlignment="1" applyProtection="1">
      <alignment horizontal="right" vertical="center"/>
      <protection locked="0"/>
    </xf>
    <xf numFmtId="43" fontId="8" fillId="2" borderId="48" xfId="1" applyFont="1" applyFill="1" applyBorder="1" applyAlignment="1" applyProtection="1">
      <alignment horizontal="right" vertical="center"/>
      <protection locked="0" hidden="1"/>
    </xf>
    <xf numFmtId="43" fontId="3" fillId="0" borderId="47" xfId="1" applyFont="1" applyFill="1" applyBorder="1" applyAlignment="1" applyProtection="1">
      <alignment horizontal="right" vertical="center"/>
      <protection locked="0"/>
    </xf>
    <xf numFmtId="43" fontId="0" fillId="0" borderId="9" xfId="1" applyFont="1" applyFill="1" applyBorder="1"/>
    <xf numFmtId="0" fontId="14" fillId="4" borderId="2" xfId="0" applyFont="1" applyFill="1" applyBorder="1" applyAlignment="1">
      <alignment vertical="center"/>
    </xf>
    <xf numFmtId="165" fontId="15" fillId="0" borderId="2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left" vertical="center"/>
    </xf>
    <xf numFmtId="40" fontId="14" fillId="7" borderId="8" xfId="0" applyNumberFormat="1" applyFont="1" applyFill="1" applyBorder="1" applyAlignment="1">
      <alignment horizontal="centerContinuous"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 indent="1"/>
    </xf>
    <xf numFmtId="172" fontId="15" fillId="2" borderId="0" xfId="2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 indent="1"/>
    </xf>
    <xf numFmtId="172" fontId="17" fillId="3" borderId="1" xfId="2" applyNumberFormat="1" applyFont="1" applyFill="1" applyBorder="1" applyAlignment="1">
      <alignment horizontal="right" vertical="center"/>
    </xf>
    <xf numFmtId="0" fontId="16" fillId="0" borderId="0" xfId="0" applyFont="1"/>
    <xf numFmtId="0" fontId="6" fillId="4" borderId="0" xfId="0" applyFont="1" applyFill="1" applyBorder="1" applyAlignment="1">
      <alignment horizontal="center" vertical="center"/>
    </xf>
    <xf numFmtId="40" fontId="6" fillId="4" borderId="0" xfId="0" applyNumberFormat="1" applyFont="1" applyFill="1" applyBorder="1" applyAlignment="1">
      <alignment horizontal="centerContinuous" vertical="center"/>
    </xf>
    <xf numFmtId="40" fontId="3" fillId="0" borderId="13" xfId="0" applyNumberFormat="1" applyFont="1" applyFill="1" applyBorder="1" applyAlignment="1" applyProtection="1">
      <alignment vertical="center"/>
      <protection hidden="1"/>
    </xf>
    <xf numFmtId="40" fontId="3" fillId="0" borderId="14" xfId="0" applyNumberFormat="1" applyFont="1" applyFill="1" applyBorder="1" applyAlignment="1" applyProtection="1">
      <alignment vertical="center"/>
      <protection hidden="1"/>
    </xf>
    <xf numFmtId="40" fontId="3" fillId="0" borderId="15" xfId="0" applyNumberFormat="1" applyFont="1" applyFill="1" applyBorder="1" applyAlignment="1" applyProtection="1">
      <alignment vertical="center"/>
      <protection hidden="1"/>
    </xf>
    <xf numFmtId="43" fontId="8" fillId="10" borderId="50" xfId="1" applyFont="1" applyFill="1" applyBorder="1" applyAlignment="1" applyProtection="1">
      <alignment horizontal="right" vertical="center"/>
      <protection hidden="1"/>
    </xf>
    <xf numFmtId="43" fontId="8" fillId="10" borderId="44" xfId="1" applyFont="1" applyFill="1" applyBorder="1" applyAlignment="1" applyProtection="1">
      <alignment horizontal="right" vertical="center"/>
      <protection locked="0" hidden="1"/>
    </xf>
    <xf numFmtId="43" fontId="8" fillId="10" borderId="0" xfId="1" applyFont="1" applyFill="1" applyBorder="1" applyAlignment="1" applyProtection="1">
      <alignment vertical="center"/>
      <protection hidden="1"/>
    </xf>
    <xf numFmtId="43" fontId="4" fillId="10" borderId="0" xfId="1" applyFont="1" applyFill="1" applyAlignment="1">
      <alignment vertical="center"/>
    </xf>
    <xf numFmtId="43" fontId="8" fillId="10" borderId="0" xfId="1" applyFont="1" applyFill="1" applyBorder="1" applyAlignment="1">
      <alignment vertical="center"/>
    </xf>
    <xf numFmtId="43" fontId="10" fillId="10" borderId="0" xfId="1" applyFont="1" applyFill="1" applyBorder="1" applyAlignment="1">
      <alignment vertical="center"/>
    </xf>
    <xf numFmtId="40" fontId="18" fillId="3" borderId="5" xfId="0" applyNumberFormat="1" applyFont="1" applyFill="1" applyBorder="1" applyAlignment="1" applyProtection="1">
      <alignment vertical="center"/>
      <protection hidden="1"/>
    </xf>
    <xf numFmtId="0" fontId="11" fillId="0" borderId="9" xfId="0" applyFont="1" applyBorder="1"/>
    <xf numFmtId="40" fontId="18" fillId="3" borderId="5" xfId="0" applyNumberFormat="1" applyFont="1" applyFill="1" applyBorder="1" applyAlignment="1" applyProtection="1">
      <alignment vertical="center"/>
      <protection locked="0" hidden="1"/>
    </xf>
    <xf numFmtId="0" fontId="20" fillId="0" borderId="9" xfId="0" applyFont="1" applyFill="1" applyBorder="1" applyAlignment="1" applyProtection="1">
      <alignment horizontal="left" vertical="center" indent="1"/>
      <protection locked="0" hidden="1"/>
    </xf>
    <xf numFmtId="40" fontId="20" fillId="0" borderId="10" xfId="0" applyNumberFormat="1" applyFont="1" applyFill="1" applyBorder="1" applyAlignment="1" applyProtection="1">
      <alignment vertical="center"/>
      <protection locked="0" hidden="1"/>
    </xf>
    <xf numFmtId="40" fontId="20" fillId="0" borderId="13" xfId="0" applyNumberFormat="1" applyFont="1" applyFill="1" applyBorder="1" applyAlignment="1" applyProtection="1">
      <alignment vertical="center"/>
      <protection locked="0" hidden="1"/>
    </xf>
    <xf numFmtId="166" fontId="19" fillId="2" borderId="9" xfId="0" applyNumberFormat="1" applyFont="1" applyFill="1" applyBorder="1" applyAlignment="1" applyProtection="1">
      <alignment vertical="center"/>
      <protection locked="0" hidden="1"/>
    </xf>
    <xf numFmtId="40" fontId="20" fillId="0" borderId="11" xfId="0" applyNumberFormat="1" applyFont="1" applyFill="1" applyBorder="1" applyAlignment="1" applyProtection="1">
      <alignment vertical="center"/>
      <protection hidden="1"/>
    </xf>
    <xf numFmtId="40" fontId="20" fillId="0" borderId="14" xfId="0" applyNumberFormat="1" applyFont="1" applyFill="1" applyBorder="1" applyAlignment="1" applyProtection="1">
      <alignment vertical="center"/>
      <protection hidden="1"/>
    </xf>
    <xf numFmtId="43" fontId="18" fillId="3" borderId="5" xfId="1" applyFont="1" applyFill="1" applyBorder="1" applyAlignment="1" applyProtection="1">
      <alignment horizontal="right" vertical="center"/>
      <protection hidden="1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200"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ill>
        <patternFill patternType="mediumGray"/>
      </fill>
    </dxf>
    <dxf>
      <fill>
        <patternFill patternType="mediumGray"/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ill>
        <patternFill patternType="mediumGray"/>
      </fill>
    </dxf>
    <dxf>
      <fill>
        <patternFill patternType="mediumGray"/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B8E84"/>
      <rgbColor rgb="00D9EDC1"/>
      <rgbColor rgb="00336887"/>
      <rgbColor rgb="00FFF3B9"/>
      <rgbColor rgb="00EFB6B1"/>
      <rgbColor rgb="00ACD8F1"/>
      <rgbColor rgb="00B3122D"/>
      <rgbColor rgb="007FA516"/>
      <rgbColor rgb="00004269"/>
      <rgbColor rgb="00FFE14F"/>
      <rgbColor rgb="00C2ADC4"/>
      <rgbColor rgb="0059B1E2"/>
      <rgbColor rgb="00E6E6E6"/>
      <rgbColor rgb="00808080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99B3C3"/>
      <rgbColor rgb="00D6EBF8"/>
      <rgbColor rgb="00F0F8E6"/>
      <rgbColor rgb="00FFF9DC"/>
      <rgbColor rgb="00CCD9E1"/>
      <rgbColor rgb="00FF0000"/>
      <rgbColor rgb="00EBE4EB"/>
      <rgbColor rgb="00EED6AD"/>
      <rgbColor rgb="00668EA5"/>
      <rgbColor rgb="0083C4E9"/>
      <rgbColor rgb="00FFE772"/>
      <rgbColor rgb="00F4C80F"/>
      <rgbColor rgb="00CDAF71"/>
      <rgbColor rgb="00EFA143"/>
      <rgbColor rgb="0099779D"/>
      <rgbColor rgb="00B2B2B2"/>
      <rgbColor rgb="00309DDB"/>
      <rgbColor rgb="00B3DB84"/>
      <rgbColor rgb="00587F03"/>
      <rgbColor rgb="006D4129"/>
      <rgbColor rgb="00597A7B"/>
      <rgbColor rgb="00D6C9D8"/>
      <rgbColor rgb="0057445A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18"/>
  <sheetViews>
    <sheetView showGridLines="0" workbookViewId="0">
      <selection activeCell="E10" sqref="E10"/>
    </sheetView>
  </sheetViews>
  <sheetFormatPr defaultRowHeight="12.5" x14ac:dyDescent="0.25"/>
  <cols>
    <col min="2" max="2" width="40.81640625" bestFit="1" customWidth="1"/>
    <col min="3" max="3" width="18.90625" bestFit="1" customWidth="1"/>
    <col min="5" max="5" width="12.81640625" bestFit="1" customWidth="1"/>
    <col min="7" max="7" width="40.81640625" bestFit="1" customWidth="1"/>
    <col min="8" max="8" width="20.08984375" bestFit="1" customWidth="1"/>
  </cols>
  <sheetData>
    <row r="5" spans="2:10" ht="15" x14ac:dyDescent="0.25">
      <c r="B5" s="137" t="s">
        <v>74</v>
      </c>
      <c r="C5" s="138"/>
      <c r="D5" s="138"/>
      <c r="E5" s="138"/>
      <c r="G5" s="137" t="s">
        <v>75</v>
      </c>
      <c r="H5" s="138"/>
      <c r="I5" s="138"/>
      <c r="J5" s="138"/>
    </row>
    <row r="6" spans="2:10" ht="15.5" thickBot="1" x14ac:dyDescent="0.3">
      <c r="B6" s="139" t="s">
        <v>43</v>
      </c>
      <c r="C6" s="140" t="s">
        <v>42</v>
      </c>
      <c r="D6" s="141"/>
      <c r="E6" s="141"/>
      <c r="G6" s="139" t="s">
        <v>43</v>
      </c>
      <c r="H6" s="140" t="s">
        <v>42</v>
      </c>
      <c r="I6" s="141"/>
      <c r="J6" s="141"/>
    </row>
    <row r="7" spans="2:10" ht="16" x14ac:dyDescent="0.25">
      <c r="B7" s="142" t="str">
        <f>'Break Down Per Community'!B2</f>
        <v>Personnel Expenses</v>
      </c>
      <c r="C7" s="143">
        <f>'Break Down Per Community'!E11</f>
        <v>420000</v>
      </c>
      <c r="D7" s="144"/>
      <c r="E7" s="144"/>
      <c r="G7" s="142" t="str">
        <f>B7</f>
        <v>Personnel Expenses</v>
      </c>
      <c r="H7" s="143">
        <f>'Total Breakdown'!AC36</f>
        <v>3360000</v>
      </c>
      <c r="I7" s="144"/>
      <c r="J7" s="144"/>
    </row>
    <row r="8" spans="2:10" ht="16" x14ac:dyDescent="0.25">
      <c r="B8" s="142" t="str">
        <f>'Break Down Per Community'!B13</f>
        <v>Equipment and Supplies</v>
      </c>
      <c r="C8" s="143">
        <f>'Break Down Per Community'!E20</f>
        <v>61645000</v>
      </c>
      <c r="D8" s="144"/>
      <c r="E8" s="144"/>
      <c r="G8" s="142" t="str">
        <f t="shared" ref="G8:G16" si="0">B8</f>
        <v>Equipment and Supplies</v>
      </c>
      <c r="H8" s="143">
        <f>'Total Breakdown'!AC45</f>
        <v>365160000</v>
      </c>
      <c r="I8" s="144"/>
      <c r="J8" s="144"/>
    </row>
    <row r="9" spans="2:10" ht="16" x14ac:dyDescent="0.25">
      <c r="B9" s="142" t="str">
        <f>'Break Down Per Community'!B22</f>
        <v>Training and Educaton</v>
      </c>
      <c r="C9" s="143">
        <f>'Break Down Per Community'!E29</f>
        <v>570000</v>
      </c>
      <c r="D9" s="144"/>
      <c r="E9" s="144"/>
      <c r="G9" s="142" t="str">
        <f t="shared" si="0"/>
        <v>Training and Educaton</v>
      </c>
      <c r="H9" s="143">
        <f>'Total Breakdown'!AC54</f>
        <v>4560000</v>
      </c>
      <c r="I9" s="144"/>
      <c r="J9" s="144"/>
    </row>
    <row r="10" spans="2:10" ht="16" x14ac:dyDescent="0.25">
      <c r="B10" s="142" t="str">
        <f>'Break Down Per Community'!B31</f>
        <v>Outreach and Mobilization</v>
      </c>
      <c r="C10" s="143">
        <f>'Break Down Per Community'!E39</f>
        <v>7900000</v>
      </c>
      <c r="D10" s="144"/>
      <c r="E10" s="144"/>
      <c r="G10" s="142" t="str">
        <f t="shared" si="0"/>
        <v>Outreach and Mobilization</v>
      </c>
      <c r="H10" s="143">
        <f>'Total Breakdown'!AC64</f>
        <v>63200000</v>
      </c>
      <c r="I10" s="144"/>
      <c r="J10" s="144"/>
    </row>
    <row r="11" spans="2:10" ht="16" x14ac:dyDescent="0.25">
      <c r="B11" s="142" t="str">
        <f>'Break Down Per Community'!B41</f>
        <v>Facilities and Infrastructure</v>
      </c>
      <c r="C11" s="143">
        <f>'Break Down Per Community'!E48</f>
        <v>240000</v>
      </c>
      <c r="D11" s="144"/>
      <c r="E11" s="144"/>
      <c r="G11" s="142" t="str">
        <f t="shared" si="0"/>
        <v>Facilities and Infrastructure</v>
      </c>
      <c r="H11" s="143">
        <f>'Total Breakdown'!AC73</f>
        <v>1920000</v>
      </c>
      <c r="I11" s="144"/>
      <c r="J11" s="144"/>
    </row>
    <row r="12" spans="2:10" ht="16" x14ac:dyDescent="0.25">
      <c r="B12" s="142" t="str">
        <f>'Break Down Per Community'!G2</f>
        <v>Monitoring and Evaluation</v>
      </c>
      <c r="C12" s="143">
        <f>'Break Down Per Community'!J11</f>
        <v>1847000</v>
      </c>
      <c r="D12" s="144"/>
      <c r="E12" s="144">
        <v>1004159407</v>
      </c>
      <c r="G12" s="142" t="str">
        <f t="shared" si="0"/>
        <v>Monitoring and Evaluation</v>
      </c>
      <c r="H12" s="143">
        <f>'Total Breakdown'!AC84</f>
        <v>14776000</v>
      </c>
      <c r="I12" s="144"/>
      <c r="J12" s="144"/>
    </row>
    <row r="13" spans="2:10" ht="16" x14ac:dyDescent="0.25">
      <c r="B13" s="142" t="str">
        <f>'Break Down Per Community'!G13</f>
        <v>Administrative and Overhead Costs</v>
      </c>
      <c r="C13" s="143">
        <f>'Break Down Per Community'!J20</f>
        <v>1900000</v>
      </c>
      <c r="D13" s="144"/>
      <c r="E13" s="144"/>
      <c r="G13" s="142" t="str">
        <f t="shared" si="0"/>
        <v>Administrative and Overhead Costs</v>
      </c>
      <c r="H13" s="143">
        <f>'Total Breakdown'!AC93</f>
        <v>15200000</v>
      </c>
      <c r="I13" s="144"/>
      <c r="J13" s="144"/>
    </row>
    <row r="14" spans="2:10" ht="16" x14ac:dyDescent="0.25">
      <c r="B14" s="142" t="str">
        <f>'Break Down Per Community'!G22</f>
        <v>Security</v>
      </c>
      <c r="C14" s="143">
        <f>'Break Down Per Community'!J28</f>
        <v>300000</v>
      </c>
      <c r="D14" s="144"/>
      <c r="E14" s="144"/>
      <c r="G14" s="142" t="str">
        <f t="shared" si="0"/>
        <v>Security</v>
      </c>
      <c r="H14" s="143">
        <f>'Total Breakdown'!AC101</f>
        <v>2400000</v>
      </c>
      <c r="I14" s="144"/>
      <c r="J14" s="144"/>
    </row>
    <row r="15" spans="2:10" ht="16" x14ac:dyDescent="0.25">
      <c r="B15" s="142" t="str">
        <f>'Break Down Per Community'!G31</f>
        <v>Contingency Funds</v>
      </c>
      <c r="C15" s="143">
        <f>'Break Down Per Community'!J36</f>
        <v>1000000</v>
      </c>
      <c r="D15" s="144"/>
      <c r="E15" s="144"/>
      <c r="G15" s="142" t="str">
        <f t="shared" si="0"/>
        <v>Contingency Funds</v>
      </c>
      <c r="H15" s="143">
        <f>'Total Breakdown'!AC108</f>
        <v>8000000</v>
      </c>
      <c r="I15" s="144"/>
      <c r="J15" s="144"/>
    </row>
    <row r="16" spans="2:10" ht="16.5" thickBot="1" x14ac:dyDescent="0.3">
      <c r="B16" s="142"/>
      <c r="C16" s="143">
        <v>0</v>
      </c>
      <c r="D16" s="144"/>
      <c r="E16" s="144"/>
      <c r="G16" s="142"/>
      <c r="H16" s="143">
        <v>0</v>
      </c>
      <c r="I16" s="144"/>
      <c r="J16" s="144"/>
    </row>
    <row r="17" spans="2:10" ht="16" x14ac:dyDescent="0.25">
      <c r="B17" s="145" t="s">
        <v>11</v>
      </c>
      <c r="C17" s="146">
        <f>SUM(C7:C16)</f>
        <v>75822000</v>
      </c>
      <c r="D17" s="144"/>
      <c r="E17" s="144"/>
      <c r="G17" s="145" t="s">
        <v>11</v>
      </c>
      <c r="H17" s="146">
        <f>SUM(H7:H16)</f>
        <v>478576000</v>
      </c>
      <c r="I17" s="144"/>
      <c r="J17" s="144"/>
    </row>
    <row r="18" spans="2:10" ht="16" x14ac:dyDescent="0.35">
      <c r="B18" s="147"/>
      <c r="C18" s="147"/>
      <c r="D18" s="147"/>
      <c r="E18" s="147"/>
    </row>
  </sheetData>
  <mergeCells count="2">
    <mergeCell ref="C5:E5"/>
    <mergeCell ref="H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9"/>
  <sheetViews>
    <sheetView showGridLines="0" tabSelected="1" topLeftCell="A25" zoomScale="77" zoomScaleNormal="77" workbookViewId="0">
      <selection activeCell="H10" sqref="H10"/>
    </sheetView>
  </sheetViews>
  <sheetFormatPr defaultColWidth="9.1796875" defaultRowHeight="12.75" customHeight="1" x14ac:dyDescent="0.25"/>
  <cols>
    <col min="1" max="1" width="9.1796875" style="12"/>
    <col min="2" max="2" width="30.36328125" style="1" customWidth="1"/>
    <col min="3" max="3" width="10.90625" style="1" bestFit="1" customWidth="1"/>
    <col min="4" max="4" width="8.7265625" style="1" customWidth="1"/>
    <col min="5" max="5" width="11.90625" style="1" bestFit="1" customWidth="1"/>
    <col min="6" max="6" width="3.81640625" style="1" customWidth="1"/>
    <col min="7" max="7" width="34.26953125" style="1" customWidth="1"/>
    <col min="8" max="8" width="10.36328125" style="1" bestFit="1" customWidth="1"/>
    <col min="9" max="9" width="8.7265625" style="1" customWidth="1"/>
    <col min="10" max="10" width="12" style="1" bestFit="1" customWidth="1"/>
    <col min="11" max="16384" width="9.1796875" style="1"/>
  </cols>
  <sheetData>
    <row r="1" spans="2:10" ht="19.5" customHeight="1" x14ac:dyDescent="0.25">
      <c r="B1" s="13"/>
      <c r="C1" s="13"/>
      <c r="D1" s="13"/>
      <c r="E1" s="13"/>
      <c r="F1" s="13"/>
      <c r="G1" s="12"/>
      <c r="H1" s="12"/>
      <c r="I1" s="12"/>
      <c r="J1" s="12"/>
    </row>
    <row r="2" spans="2:10" s="3" customFormat="1" ht="14.5" customHeight="1" thickBot="1" x14ac:dyDescent="0.3">
      <c r="B2" s="21" t="s">
        <v>66</v>
      </c>
      <c r="C2" s="11" t="s">
        <v>47</v>
      </c>
      <c r="D2" s="11" t="s">
        <v>38</v>
      </c>
      <c r="E2" s="148" t="s">
        <v>39</v>
      </c>
      <c r="G2" s="23" t="s">
        <v>16</v>
      </c>
      <c r="H2" s="11" t="str">
        <f>C13</f>
        <v>Cost</v>
      </c>
      <c r="I2" s="11" t="str">
        <f>D2</f>
        <v>Frequency</v>
      </c>
      <c r="J2" s="149" t="str">
        <f>E2</f>
        <v>Total</v>
      </c>
    </row>
    <row r="3" spans="2:10" s="3" customFormat="1" ht="14.5" customHeight="1" x14ac:dyDescent="0.25">
      <c r="B3" s="22" t="s">
        <v>20</v>
      </c>
      <c r="C3" s="18">
        <v>80000</v>
      </c>
      <c r="D3" s="27">
        <v>2</v>
      </c>
      <c r="E3" s="30">
        <f t="shared" ref="E3:E10" si="0">C3*D3</f>
        <v>160000</v>
      </c>
      <c r="G3" s="22" t="s">
        <v>31</v>
      </c>
      <c r="H3" s="18"/>
      <c r="I3" s="27">
        <v>1</v>
      </c>
      <c r="J3" s="30">
        <f>H3*I3</f>
        <v>0</v>
      </c>
    </row>
    <row r="4" spans="2:10" s="3" customFormat="1" ht="14.5" customHeight="1" x14ac:dyDescent="0.25">
      <c r="B4" s="22" t="s">
        <v>21</v>
      </c>
      <c r="C4" s="19">
        <v>50000</v>
      </c>
      <c r="D4" s="28">
        <v>2</v>
      </c>
      <c r="E4" s="30">
        <f t="shared" si="0"/>
        <v>100000</v>
      </c>
      <c r="G4" s="22" t="s">
        <v>32</v>
      </c>
      <c r="H4" s="19"/>
      <c r="I4" s="28">
        <v>1</v>
      </c>
      <c r="J4" s="30">
        <f>H4*I4</f>
        <v>0</v>
      </c>
    </row>
    <row r="5" spans="2:10" s="3" customFormat="1" ht="14.5" customHeight="1" x14ac:dyDescent="0.25">
      <c r="B5" s="22" t="s">
        <v>22</v>
      </c>
      <c r="C5" s="19">
        <v>40000</v>
      </c>
      <c r="D5" s="28">
        <v>4</v>
      </c>
      <c r="E5" s="30">
        <f t="shared" si="0"/>
        <v>160000</v>
      </c>
      <c r="G5" s="22" t="s">
        <v>40</v>
      </c>
      <c r="H5" s="19"/>
      <c r="I5" s="28">
        <v>1</v>
      </c>
      <c r="J5" s="30">
        <f>H5*I5</f>
        <v>0</v>
      </c>
    </row>
    <row r="6" spans="2:10" s="3" customFormat="1" ht="14.5" customHeight="1" x14ac:dyDescent="0.25">
      <c r="B6" s="22"/>
      <c r="C6" s="19"/>
      <c r="D6" s="28"/>
      <c r="E6" s="30">
        <f t="shared" si="0"/>
        <v>0</v>
      </c>
      <c r="G6" s="22" t="s">
        <v>71</v>
      </c>
      <c r="H6" s="19">
        <v>200000</v>
      </c>
      <c r="I6" s="28">
        <v>2</v>
      </c>
      <c r="J6" s="30">
        <f>H6*I6</f>
        <v>400000</v>
      </c>
    </row>
    <row r="7" spans="2:10" s="3" customFormat="1" ht="14.5" customHeight="1" x14ac:dyDescent="0.25">
      <c r="B7" s="22"/>
      <c r="C7" s="19"/>
      <c r="D7" s="28"/>
      <c r="E7" s="30">
        <f t="shared" si="0"/>
        <v>0</v>
      </c>
      <c r="G7" s="22" t="s">
        <v>49</v>
      </c>
      <c r="H7" s="19">
        <v>300000</v>
      </c>
      <c r="I7" s="28">
        <v>1</v>
      </c>
      <c r="J7" s="30">
        <f>H7*I7</f>
        <v>300000</v>
      </c>
    </row>
    <row r="8" spans="2:10" s="3" customFormat="1" ht="14.5" customHeight="1" x14ac:dyDescent="0.25">
      <c r="B8" s="22"/>
      <c r="C8" s="19"/>
      <c r="D8" s="28"/>
      <c r="E8" s="30">
        <f t="shared" si="0"/>
        <v>0</v>
      </c>
      <c r="G8" s="22" t="s">
        <v>50</v>
      </c>
      <c r="H8" s="19">
        <v>400000</v>
      </c>
      <c r="I8" s="28">
        <v>1</v>
      </c>
      <c r="J8" s="30">
        <f>H8*I8</f>
        <v>400000</v>
      </c>
    </row>
    <row r="9" spans="2:10" s="3" customFormat="1" ht="14.5" customHeight="1" x14ac:dyDescent="0.25">
      <c r="B9" s="22"/>
      <c r="C9" s="19"/>
      <c r="D9" s="28"/>
      <c r="E9" s="30">
        <f t="shared" si="0"/>
        <v>0</v>
      </c>
      <c r="G9" s="22" t="s">
        <v>70</v>
      </c>
      <c r="H9" s="20">
        <v>30000</v>
      </c>
      <c r="I9" s="29">
        <v>3</v>
      </c>
      <c r="J9" s="30">
        <f>H9*I9</f>
        <v>90000</v>
      </c>
    </row>
    <row r="10" spans="2:10" s="3" customFormat="1" ht="14.5" customHeight="1" thickBot="1" x14ac:dyDescent="0.3">
      <c r="B10" s="22"/>
      <c r="C10" s="20"/>
      <c r="D10" s="29"/>
      <c r="E10" s="30">
        <f t="shared" si="0"/>
        <v>0</v>
      </c>
      <c r="G10" s="22" t="s">
        <v>72</v>
      </c>
      <c r="H10" s="20">
        <v>219000</v>
      </c>
      <c r="I10" s="29">
        <v>3</v>
      </c>
      <c r="J10" s="30">
        <f>H10*I10</f>
        <v>657000</v>
      </c>
    </row>
    <row r="11" spans="2:10" s="3" customFormat="1" ht="14.5" customHeight="1" x14ac:dyDescent="0.25">
      <c r="B11" s="15" t="str">
        <f>B2&amp;" totals"</f>
        <v>Personnel Expenses totals</v>
      </c>
      <c r="C11" s="4">
        <f>SUM(C3:C10)</f>
        <v>170000</v>
      </c>
      <c r="D11" s="159">
        <f>SUM(D3:D10)</f>
        <v>8</v>
      </c>
      <c r="E11" s="17">
        <f>SUM(E3:E10)</f>
        <v>420000</v>
      </c>
      <c r="G11" s="15" t="str">
        <f>G2&amp;" totals"</f>
        <v>Monitoring and Evaluation totals</v>
      </c>
      <c r="H11" s="4">
        <f>SUM(H3:H10)</f>
        <v>1149000</v>
      </c>
      <c r="I11" s="159">
        <f>SUM(I3:I10)</f>
        <v>13</v>
      </c>
      <c r="J11" s="17">
        <f>SUM(J3:J10)</f>
        <v>1847000</v>
      </c>
    </row>
    <row r="12" spans="2:10" s="3" customFormat="1" ht="14.5" customHeight="1" x14ac:dyDescent="0.25">
      <c r="B12" s="5"/>
      <c r="C12" s="5"/>
      <c r="D12" s="5"/>
      <c r="E12" s="5"/>
    </row>
    <row r="13" spans="2:10" s="3" customFormat="1" ht="14.5" customHeight="1" thickBot="1" x14ac:dyDescent="0.3">
      <c r="B13" s="23" t="s">
        <v>12</v>
      </c>
      <c r="C13" s="11" t="str">
        <f>C2</f>
        <v>Cost</v>
      </c>
      <c r="D13" s="11" t="s">
        <v>38</v>
      </c>
      <c r="E13" s="148" t="s">
        <v>39</v>
      </c>
      <c r="G13" s="23" t="s">
        <v>17</v>
      </c>
      <c r="H13" s="11" t="str">
        <f>C13</f>
        <v>Cost</v>
      </c>
      <c r="I13" s="11" t="str">
        <f>I2</f>
        <v>Frequency</v>
      </c>
      <c r="J13" s="149" t="str">
        <f>J2</f>
        <v>Total</v>
      </c>
    </row>
    <row r="14" spans="2:10" s="3" customFormat="1" ht="14.5" customHeight="1" x14ac:dyDescent="0.25">
      <c r="B14" s="31" t="s">
        <v>73</v>
      </c>
      <c r="C14" s="18">
        <v>1500</v>
      </c>
      <c r="D14" s="27">
        <v>2000</v>
      </c>
      <c r="E14" s="30">
        <f>C14*D14</f>
        <v>3000000</v>
      </c>
      <c r="G14" s="22" t="s">
        <v>33</v>
      </c>
      <c r="H14" s="18">
        <v>500000</v>
      </c>
      <c r="I14" s="27">
        <v>1</v>
      </c>
      <c r="J14" s="30">
        <f>H14*I14</f>
        <v>500000</v>
      </c>
    </row>
    <row r="15" spans="2:10" s="3" customFormat="1" ht="14.5" customHeight="1" x14ac:dyDescent="0.25">
      <c r="B15" s="31" t="s">
        <v>23</v>
      </c>
      <c r="C15" s="19">
        <v>7822.5</v>
      </c>
      <c r="D15" s="27">
        <v>2000</v>
      </c>
      <c r="E15" s="30">
        <f t="shared" ref="E15:E19" si="1">C15*D15</f>
        <v>15645000</v>
      </c>
      <c r="G15" s="22" t="s">
        <v>4</v>
      </c>
      <c r="H15" s="19">
        <v>150000</v>
      </c>
      <c r="I15" s="28">
        <v>1</v>
      </c>
      <c r="J15" s="30">
        <f>H15*I15</f>
        <v>150000</v>
      </c>
    </row>
    <row r="16" spans="2:10" s="3" customFormat="1" ht="14.5" customHeight="1" x14ac:dyDescent="0.25">
      <c r="B16" s="31" t="s">
        <v>24</v>
      </c>
      <c r="C16" s="19">
        <v>11250</v>
      </c>
      <c r="D16" s="27">
        <v>2000</v>
      </c>
      <c r="E16" s="30">
        <f t="shared" si="1"/>
        <v>22500000</v>
      </c>
      <c r="G16" s="22" t="s">
        <v>41</v>
      </c>
      <c r="H16" s="19"/>
      <c r="I16" s="28">
        <v>1</v>
      </c>
      <c r="J16" s="30">
        <f>H16*I16</f>
        <v>0</v>
      </c>
    </row>
    <row r="17" spans="2:10" s="3" customFormat="1" ht="14.5" customHeight="1" x14ac:dyDescent="0.25">
      <c r="B17" s="31" t="s">
        <v>25</v>
      </c>
      <c r="C17" s="19">
        <v>2250</v>
      </c>
      <c r="D17" s="27">
        <v>2000</v>
      </c>
      <c r="E17" s="30">
        <f t="shared" si="1"/>
        <v>4500000</v>
      </c>
      <c r="G17" s="22" t="s">
        <v>34</v>
      </c>
      <c r="H17" s="19">
        <v>150000</v>
      </c>
      <c r="I17" s="28">
        <v>1</v>
      </c>
      <c r="J17" s="30">
        <f>H17*I17</f>
        <v>150000</v>
      </c>
    </row>
    <row r="18" spans="2:10" s="3" customFormat="1" ht="14.5" customHeight="1" x14ac:dyDescent="0.25">
      <c r="B18" s="160" t="s">
        <v>76</v>
      </c>
      <c r="C18" s="19">
        <v>8000</v>
      </c>
      <c r="D18" s="28">
        <v>2000</v>
      </c>
      <c r="E18" s="30">
        <f t="shared" si="1"/>
        <v>16000000</v>
      </c>
      <c r="G18" s="22" t="s">
        <v>48</v>
      </c>
      <c r="H18" s="19">
        <v>500000</v>
      </c>
      <c r="I18" s="28">
        <v>1</v>
      </c>
      <c r="J18" s="30">
        <f>H18*I18</f>
        <v>500000</v>
      </c>
    </row>
    <row r="19" spans="2:10" s="3" customFormat="1" ht="14.5" customHeight="1" thickBot="1" x14ac:dyDescent="0.3">
      <c r="B19" s="22"/>
      <c r="C19" s="20"/>
      <c r="D19" s="29"/>
      <c r="E19" s="30">
        <f t="shared" si="1"/>
        <v>0</v>
      </c>
      <c r="G19" s="22" t="s">
        <v>35</v>
      </c>
      <c r="H19" s="19">
        <v>37500</v>
      </c>
      <c r="I19" s="28">
        <v>16</v>
      </c>
      <c r="J19" s="30">
        <f>H19*I19</f>
        <v>600000</v>
      </c>
    </row>
    <row r="20" spans="2:10" s="3" customFormat="1" ht="14.5" customHeight="1" x14ac:dyDescent="0.25">
      <c r="B20" s="15" t="str">
        <f>B13&amp;" totals"</f>
        <v>Equipment and Supplies totals</v>
      </c>
      <c r="C20" s="4">
        <f>SUM(C14:C19)</f>
        <v>30822.5</v>
      </c>
      <c r="D20" s="159">
        <f>SUM(D14:D19)</f>
        <v>10000</v>
      </c>
      <c r="E20" s="17">
        <f>SUM(E14:E19)</f>
        <v>61645000</v>
      </c>
      <c r="G20" s="15" t="str">
        <f>G13&amp;" totals"</f>
        <v>Administrative and Overhead Costs totals</v>
      </c>
      <c r="H20" s="6">
        <f>SUM(H14:H18)</f>
        <v>1300000</v>
      </c>
      <c r="I20" s="161">
        <f>SUM(I14:I19)</f>
        <v>21</v>
      </c>
      <c r="J20" s="17">
        <f>SUM(J14:J19)</f>
        <v>1900000</v>
      </c>
    </row>
    <row r="21" spans="2:10" s="3" customFormat="1" ht="14.5" customHeight="1" x14ac:dyDescent="0.25">
      <c r="B21" s="5"/>
      <c r="C21" s="5"/>
      <c r="D21" s="5"/>
      <c r="E21" s="5"/>
    </row>
    <row r="22" spans="2:10" s="3" customFormat="1" ht="14.5" customHeight="1" thickBot="1" x14ac:dyDescent="0.3">
      <c r="B22" s="23" t="s">
        <v>13</v>
      </c>
      <c r="C22" s="11" t="str">
        <f>C13</f>
        <v>Cost</v>
      </c>
      <c r="D22" s="11" t="s">
        <v>38</v>
      </c>
      <c r="E22" s="148" t="s">
        <v>39</v>
      </c>
      <c r="G22" s="23" t="s">
        <v>18</v>
      </c>
      <c r="H22" s="11" t="str">
        <f>C31</f>
        <v>Cost</v>
      </c>
      <c r="I22" s="11" t="str">
        <f>I13</f>
        <v>Frequency</v>
      </c>
      <c r="J22" s="149" t="str">
        <f>J13</f>
        <v>Total</v>
      </c>
    </row>
    <row r="23" spans="2:10" s="3" customFormat="1" ht="14.5" customHeight="1" x14ac:dyDescent="0.25">
      <c r="B23" s="162" t="s">
        <v>26</v>
      </c>
      <c r="C23" s="163">
        <v>570000</v>
      </c>
      <c r="D23" s="164">
        <v>1</v>
      </c>
      <c r="E23" s="165">
        <f>C23*D23</f>
        <v>570000</v>
      </c>
      <c r="G23" s="22" t="s">
        <v>36</v>
      </c>
      <c r="H23" s="18">
        <v>50000</v>
      </c>
      <c r="I23" s="27">
        <v>6</v>
      </c>
      <c r="J23" s="30">
        <f>H23*I23</f>
        <v>300000</v>
      </c>
    </row>
    <row r="24" spans="2:10" s="3" customFormat="1" ht="14.5" customHeight="1" x14ac:dyDescent="0.25">
      <c r="B24" s="22" t="s">
        <v>27</v>
      </c>
      <c r="C24" s="19">
        <v>0</v>
      </c>
      <c r="D24" s="28">
        <v>1</v>
      </c>
      <c r="E24" s="30">
        <f t="shared" ref="E24:E28" si="2">C24*D24</f>
        <v>0</v>
      </c>
      <c r="G24" s="22"/>
      <c r="H24" s="19"/>
      <c r="I24" s="28"/>
      <c r="J24" s="30">
        <f>H24*I24</f>
        <v>0</v>
      </c>
    </row>
    <row r="25" spans="2:10" s="3" customFormat="1" ht="14.5" customHeight="1" x14ac:dyDescent="0.25">
      <c r="B25" s="22"/>
      <c r="C25" s="19"/>
      <c r="D25" s="28"/>
      <c r="E25" s="30">
        <f t="shared" si="2"/>
        <v>0</v>
      </c>
      <c r="G25" s="22"/>
      <c r="H25" s="19"/>
      <c r="I25" s="28"/>
      <c r="J25" s="30">
        <f>H25*I25</f>
        <v>0</v>
      </c>
    </row>
    <row r="26" spans="2:10" s="3" customFormat="1" ht="14.5" customHeight="1" x14ac:dyDescent="0.25">
      <c r="B26" s="22"/>
      <c r="C26" s="19"/>
      <c r="D26" s="28"/>
      <c r="E26" s="30">
        <f t="shared" si="2"/>
        <v>0</v>
      </c>
      <c r="G26" s="22"/>
      <c r="H26" s="19"/>
      <c r="I26" s="28"/>
      <c r="J26" s="30">
        <f>H26*I26</f>
        <v>0</v>
      </c>
    </row>
    <row r="27" spans="2:10" s="3" customFormat="1" ht="14.5" customHeight="1" thickBot="1" x14ac:dyDescent="0.3">
      <c r="B27" s="22"/>
      <c r="C27" s="19"/>
      <c r="D27" s="28"/>
      <c r="E27" s="30">
        <f t="shared" si="2"/>
        <v>0</v>
      </c>
      <c r="G27" s="22"/>
      <c r="H27" s="20"/>
      <c r="I27" s="29"/>
      <c r="J27" s="30">
        <f>H27*I27</f>
        <v>0</v>
      </c>
    </row>
    <row r="28" spans="2:10" s="3" customFormat="1" ht="14.5" customHeight="1" thickBot="1" x14ac:dyDescent="0.3">
      <c r="B28" s="22"/>
      <c r="C28" s="20"/>
      <c r="D28" s="29"/>
      <c r="E28" s="30">
        <f t="shared" si="2"/>
        <v>0</v>
      </c>
      <c r="G28" s="15" t="str">
        <f>G22&amp;" totals"</f>
        <v>Security totals</v>
      </c>
      <c r="H28" s="4">
        <f>SUM(H23:H27)</f>
        <v>50000</v>
      </c>
      <c r="I28" s="4">
        <f>SUM(I23:I27)</f>
        <v>6</v>
      </c>
      <c r="J28" s="17">
        <f>SUM(J23:J27)</f>
        <v>300000</v>
      </c>
    </row>
    <row r="29" spans="2:10" s="3" customFormat="1" ht="14.5" customHeight="1" x14ac:dyDescent="0.25">
      <c r="B29" s="15" t="str">
        <f>B22&amp;" totals"</f>
        <v>Training and Educaton totals</v>
      </c>
      <c r="C29" s="4">
        <f>SUM(C23:C28)</f>
        <v>570000</v>
      </c>
      <c r="D29" s="159">
        <f>SUM(D23:D28)</f>
        <v>2</v>
      </c>
      <c r="E29" s="17">
        <f>SUM(E23:E28)</f>
        <v>570000</v>
      </c>
      <c r="G29" s="15"/>
      <c r="H29" s="16"/>
      <c r="I29" s="16"/>
      <c r="J29" s="17"/>
    </row>
    <row r="30" spans="2:10" s="3" customFormat="1" ht="14.5" customHeight="1" x14ac:dyDescent="0.25">
      <c r="B30" s="7"/>
      <c r="C30" s="7"/>
      <c r="D30" s="7"/>
      <c r="E30" s="7"/>
    </row>
    <row r="31" spans="2:10" s="3" customFormat="1" ht="14.5" customHeight="1" thickBot="1" x14ac:dyDescent="0.3">
      <c r="B31" s="23" t="s">
        <v>14</v>
      </c>
      <c r="C31" s="11" t="str">
        <f>C22</f>
        <v>Cost</v>
      </c>
      <c r="D31" s="11" t="s">
        <v>38</v>
      </c>
      <c r="E31" s="148" t="str">
        <f>E22</f>
        <v>Total</v>
      </c>
      <c r="G31" s="23" t="s">
        <v>19</v>
      </c>
      <c r="H31" s="11" t="str">
        <f>C31</f>
        <v>Cost</v>
      </c>
      <c r="I31" s="11" t="str">
        <f>I22</f>
        <v>Frequency</v>
      </c>
      <c r="J31" s="149" t="str">
        <f>J22</f>
        <v>Total</v>
      </c>
    </row>
    <row r="32" spans="2:10" s="3" customFormat="1" ht="14.5" customHeight="1" x14ac:dyDescent="0.25">
      <c r="B32" s="22" t="s">
        <v>28</v>
      </c>
      <c r="C32" s="24">
        <v>200000</v>
      </c>
      <c r="D32" s="150">
        <v>10</v>
      </c>
      <c r="E32" s="30">
        <f>C32*D32</f>
        <v>2000000</v>
      </c>
      <c r="G32" s="22" t="s">
        <v>37</v>
      </c>
      <c r="H32" s="18">
        <v>1000000</v>
      </c>
      <c r="I32" s="27">
        <v>1</v>
      </c>
      <c r="J32" s="30">
        <f>H32*I32</f>
        <v>1000000</v>
      </c>
    </row>
    <row r="33" spans="2:10" s="3" customFormat="1" ht="14.5" customHeight="1" x14ac:dyDescent="0.25">
      <c r="B33" s="162" t="s">
        <v>77</v>
      </c>
      <c r="C33" s="166">
        <v>1000000</v>
      </c>
      <c r="D33" s="167">
        <v>1</v>
      </c>
      <c r="E33" s="165">
        <f t="shared" ref="E33:E38" si="3">C33*D33</f>
        <v>1000000</v>
      </c>
      <c r="G33" s="22"/>
      <c r="H33" s="19"/>
      <c r="I33" s="28"/>
      <c r="J33" s="30">
        <f>H33*I33</f>
        <v>0</v>
      </c>
    </row>
    <row r="34" spans="2:10" s="3" customFormat="1" ht="14.5" customHeight="1" x14ac:dyDescent="0.25">
      <c r="B34" s="22" t="s">
        <v>44</v>
      </c>
      <c r="C34" s="25">
        <v>500000</v>
      </c>
      <c r="D34" s="151">
        <v>1</v>
      </c>
      <c r="E34" s="30">
        <f t="shared" si="3"/>
        <v>500000</v>
      </c>
      <c r="G34" s="22"/>
      <c r="H34" s="19"/>
      <c r="I34" s="28"/>
      <c r="J34" s="30">
        <f>H34*I34</f>
        <v>0</v>
      </c>
    </row>
    <row r="35" spans="2:10" s="3" customFormat="1" ht="14.5" customHeight="1" thickBot="1" x14ac:dyDescent="0.3">
      <c r="B35" s="22" t="s">
        <v>45</v>
      </c>
      <c r="C35" s="25">
        <v>400000</v>
      </c>
      <c r="D35" s="151">
        <v>1</v>
      </c>
      <c r="E35" s="30">
        <f t="shared" si="3"/>
        <v>400000</v>
      </c>
      <c r="G35" s="22"/>
      <c r="H35" s="20"/>
      <c r="I35" s="29"/>
      <c r="J35" s="30">
        <f>H35*I35</f>
        <v>0</v>
      </c>
    </row>
    <row r="36" spans="2:10" s="3" customFormat="1" ht="14.5" customHeight="1" x14ac:dyDescent="0.25">
      <c r="B36" s="22" t="s">
        <v>46</v>
      </c>
      <c r="C36" s="25">
        <v>1000000</v>
      </c>
      <c r="D36" s="151">
        <v>1</v>
      </c>
      <c r="E36" s="30">
        <f t="shared" si="3"/>
        <v>1000000</v>
      </c>
      <c r="G36" s="15" t="str">
        <f>G31&amp;" totals"</f>
        <v>Contingency Funds totals</v>
      </c>
      <c r="H36" s="4">
        <f>SUM(H32:H35)</f>
        <v>1000000</v>
      </c>
      <c r="I36" s="159">
        <f>SUM(I32:I35)</f>
        <v>1</v>
      </c>
      <c r="J36" s="17">
        <f>SUM(J32:J35)</f>
        <v>1000000</v>
      </c>
    </row>
    <row r="37" spans="2:10" s="3" customFormat="1" ht="14.5" customHeight="1" x14ac:dyDescent="0.25">
      <c r="B37" s="22" t="s">
        <v>3</v>
      </c>
      <c r="C37" s="25">
        <v>1500</v>
      </c>
      <c r="D37" s="151">
        <v>2000</v>
      </c>
      <c r="E37" s="30">
        <f t="shared" si="3"/>
        <v>3000000</v>
      </c>
      <c r="G37" s="7"/>
      <c r="H37" s="7"/>
      <c r="I37" s="7"/>
      <c r="J37" s="7"/>
    </row>
    <row r="38" spans="2:10" s="3" customFormat="1" ht="14.5" customHeight="1" thickBot="1" x14ac:dyDescent="0.3">
      <c r="B38" s="22"/>
      <c r="C38" s="26"/>
      <c r="D38" s="152"/>
      <c r="E38" s="30">
        <f t="shared" si="3"/>
        <v>0</v>
      </c>
    </row>
    <row r="39" spans="2:10" s="3" customFormat="1" ht="14.5" customHeight="1" x14ac:dyDescent="0.25">
      <c r="B39" s="15" t="str">
        <f>B31&amp;" totals"</f>
        <v>Outreach and Mobilization totals</v>
      </c>
      <c r="C39" s="4">
        <f>SUM(C32:C38)</f>
        <v>3101500</v>
      </c>
      <c r="D39" s="159">
        <f>SUM(D32:D38)</f>
        <v>2014</v>
      </c>
      <c r="E39" s="17">
        <f>SUM(E32:E38)</f>
        <v>7900000</v>
      </c>
    </row>
    <row r="40" spans="2:10" s="3" customFormat="1" ht="14.5" customHeight="1" x14ac:dyDescent="0.25"/>
    <row r="41" spans="2:10" s="3" customFormat="1" ht="14.5" customHeight="1" thickBot="1" x14ac:dyDescent="0.3">
      <c r="B41" s="23" t="s">
        <v>15</v>
      </c>
      <c r="C41" s="11" t="str">
        <f>C31</f>
        <v>Cost</v>
      </c>
      <c r="D41" s="11" t="str">
        <f>D31</f>
        <v>Frequency</v>
      </c>
      <c r="E41" s="149" t="str">
        <f>E31</f>
        <v>Total</v>
      </c>
    </row>
    <row r="42" spans="2:10" s="3" customFormat="1" ht="14.5" customHeight="1" x14ac:dyDescent="0.25">
      <c r="B42" s="22" t="s">
        <v>29</v>
      </c>
      <c r="C42" s="18">
        <v>0</v>
      </c>
      <c r="D42" s="27">
        <v>1</v>
      </c>
      <c r="E42" s="30">
        <f>C42*D42</f>
        <v>0</v>
      </c>
    </row>
    <row r="43" spans="2:10" s="3" customFormat="1" ht="14.5" customHeight="1" x14ac:dyDescent="0.25">
      <c r="B43" s="22" t="s">
        <v>30</v>
      </c>
      <c r="C43" s="19">
        <v>120000</v>
      </c>
      <c r="D43" s="28">
        <v>2</v>
      </c>
      <c r="E43" s="30">
        <f t="shared" ref="E43:E47" si="4">C43*D43</f>
        <v>240000</v>
      </c>
    </row>
    <row r="44" spans="2:10" s="3" customFormat="1" ht="14.5" customHeight="1" x14ac:dyDescent="0.25">
      <c r="B44" s="22"/>
      <c r="C44" s="19"/>
      <c r="D44" s="28"/>
      <c r="E44" s="30">
        <f t="shared" si="4"/>
        <v>0</v>
      </c>
    </row>
    <row r="45" spans="2:10" s="3" customFormat="1" ht="14.5" customHeight="1" x14ac:dyDescent="0.25">
      <c r="B45" s="22"/>
      <c r="C45" s="19"/>
      <c r="D45" s="28"/>
      <c r="E45" s="30">
        <f t="shared" si="4"/>
        <v>0</v>
      </c>
    </row>
    <row r="46" spans="2:10" s="3" customFormat="1" ht="14.5" customHeight="1" x14ac:dyDescent="0.25">
      <c r="B46" s="22"/>
      <c r="C46" s="19"/>
      <c r="D46" s="28"/>
      <c r="E46" s="30">
        <f t="shared" si="4"/>
        <v>0</v>
      </c>
    </row>
    <row r="47" spans="2:10" s="3" customFormat="1" ht="14.5" customHeight="1" thickBot="1" x14ac:dyDescent="0.3">
      <c r="B47" s="22"/>
      <c r="C47" s="20"/>
      <c r="D47" s="29"/>
      <c r="E47" s="30">
        <f t="shared" si="4"/>
        <v>0</v>
      </c>
    </row>
    <row r="48" spans="2:10" s="3" customFormat="1" ht="14.5" customHeight="1" x14ac:dyDescent="0.25">
      <c r="B48" s="15" t="str">
        <f>B41&amp;" totals"</f>
        <v>Facilities and Infrastructure totals</v>
      </c>
      <c r="C48" s="4">
        <f>SUM(C42:C47)</f>
        <v>120000</v>
      </c>
      <c r="D48" s="159">
        <f>SUM(D42:D47)</f>
        <v>3</v>
      </c>
      <c r="E48" s="17">
        <f>SUM(E42:E47)</f>
        <v>240000</v>
      </c>
    </row>
    <row r="49" spans="2:6" s="3" customFormat="1" ht="14.5" customHeight="1" x14ac:dyDescent="0.25">
      <c r="B49" s="1"/>
      <c r="C49" s="1"/>
      <c r="D49" s="1"/>
      <c r="E49" s="1"/>
      <c r="F49" s="1"/>
    </row>
  </sheetData>
  <mergeCells count="1">
    <mergeCell ref="B1:F1"/>
  </mergeCells>
  <phoneticPr fontId="3" type="noConversion"/>
  <pageMargins left="0.19685039370078741" right="0.19685039370078741" top="0.19685039370078741" bottom="0.31496062992125984" header="0.51181102362204722" footer="0.11811023622047245"/>
  <pageSetup paperSize="9" scale="95" orientation="portrait" r:id="rId1"/>
  <headerFooter alignWithMargins="0">
    <oddFooter>&amp;LBudget Spreadsheet by Spreadsheet123.com&amp;R© 2013 Spreadsheet123 LTD. All rights reserved</oddFooter>
  </headerFooter>
  <ignoredErrors>
    <ignoredError sqref="E40 H2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3"/>
  <sheetViews>
    <sheetView topLeftCell="M53" zoomScale="76" zoomScaleNormal="76" workbookViewId="0">
      <selection activeCell="AC20" sqref="AC1:AC1048576"/>
    </sheetView>
  </sheetViews>
  <sheetFormatPr defaultColWidth="9.1796875" defaultRowHeight="12.5" x14ac:dyDescent="0.25"/>
  <cols>
    <col min="1" max="1" width="29.54296875" style="36" customWidth="1"/>
    <col min="2" max="2" width="11.90625" style="74" bestFit="1" customWidth="1"/>
    <col min="3" max="3" width="8.36328125" style="74" bestFit="1" customWidth="1"/>
    <col min="4" max="4" width="13.08984375" style="74" bestFit="1" customWidth="1"/>
    <col min="5" max="5" width="11.453125" style="74" bestFit="1" customWidth="1"/>
    <col min="6" max="6" width="8.36328125" style="74" bestFit="1" customWidth="1"/>
    <col min="7" max="7" width="11" style="74" bestFit="1" customWidth="1"/>
    <col min="8" max="8" width="11.453125" style="74" bestFit="1" customWidth="1"/>
    <col min="9" max="9" width="8.36328125" style="74" bestFit="1" customWidth="1"/>
    <col min="10" max="10" width="11" style="74" bestFit="1" customWidth="1"/>
    <col min="11" max="11" width="11.453125" style="74" bestFit="1" customWidth="1"/>
    <col min="12" max="12" width="8.36328125" style="74" bestFit="1" customWidth="1"/>
    <col min="13" max="13" width="11.08984375" style="74" bestFit="1" customWidth="1"/>
    <col min="14" max="14" width="11.90625" style="74" bestFit="1" customWidth="1"/>
    <col min="15" max="15" width="8.36328125" style="74" bestFit="1" customWidth="1"/>
    <col min="16" max="16" width="11.08984375" style="74" bestFit="1" customWidth="1"/>
    <col min="17" max="17" width="12.6328125" style="74" bestFit="1" customWidth="1"/>
    <col min="18" max="18" width="8.7265625" style="74" customWidth="1"/>
    <col min="19" max="19" width="12.1796875" style="74" bestFit="1" customWidth="1"/>
    <col min="20" max="20" width="12.6328125" style="74" bestFit="1" customWidth="1"/>
    <col min="21" max="21" width="8.7265625" style="74" customWidth="1"/>
    <col min="22" max="22" width="12.1796875" style="74" bestFit="1" customWidth="1"/>
    <col min="23" max="23" width="12.90625" style="74" bestFit="1" customWidth="1"/>
    <col min="24" max="24" width="8.7265625" style="74" customWidth="1"/>
    <col min="25" max="25" width="12.1796875" style="74" bestFit="1" customWidth="1"/>
    <col min="26" max="26" width="1.7265625" style="74" customWidth="1"/>
    <col min="27" max="27" width="12.90625" style="74" bestFit="1" customWidth="1"/>
    <col min="28" max="28" width="10.1796875" style="74" bestFit="1" customWidth="1"/>
    <col min="29" max="29" width="13.08984375" style="74" bestFit="1" customWidth="1"/>
    <col min="30" max="33" width="9.1796875" style="36"/>
    <col min="34" max="38" width="9.1796875" style="12"/>
    <col min="39" max="16384" width="9.1796875" style="36"/>
  </cols>
  <sheetData>
    <row r="1" spans="1:38" s="33" customFormat="1" ht="15" customHeight="1" x14ac:dyDescent="0.25">
      <c r="A1" s="32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86"/>
      <c r="AH1" s="34"/>
      <c r="AI1" s="34"/>
      <c r="AJ1" s="34"/>
      <c r="AK1" s="34"/>
      <c r="AL1" s="34"/>
    </row>
    <row r="2" spans="1:38" s="33" customFormat="1" ht="15" customHeight="1" x14ac:dyDescent="0.25">
      <c r="A2" s="32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86"/>
      <c r="AH2" s="34"/>
      <c r="AI2" s="34"/>
      <c r="AJ2" s="34"/>
      <c r="AK2" s="34"/>
      <c r="AL2" s="34"/>
    </row>
    <row r="3" spans="1:38" s="33" customFormat="1" ht="15" customHeight="1" x14ac:dyDescent="0.25">
      <c r="A3" s="32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86"/>
      <c r="AH3" s="34"/>
      <c r="AI3" s="34"/>
      <c r="AJ3" s="34"/>
      <c r="AK3" s="34"/>
      <c r="AL3" s="34"/>
    </row>
    <row r="4" spans="1:38" s="33" customFormat="1" ht="15" customHeight="1" x14ac:dyDescent="0.25">
      <c r="A4" s="32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86"/>
      <c r="AH4" s="34"/>
      <c r="AI4" s="34"/>
      <c r="AJ4" s="34"/>
      <c r="AK4" s="34"/>
      <c r="AL4" s="34"/>
    </row>
    <row r="5" spans="1:38" x14ac:dyDescent="0.25">
      <c r="A5" s="35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86"/>
    </row>
    <row r="7" spans="1:38" s="33" customFormat="1" ht="15" customHeight="1" x14ac:dyDescent="0.25">
      <c r="A7" s="37" t="s">
        <v>51</v>
      </c>
      <c r="B7" s="87"/>
      <c r="C7" s="88"/>
      <c r="D7" s="89"/>
      <c r="E7" s="90"/>
      <c r="F7" s="90"/>
      <c r="G7" s="91" t="s">
        <v>69</v>
      </c>
      <c r="H7" s="91"/>
      <c r="I7" s="91"/>
      <c r="J7" s="136">
        <v>8</v>
      </c>
      <c r="K7" s="92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H7" s="34"/>
      <c r="AI7" s="34"/>
      <c r="AJ7" s="34"/>
      <c r="AK7" s="34"/>
      <c r="AL7" s="34"/>
    </row>
    <row r="8" spans="1:38" ht="7" customHeight="1" thickBot="1" x14ac:dyDescent="0.3">
      <c r="A8" s="38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spans="1:38" s="33" customFormat="1" ht="15" customHeight="1" x14ac:dyDescent="0.25">
      <c r="A9" s="38" t="s">
        <v>67</v>
      </c>
      <c r="B9" s="93" t="s">
        <v>52</v>
      </c>
      <c r="C9" s="93"/>
      <c r="D9" s="93"/>
      <c r="E9" s="93" t="s">
        <v>53</v>
      </c>
      <c r="F9" s="93"/>
      <c r="G9" s="93"/>
      <c r="H9" s="93" t="s">
        <v>54</v>
      </c>
      <c r="I9" s="93"/>
      <c r="J9" s="93"/>
      <c r="K9" s="93" t="s">
        <v>55</v>
      </c>
      <c r="L9" s="93"/>
      <c r="M9" s="93"/>
      <c r="N9" s="93" t="s">
        <v>56</v>
      </c>
      <c r="O9" s="93"/>
      <c r="P9" s="93"/>
      <c r="Q9" s="93" t="s">
        <v>57</v>
      </c>
      <c r="R9" s="93"/>
      <c r="S9" s="93"/>
      <c r="T9" s="93" t="s">
        <v>58</v>
      </c>
      <c r="U9" s="93"/>
      <c r="V9" s="93"/>
      <c r="W9" s="93" t="s">
        <v>59</v>
      </c>
      <c r="X9" s="93"/>
      <c r="Y9" s="93"/>
      <c r="Z9" s="94"/>
      <c r="AA9" s="95" t="s">
        <v>60</v>
      </c>
      <c r="AB9" s="96"/>
      <c r="AC9" s="97"/>
      <c r="AH9" s="34"/>
      <c r="AI9" s="34"/>
      <c r="AJ9" s="34"/>
      <c r="AK9" s="34"/>
      <c r="AL9" s="34"/>
    </row>
    <row r="10" spans="1:38" s="33" customFormat="1" x14ac:dyDescent="0.25">
      <c r="A10" s="38" t="s">
        <v>68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98"/>
      <c r="AB10" s="98"/>
      <c r="AC10" s="98"/>
      <c r="AH10" s="34"/>
      <c r="AI10" s="34"/>
      <c r="AJ10" s="34"/>
      <c r="AK10" s="34"/>
      <c r="AL10" s="34"/>
    </row>
    <row r="11" spans="1:38" s="33" customFormat="1" ht="13" hidden="1" thickBot="1" x14ac:dyDescent="0.3">
      <c r="A11" s="39" t="s">
        <v>61</v>
      </c>
      <c r="B11" s="52" t="s">
        <v>47</v>
      </c>
      <c r="C11" s="52" t="s">
        <v>38</v>
      </c>
      <c r="D11" s="52" t="s">
        <v>39</v>
      </c>
      <c r="E11" s="52" t="s">
        <v>47</v>
      </c>
      <c r="F11" s="52" t="s">
        <v>38</v>
      </c>
      <c r="G11" s="52" t="s">
        <v>39</v>
      </c>
      <c r="H11" s="52" t="s">
        <v>47</v>
      </c>
      <c r="I11" s="52" t="s">
        <v>38</v>
      </c>
      <c r="J11" s="52" t="s">
        <v>39</v>
      </c>
      <c r="K11" s="52" t="s">
        <v>47</v>
      </c>
      <c r="L11" s="52" t="s">
        <v>38</v>
      </c>
      <c r="M11" s="52" t="s">
        <v>39</v>
      </c>
      <c r="N11" s="52" t="s">
        <v>47</v>
      </c>
      <c r="O11" s="52" t="s">
        <v>38</v>
      </c>
      <c r="P11" s="52" t="s">
        <v>39</v>
      </c>
      <c r="Q11" s="52" t="s">
        <v>47</v>
      </c>
      <c r="R11" s="52" t="s">
        <v>38</v>
      </c>
      <c r="S11" s="52" t="s">
        <v>39</v>
      </c>
      <c r="T11" s="52" t="s">
        <v>47</v>
      </c>
      <c r="U11" s="52" t="s">
        <v>38</v>
      </c>
      <c r="V11" s="52" t="s">
        <v>39</v>
      </c>
      <c r="W11" s="52" t="s">
        <v>47</v>
      </c>
      <c r="X11" s="52" t="s">
        <v>38</v>
      </c>
      <c r="Y11" s="52" t="s">
        <v>39</v>
      </c>
      <c r="Z11" s="92"/>
      <c r="AA11" s="52" t="s">
        <v>47</v>
      </c>
      <c r="AB11" s="52" t="s">
        <v>38</v>
      </c>
      <c r="AC11" s="52" t="s">
        <v>39</v>
      </c>
      <c r="AH11" s="34"/>
      <c r="AI11" s="34"/>
      <c r="AJ11" s="34"/>
      <c r="AK11" s="34"/>
      <c r="AL11" s="34"/>
    </row>
    <row r="12" spans="1:38" s="33" customFormat="1" hidden="1" x14ac:dyDescent="0.25">
      <c r="A12" s="2" t="s">
        <v>9</v>
      </c>
      <c r="B12" s="53">
        <f>C12</f>
        <v>15</v>
      </c>
      <c r="C12" s="75">
        <v>15</v>
      </c>
      <c r="D12" s="99">
        <f>C12*B12</f>
        <v>225</v>
      </c>
      <c r="E12" s="53">
        <f>B16</f>
        <v>-7520777.5</v>
      </c>
      <c r="F12" s="100">
        <f>C16</f>
        <v>-9993</v>
      </c>
      <c r="G12" s="99">
        <f>F12-E12</f>
        <v>7510784.5</v>
      </c>
      <c r="H12" s="53">
        <f>E16</f>
        <v>-15041575</v>
      </c>
      <c r="I12" s="100">
        <f>F16</f>
        <v>-20026</v>
      </c>
      <c r="J12" s="99">
        <f>I12-H12</f>
        <v>15021549</v>
      </c>
      <c r="K12" s="53">
        <f>H16</f>
        <v>-22562372.5</v>
      </c>
      <c r="L12" s="100">
        <f>I16</f>
        <v>-30084</v>
      </c>
      <c r="M12" s="99">
        <f>L12-K12</f>
        <v>22532288.5</v>
      </c>
      <c r="N12" s="53">
        <f>IF($J$7=4,0,K16)</f>
        <v>-30083195</v>
      </c>
      <c r="O12" s="100">
        <f>IF($J$7=4,0,L16)</f>
        <v>-40152</v>
      </c>
      <c r="P12" s="99">
        <f>O12-N12</f>
        <v>30043043</v>
      </c>
      <c r="Q12" s="53">
        <f>N16</f>
        <v>-37604017.5</v>
      </c>
      <c r="R12" s="100">
        <f>O16</f>
        <v>-50220</v>
      </c>
      <c r="S12" s="99">
        <f>R12-Q12</f>
        <v>37553797.5</v>
      </c>
      <c r="T12" s="53">
        <f>Q16</f>
        <v>-45124815</v>
      </c>
      <c r="U12" s="100">
        <f>R16</f>
        <v>-60278</v>
      </c>
      <c r="V12" s="99">
        <f>U12-T12</f>
        <v>45064537</v>
      </c>
      <c r="W12" s="53">
        <f>IF($J$7=4,0,T16)</f>
        <v>-52645637.5</v>
      </c>
      <c r="X12" s="100">
        <f>IF($J$7=4,0,U16)</f>
        <v>-70346</v>
      </c>
      <c r="Y12" s="99">
        <f>X12-W12</f>
        <v>52575291.5</v>
      </c>
      <c r="Z12" s="90"/>
      <c r="AA12" s="53">
        <f>SUM(B12,E12,H12,K12,IF($J$7=5,N12,0))-B12-E12-H12-IF($J$7=5,K12,0)</f>
        <v>-22562372.5</v>
      </c>
      <c r="AB12" s="76">
        <f>SUM(C12,F12,I12,L12,IF($J$7=5,O12,0))-C12-F12-I12-IF($J$7=5,L12,0)</f>
        <v>-30084</v>
      </c>
      <c r="AC12" s="101">
        <f>AB12-AA12</f>
        <v>22532288.5</v>
      </c>
      <c r="AH12" s="34"/>
      <c r="AI12" s="34"/>
      <c r="AJ12" s="34"/>
      <c r="AK12" s="34"/>
      <c r="AL12" s="34"/>
    </row>
    <row r="13" spans="1:38" s="33" customFormat="1" hidden="1" x14ac:dyDescent="0.25">
      <c r="A13" s="2" t="s">
        <v>7</v>
      </c>
      <c r="B13" s="54">
        <f>B25</f>
        <v>30</v>
      </c>
      <c r="C13" s="76">
        <f>C25</f>
        <v>60</v>
      </c>
      <c r="D13" s="99">
        <f t="shared" ref="D13:D16" si="0">C13*B13</f>
        <v>1800</v>
      </c>
      <c r="E13" s="54">
        <f>E25</f>
        <v>25</v>
      </c>
      <c r="F13" s="76">
        <f>F25</f>
        <v>35</v>
      </c>
      <c r="G13" s="102">
        <f>F13-E13</f>
        <v>10</v>
      </c>
      <c r="H13" s="54">
        <f>H25</f>
        <v>25</v>
      </c>
      <c r="I13" s="76">
        <f>I25</f>
        <v>10</v>
      </c>
      <c r="J13" s="102">
        <f>I13-H13</f>
        <v>-15</v>
      </c>
      <c r="K13" s="54">
        <f>K25</f>
        <v>0</v>
      </c>
      <c r="L13" s="76">
        <f>L25</f>
        <v>0</v>
      </c>
      <c r="M13" s="102">
        <f>L13-K13</f>
        <v>0</v>
      </c>
      <c r="N13" s="54">
        <f>N25</f>
        <v>0</v>
      </c>
      <c r="O13" s="76">
        <f>O25</f>
        <v>0</v>
      </c>
      <c r="P13" s="102">
        <f>IF($J$7=5,O13-N13,0)</f>
        <v>0</v>
      </c>
      <c r="Q13" s="54">
        <f>Q25</f>
        <v>25</v>
      </c>
      <c r="R13" s="76">
        <f>R25</f>
        <v>10</v>
      </c>
      <c r="S13" s="102">
        <f>R13-Q13</f>
        <v>-15</v>
      </c>
      <c r="T13" s="54">
        <f>T25</f>
        <v>0</v>
      </c>
      <c r="U13" s="76">
        <f>U25</f>
        <v>0</v>
      </c>
      <c r="V13" s="102">
        <f>U13-T13</f>
        <v>0</v>
      </c>
      <c r="W13" s="54">
        <f>W25</f>
        <v>0</v>
      </c>
      <c r="X13" s="76">
        <f>X25</f>
        <v>0</v>
      </c>
      <c r="Y13" s="102">
        <f>IF($J$7=5,X13-W13,0)</f>
        <v>0</v>
      </c>
      <c r="Z13" s="103"/>
      <c r="AA13" s="54">
        <f>AA25</f>
        <v>80</v>
      </c>
      <c r="AB13" s="76">
        <f>SUM(C13,F13,I13,L13,IF($J$7=5,O13,0))</f>
        <v>105</v>
      </c>
      <c r="AC13" s="102">
        <f>SUM(C13,F13,I13,L13,IF($J$7=5,O13,0))-SUM(B13,E13,H13,K13,IF($J$7=5,N13,0))</f>
        <v>25</v>
      </c>
      <c r="AH13" s="34"/>
      <c r="AI13" s="34"/>
      <c r="AJ13" s="34"/>
      <c r="AK13" s="34"/>
      <c r="AL13" s="34"/>
    </row>
    <row r="14" spans="1:38" s="33" customFormat="1" ht="13" hidden="1" thickBot="1" x14ac:dyDescent="0.3">
      <c r="A14" s="40" t="s">
        <v>6</v>
      </c>
      <c r="B14" s="55">
        <f>B36+B45+B54+B64+B73+B84+B93+B101+B108+B115+B123</f>
        <v>7520822.5</v>
      </c>
      <c r="C14" s="77">
        <f>C36+C45+C54+C64+C73+C84+C93+C101+C108+C115+C123</f>
        <v>10068</v>
      </c>
      <c r="D14" s="99">
        <f t="shared" si="0"/>
        <v>75719640930</v>
      </c>
      <c r="E14" s="55">
        <f>E36+E45+E54+E64+E73+E84+E93+E101+E108+E115+E123</f>
        <v>7520822.5</v>
      </c>
      <c r="F14" s="77">
        <f>F36+F45+F54+F64+F73+F84+F93+F101+F108+F115+F123</f>
        <v>10068</v>
      </c>
      <c r="G14" s="104">
        <f>E14-F14</f>
        <v>7510754.5</v>
      </c>
      <c r="H14" s="55">
        <f>H36+H45+H54+H64+H73+H84+H93+H101+H108+H115+H123</f>
        <v>7520822.5</v>
      </c>
      <c r="I14" s="77">
        <f>I36+I45+I54+I64+I73+I84+I93+I101+I108+I115+I123</f>
        <v>10068</v>
      </c>
      <c r="J14" s="104">
        <f>H14-I14</f>
        <v>7510754.5</v>
      </c>
      <c r="K14" s="55">
        <f>K36+K45+K54+K64+K73+K84+K93+K101+K108+K115+K123</f>
        <v>7520822.5</v>
      </c>
      <c r="L14" s="77">
        <f>L36+L45+L54+L64+L73+L84+L93+L101+L108+L115+L123</f>
        <v>10068</v>
      </c>
      <c r="M14" s="104">
        <f>K14-L14</f>
        <v>7510754.5</v>
      </c>
      <c r="N14" s="55">
        <f>N36+N45+N54+N64+N73+N84+N93+N101+N108+N115+N123</f>
        <v>7520822.5</v>
      </c>
      <c r="O14" s="77">
        <f>O36+O45+O54+O64+O73+O84+O93+O101+O108+O115+O123</f>
        <v>10068</v>
      </c>
      <c r="P14" s="104">
        <f>IF($J$7=5,O14-N14,0)</f>
        <v>0</v>
      </c>
      <c r="Q14" s="55">
        <f>Q36+Q45+Q54+Q64+Q73+Q84+Q93+Q101+Q108+Q115+Q123</f>
        <v>7520822.5</v>
      </c>
      <c r="R14" s="77">
        <f>R36+R45+R54+R64+R73+R84+R93+R101+R108+R115+R123</f>
        <v>10068</v>
      </c>
      <c r="S14" s="104">
        <f>Q14-R14</f>
        <v>7510754.5</v>
      </c>
      <c r="T14" s="55">
        <f>T36+T45+T54+T64+T73+T84+T93+T101+T108+T115+T123</f>
        <v>7520822.5</v>
      </c>
      <c r="U14" s="77">
        <f>U36+U45+U54+U64+U73+U84+U93+U101+U108+U115+U123</f>
        <v>10068</v>
      </c>
      <c r="V14" s="104">
        <f>T14-U14</f>
        <v>7510754.5</v>
      </c>
      <c r="W14" s="55">
        <f>W36+W45+W54+W64+W73+W84+W93+W101+W108+W115+W123</f>
        <v>7520822.5</v>
      </c>
      <c r="X14" s="77">
        <f>X36+X45+X54+X64+X73+X84+X93+X101+X108+X115+X123</f>
        <v>10068</v>
      </c>
      <c r="Y14" s="104">
        <f>IF($J$7=5,X14-W14,0)</f>
        <v>0</v>
      </c>
      <c r="Z14" s="103"/>
      <c r="AA14" s="55">
        <f>AA36+AA45+AA54+AA64+AA73+AA84+AA93+AA101+AA108+AA115+AA123</f>
        <v>60166580</v>
      </c>
      <c r="AB14" s="77">
        <f>SUM(C14,F14,I14,L14,IF($J$7=5,O14,0))</f>
        <v>40272</v>
      </c>
      <c r="AC14" s="104">
        <f>AA14-AB14</f>
        <v>60126308</v>
      </c>
      <c r="AH14" s="34"/>
      <c r="AI14" s="34"/>
      <c r="AJ14" s="34"/>
      <c r="AK14" s="34"/>
      <c r="AL14" s="34"/>
    </row>
    <row r="15" spans="1:38" s="33" customFormat="1" ht="13" hidden="1" thickBot="1" x14ac:dyDescent="0.3">
      <c r="A15" s="14" t="s">
        <v>10</v>
      </c>
      <c r="B15" s="56">
        <f>B13-B14</f>
        <v>-7520792.5</v>
      </c>
      <c r="C15" s="78">
        <f>C13-C14</f>
        <v>-10008</v>
      </c>
      <c r="D15" s="99">
        <f t="shared" si="0"/>
        <v>75268091340</v>
      </c>
      <c r="E15" s="78">
        <f>E13-E14</f>
        <v>-7520797.5</v>
      </c>
      <c r="F15" s="78">
        <f>F13-F14</f>
        <v>-10033</v>
      </c>
      <c r="G15" s="105">
        <f>E15-F15</f>
        <v>-7510764.5</v>
      </c>
      <c r="H15" s="78">
        <f>H13-H14</f>
        <v>-7520797.5</v>
      </c>
      <c r="I15" s="78">
        <f>I13-I14</f>
        <v>-10058</v>
      </c>
      <c r="J15" s="105">
        <f>H15-I15</f>
        <v>-7510739.5</v>
      </c>
      <c r="K15" s="78">
        <f>K13-K14</f>
        <v>-7520822.5</v>
      </c>
      <c r="L15" s="78">
        <f>L13-L14</f>
        <v>-10068</v>
      </c>
      <c r="M15" s="105">
        <f>K15-L15</f>
        <v>-7510754.5</v>
      </c>
      <c r="N15" s="78">
        <f>N13-N14</f>
        <v>-7520822.5</v>
      </c>
      <c r="O15" s="78">
        <f>O13-O14</f>
        <v>-10068</v>
      </c>
      <c r="P15" s="105">
        <f>IF($J$7=5,O15-N15,0)</f>
        <v>0</v>
      </c>
      <c r="Q15" s="78">
        <f>Q13-Q14</f>
        <v>-7520797.5</v>
      </c>
      <c r="R15" s="78">
        <f>R13-R14</f>
        <v>-10058</v>
      </c>
      <c r="S15" s="105">
        <f>Q15-R15</f>
        <v>-7510739.5</v>
      </c>
      <c r="T15" s="78">
        <f>T13-T14</f>
        <v>-7520822.5</v>
      </c>
      <c r="U15" s="78">
        <f>U13-U14</f>
        <v>-10068</v>
      </c>
      <c r="V15" s="105">
        <f>T15-U15</f>
        <v>-7510754.5</v>
      </c>
      <c r="W15" s="78">
        <f>W13-W14</f>
        <v>-7520822.5</v>
      </c>
      <c r="X15" s="78">
        <f>X13-X14</f>
        <v>-10068</v>
      </c>
      <c r="Y15" s="105">
        <f>IF($J$7=5,X15-W15,0)</f>
        <v>0</v>
      </c>
      <c r="Z15" s="106"/>
      <c r="AA15" s="56">
        <f>AA13-AA14</f>
        <v>-60166500</v>
      </c>
      <c r="AB15" s="78">
        <f>SUM(C15,F15,I15,L15,IF($J$7=5,O15,0))</f>
        <v>-40167</v>
      </c>
      <c r="AC15" s="105">
        <f>SUM(C15,F15,I15,L15,IF($J$7=5,O15,0))-SUM(B15,E15,H15,K15,IF($J$7=5,N15,0))</f>
        <v>30043043</v>
      </c>
      <c r="AH15" s="34"/>
      <c r="AI15" s="34"/>
      <c r="AJ15" s="34"/>
      <c r="AK15" s="34"/>
      <c r="AL15" s="34"/>
    </row>
    <row r="16" spans="1:38" s="33" customFormat="1" ht="13" hidden="1" thickBot="1" x14ac:dyDescent="0.3">
      <c r="A16" s="41" t="s">
        <v>11</v>
      </c>
      <c r="B16" s="57">
        <f>B13-B14+B12</f>
        <v>-7520777.5</v>
      </c>
      <c r="C16" s="79">
        <f>C13-C14+C12</f>
        <v>-9993</v>
      </c>
      <c r="D16" s="99">
        <f t="shared" si="0"/>
        <v>75155129557.5</v>
      </c>
      <c r="E16" s="79">
        <f>E13-E14+E12</f>
        <v>-15041575</v>
      </c>
      <c r="F16" s="79">
        <f>F13-F14+F12</f>
        <v>-20026</v>
      </c>
      <c r="G16" s="107">
        <f>F16-E16</f>
        <v>15021549</v>
      </c>
      <c r="H16" s="79">
        <f>H13-H14+H12</f>
        <v>-22562372.5</v>
      </c>
      <c r="I16" s="79">
        <f>I13-I14+I12</f>
        <v>-30084</v>
      </c>
      <c r="J16" s="107">
        <f>I16-H16</f>
        <v>22532288.5</v>
      </c>
      <c r="K16" s="79">
        <f>K13-K14+K12</f>
        <v>-30083195</v>
      </c>
      <c r="L16" s="79">
        <f>L13-L14+L12</f>
        <v>-40152</v>
      </c>
      <c r="M16" s="107">
        <f>L16-K16</f>
        <v>30043043</v>
      </c>
      <c r="N16" s="79">
        <f>N13-N14+N12</f>
        <v>-37604017.5</v>
      </c>
      <c r="O16" s="79">
        <f>O13-O14+O12</f>
        <v>-50220</v>
      </c>
      <c r="P16" s="107">
        <f>IF($J$7=5,O16-N16,0)</f>
        <v>0</v>
      </c>
      <c r="Q16" s="79">
        <f>Q13-Q14+Q12</f>
        <v>-45124815</v>
      </c>
      <c r="R16" s="79">
        <f>R13-R14+R12</f>
        <v>-60278</v>
      </c>
      <c r="S16" s="107">
        <f>R16-Q16</f>
        <v>45064537</v>
      </c>
      <c r="T16" s="79">
        <f>T13-T14+T12</f>
        <v>-52645637.5</v>
      </c>
      <c r="U16" s="79">
        <f>U13-U14+U12</f>
        <v>-70346</v>
      </c>
      <c r="V16" s="107">
        <f>U16-T16</f>
        <v>52575291.5</v>
      </c>
      <c r="W16" s="79">
        <f>W13-W14+W12</f>
        <v>-60166460</v>
      </c>
      <c r="X16" s="79">
        <f>X13-X14+X12</f>
        <v>-80414</v>
      </c>
      <c r="Y16" s="107">
        <f>IF($J$7=5,X16-W16,0)</f>
        <v>0</v>
      </c>
      <c r="Z16" s="108"/>
      <c r="AA16" s="57">
        <f>AA13-AA14+B12</f>
        <v>-60166485</v>
      </c>
      <c r="AB16" s="79">
        <f>AB13-AB14+C12</f>
        <v>-40152</v>
      </c>
      <c r="AC16" s="109">
        <f>AB16-AA16</f>
        <v>60126333</v>
      </c>
      <c r="AH16" s="34"/>
      <c r="AI16" s="34"/>
      <c r="AJ16" s="34"/>
      <c r="AK16" s="34"/>
      <c r="AL16" s="34"/>
    </row>
    <row r="17" spans="1:38" s="33" customFormat="1" x14ac:dyDescent="0.25">
      <c r="A17" s="3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H17" s="34"/>
      <c r="AI17" s="34"/>
      <c r="AJ17" s="34"/>
      <c r="AK17" s="34"/>
      <c r="AL17" s="34"/>
    </row>
    <row r="18" spans="1:38" s="33" customFormat="1" ht="13" thickBot="1" x14ac:dyDescent="0.3">
      <c r="A18" s="42" t="s">
        <v>62</v>
      </c>
      <c r="B18" s="59" t="str">
        <f t="shared" ref="B18:Y18" si="1">B11</f>
        <v>Cost</v>
      </c>
      <c r="C18" s="59" t="str">
        <f t="shared" si="1"/>
        <v>Frequency</v>
      </c>
      <c r="D18" s="59" t="str">
        <f t="shared" si="1"/>
        <v>Total</v>
      </c>
      <c r="E18" s="59" t="str">
        <f t="shared" si="1"/>
        <v>Cost</v>
      </c>
      <c r="F18" s="59" t="str">
        <f t="shared" si="1"/>
        <v>Frequency</v>
      </c>
      <c r="G18" s="59" t="str">
        <f t="shared" si="1"/>
        <v>Total</v>
      </c>
      <c r="H18" s="59" t="str">
        <f t="shared" si="1"/>
        <v>Cost</v>
      </c>
      <c r="I18" s="59" t="str">
        <f t="shared" si="1"/>
        <v>Frequency</v>
      </c>
      <c r="J18" s="59" t="str">
        <f t="shared" si="1"/>
        <v>Total</v>
      </c>
      <c r="K18" s="59" t="str">
        <f t="shared" si="1"/>
        <v>Cost</v>
      </c>
      <c r="L18" s="59" t="str">
        <f t="shared" si="1"/>
        <v>Frequency</v>
      </c>
      <c r="M18" s="59" t="str">
        <f t="shared" si="1"/>
        <v>Total</v>
      </c>
      <c r="N18" s="59" t="str">
        <f t="shared" si="1"/>
        <v>Cost</v>
      </c>
      <c r="O18" s="59" t="str">
        <f t="shared" si="1"/>
        <v>Frequency</v>
      </c>
      <c r="P18" s="59" t="str">
        <f t="shared" si="1"/>
        <v>Total</v>
      </c>
      <c r="Q18" s="59" t="str">
        <f t="shared" si="1"/>
        <v>Cost</v>
      </c>
      <c r="R18" s="59" t="str">
        <f t="shared" si="1"/>
        <v>Frequency</v>
      </c>
      <c r="S18" s="59" t="str">
        <f t="shared" si="1"/>
        <v>Total</v>
      </c>
      <c r="T18" s="59" t="str">
        <f t="shared" si="1"/>
        <v>Cost</v>
      </c>
      <c r="U18" s="59" t="str">
        <f t="shared" si="1"/>
        <v>Frequency</v>
      </c>
      <c r="V18" s="59" t="str">
        <f t="shared" si="1"/>
        <v>Total</v>
      </c>
      <c r="W18" s="59" t="str">
        <f t="shared" si="1"/>
        <v>Cost</v>
      </c>
      <c r="X18" s="59" t="str">
        <f t="shared" si="1"/>
        <v>Frequency</v>
      </c>
      <c r="Y18" s="59" t="str">
        <f t="shared" si="1"/>
        <v>Total</v>
      </c>
      <c r="Z18" s="92"/>
      <c r="AA18" s="110" t="str">
        <f>$AA$11</f>
        <v>Cost</v>
      </c>
      <c r="AB18" s="111" t="str">
        <f>$AB$11</f>
        <v>Frequency</v>
      </c>
      <c r="AC18" s="112" t="s">
        <v>8</v>
      </c>
      <c r="AH18" s="34"/>
      <c r="AI18" s="34"/>
      <c r="AJ18" s="34"/>
      <c r="AK18" s="34"/>
      <c r="AL18" s="34"/>
    </row>
    <row r="19" spans="1:38" s="33" customFormat="1" x14ac:dyDescent="0.25">
      <c r="A19" s="8"/>
      <c r="B19" s="60">
        <v>30</v>
      </c>
      <c r="C19" s="80">
        <v>60</v>
      </c>
      <c r="D19" s="113">
        <f t="shared" ref="D19:D24" si="2">C19-B19</f>
        <v>30</v>
      </c>
      <c r="E19" s="60">
        <v>25</v>
      </c>
      <c r="F19" s="80">
        <v>35</v>
      </c>
      <c r="G19" s="113">
        <f t="shared" ref="G19:G24" si="3">F19-E19</f>
        <v>10</v>
      </c>
      <c r="H19" s="60">
        <v>25</v>
      </c>
      <c r="I19" s="80">
        <v>10</v>
      </c>
      <c r="J19" s="113">
        <f t="shared" ref="J19:J24" si="4">I19-H19</f>
        <v>-15</v>
      </c>
      <c r="K19" s="60"/>
      <c r="L19" s="80"/>
      <c r="M19" s="113">
        <f t="shared" ref="M19:M24" si="5">L19-K19</f>
        <v>0</v>
      </c>
      <c r="N19" s="114"/>
      <c r="O19" s="80"/>
      <c r="P19" s="113">
        <f t="shared" ref="P19:P24" si="6">O19-N19</f>
        <v>0</v>
      </c>
      <c r="Q19" s="60">
        <v>25</v>
      </c>
      <c r="R19" s="80">
        <v>10</v>
      </c>
      <c r="S19" s="113">
        <f t="shared" ref="S19:S24" si="7">R19-Q19</f>
        <v>-15</v>
      </c>
      <c r="T19" s="60"/>
      <c r="U19" s="80"/>
      <c r="V19" s="113">
        <f t="shared" ref="V19:V24" si="8">U19-T19</f>
        <v>0</v>
      </c>
      <c r="W19" s="114"/>
      <c r="X19" s="80"/>
      <c r="Y19" s="113">
        <f t="shared" ref="Y19:Y24" si="9">X19-W19</f>
        <v>0</v>
      </c>
      <c r="Z19" s="115"/>
      <c r="AA19" s="116">
        <f t="shared" ref="AA19:AB24" si="10">SUM(B19,E19,H19,K19,IF($J$7=5,N19,0))</f>
        <v>80</v>
      </c>
      <c r="AB19" s="117">
        <f t="shared" si="10"/>
        <v>105</v>
      </c>
      <c r="AC19" s="118">
        <f t="shared" ref="AC19:AC24" si="11">SUM(C19,F19,I19,L19,IF($J$7=5,O19,0))-SUM(B19,E19,H19,K19,IF($J$7=5,N19,0))</f>
        <v>25</v>
      </c>
      <c r="AH19" s="34"/>
      <c r="AI19" s="34"/>
      <c r="AJ19" s="34"/>
      <c r="AK19" s="34"/>
      <c r="AL19" s="34"/>
    </row>
    <row r="20" spans="1:38" s="33" customFormat="1" x14ac:dyDescent="0.25">
      <c r="A20" s="8"/>
      <c r="B20" s="61"/>
      <c r="C20" s="81"/>
      <c r="D20" s="113">
        <f t="shared" si="2"/>
        <v>0</v>
      </c>
      <c r="E20" s="61"/>
      <c r="F20" s="81"/>
      <c r="G20" s="113">
        <f t="shared" si="3"/>
        <v>0</v>
      </c>
      <c r="H20" s="61"/>
      <c r="I20" s="81"/>
      <c r="J20" s="113">
        <f t="shared" si="4"/>
        <v>0</v>
      </c>
      <c r="K20" s="61"/>
      <c r="L20" s="81"/>
      <c r="M20" s="113">
        <f t="shared" si="5"/>
        <v>0</v>
      </c>
      <c r="N20" s="119"/>
      <c r="O20" s="81"/>
      <c r="P20" s="113">
        <f t="shared" si="6"/>
        <v>0</v>
      </c>
      <c r="Q20" s="61"/>
      <c r="R20" s="81"/>
      <c r="S20" s="113">
        <f t="shared" si="7"/>
        <v>0</v>
      </c>
      <c r="T20" s="61"/>
      <c r="U20" s="81"/>
      <c r="V20" s="113">
        <f t="shared" si="8"/>
        <v>0</v>
      </c>
      <c r="W20" s="119"/>
      <c r="X20" s="81"/>
      <c r="Y20" s="113">
        <f t="shared" si="9"/>
        <v>0</v>
      </c>
      <c r="Z20" s="115"/>
      <c r="AA20" s="116">
        <f t="shared" si="10"/>
        <v>0</v>
      </c>
      <c r="AB20" s="117">
        <f t="shared" si="10"/>
        <v>0</v>
      </c>
      <c r="AC20" s="118">
        <f t="shared" si="11"/>
        <v>0</v>
      </c>
      <c r="AH20" s="34"/>
      <c r="AI20" s="34"/>
      <c r="AJ20" s="34"/>
      <c r="AK20" s="34"/>
      <c r="AL20" s="34"/>
    </row>
    <row r="21" spans="1:38" s="33" customFormat="1" x14ac:dyDescent="0.25">
      <c r="A21" s="8"/>
      <c r="B21" s="61"/>
      <c r="C21" s="81"/>
      <c r="D21" s="113">
        <f t="shared" si="2"/>
        <v>0</v>
      </c>
      <c r="E21" s="61"/>
      <c r="F21" s="81"/>
      <c r="G21" s="113">
        <f t="shared" si="3"/>
        <v>0</v>
      </c>
      <c r="H21" s="61"/>
      <c r="I21" s="81"/>
      <c r="J21" s="113">
        <f t="shared" si="4"/>
        <v>0</v>
      </c>
      <c r="K21" s="61"/>
      <c r="L21" s="81"/>
      <c r="M21" s="113">
        <f t="shared" si="5"/>
        <v>0</v>
      </c>
      <c r="N21" s="119"/>
      <c r="O21" s="81"/>
      <c r="P21" s="113">
        <f t="shared" si="6"/>
        <v>0</v>
      </c>
      <c r="Q21" s="61"/>
      <c r="R21" s="81"/>
      <c r="S21" s="113">
        <f t="shared" si="7"/>
        <v>0</v>
      </c>
      <c r="T21" s="61"/>
      <c r="U21" s="81"/>
      <c r="V21" s="113">
        <f t="shared" si="8"/>
        <v>0</v>
      </c>
      <c r="W21" s="119"/>
      <c r="X21" s="81"/>
      <c r="Y21" s="113">
        <f t="shared" si="9"/>
        <v>0</v>
      </c>
      <c r="Z21" s="115"/>
      <c r="AA21" s="116">
        <f t="shared" si="10"/>
        <v>0</v>
      </c>
      <c r="AB21" s="117">
        <f t="shared" si="10"/>
        <v>0</v>
      </c>
      <c r="AC21" s="118">
        <f t="shared" si="11"/>
        <v>0</v>
      </c>
      <c r="AH21" s="34"/>
      <c r="AI21" s="34"/>
      <c r="AJ21" s="34"/>
      <c r="AK21" s="34"/>
      <c r="AL21" s="34"/>
    </row>
    <row r="22" spans="1:38" s="33" customFormat="1" x14ac:dyDescent="0.25">
      <c r="A22" s="8"/>
      <c r="B22" s="61"/>
      <c r="C22" s="81"/>
      <c r="D22" s="113">
        <f t="shared" si="2"/>
        <v>0</v>
      </c>
      <c r="E22" s="61"/>
      <c r="F22" s="81"/>
      <c r="G22" s="113">
        <f t="shared" si="3"/>
        <v>0</v>
      </c>
      <c r="H22" s="61"/>
      <c r="I22" s="81"/>
      <c r="J22" s="113">
        <f t="shared" si="4"/>
        <v>0</v>
      </c>
      <c r="K22" s="61"/>
      <c r="L22" s="81"/>
      <c r="M22" s="113">
        <f t="shared" si="5"/>
        <v>0</v>
      </c>
      <c r="N22" s="119"/>
      <c r="O22" s="81"/>
      <c r="P22" s="113">
        <f t="shared" si="6"/>
        <v>0</v>
      </c>
      <c r="Q22" s="61"/>
      <c r="R22" s="81"/>
      <c r="S22" s="113">
        <f t="shared" si="7"/>
        <v>0</v>
      </c>
      <c r="T22" s="61"/>
      <c r="U22" s="81"/>
      <c r="V22" s="113">
        <f t="shared" si="8"/>
        <v>0</v>
      </c>
      <c r="W22" s="119"/>
      <c r="X22" s="81"/>
      <c r="Y22" s="113">
        <f t="shared" si="9"/>
        <v>0</v>
      </c>
      <c r="Z22" s="115"/>
      <c r="AA22" s="116">
        <f t="shared" si="10"/>
        <v>0</v>
      </c>
      <c r="AB22" s="117">
        <f t="shared" si="10"/>
        <v>0</v>
      </c>
      <c r="AC22" s="118">
        <f t="shared" si="11"/>
        <v>0</v>
      </c>
      <c r="AH22" s="34"/>
      <c r="AI22" s="34"/>
      <c r="AJ22" s="34"/>
      <c r="AK22" s="34"/>
      <c r="AL22" s="34"/>
    </row>
    <row r="23" spans="1:38" s="33" customFormat="1" x14ac:dyDescent="0.25">
      <c r="A23" s="8"/>
      <c r="B23" s="61"/>
      <c r="C23" s="81"/>
      <c r="D23" s="113">
        <f t="shared" si="2"/>
        <v>0</v>
      </c>
      <c r="E23" s="61"/>
      <c r="F23" s="81"/>
      <c r="G23" s="113">
        <f t="shared" si="3"/>
        <v>0</v>
      </c>
      <c r="H23" s="61"/>
      <c r="I23" s="81"/>
      <c r="J23" s="113">
        <f t="shared" si="4"/>
        <v>0</v>
      </c>
      <c r="K23" s="61"/>
      <c r="L23" s="81"/>
      <c r="M23" s="113">
        <f t="shared" si="5"/>
        <v>0</v>
      </c>
      <c r="N23" s="119"/>
      <c r="O23" s="81"/>
      <c r="P23" s="113">
        <f t="shared" si="6"/>
        <v>0</v>
      </c>
      <c r="Q23" s="61"/>
      <c r="R23" s="81"/>
      <c r="S23" s="113">
        <f t="shared" si="7"/>
        <v>0</v>
      </c>
      <c r="T23" s="61"/>
      <c r="U23" s="81"/>
      <c r="V23" s="113">
        <f t="shared" si="8"/>
        <v>0</v>
      </c>
      <c r="W23" s="119"/>
      <c r="X23" s="81"/>
      <c r="Y23" s="113">
        <f t="shared" si="9"/>
        <v>0</v>
      </c>
      <c r="Z23" s="115"/>
      <c r="AA23" s="116">
        <f t="shared" si="10"/>
        <v>0</v>
      </c>
      <c r="AB23" s="117">
        <f t="shared" si="10"/>
        <v>0</v>
      </c>
      <c r="AC23" s="118">
        <f t="shared" si="11"/>
        <v>0</v>
      </c>
      <c r="AH23" s="34"/>
      <c r="AI23" s="34"/>
      <c r="AJ23" s="34"/>
      <c r="AK23" s="34"/>
      <c r="AL23" s="34"/>
    </row>
    <row r="24" spans="1:38" s="33" customFormat="1" ht="13" thickBot="1" x14ac:dyDescent="0.3">
      <c r="A24" s="8"/>
      <c r="B24" s="62"/>
      <c r="C24" s="82"/>
      <c r="D24" s="120">
        <f t="shared" si="2"/>
        <v>0</v>
      </c>
      <c r="E24" s="62"/>
      <c r="F24" s="82"/>
      <c r="G24" s="113">
        <f t="shared" si="3"/>
        <v>0</v>
      </c>
      <c r="H24" s="62"/>
      <c r="I24" s="82"/>
      <c r="J24" s="113">
        <f t="shared" si="4"/>
        <v>0</v>
      </c>
      <c r="K24" s="62"/>
      <c r="L24" s="82"/>
      <c r="M24" s="113">
        <f t="shared" si="5"/>
        <v>0</v>
      </c>
      <c r="N24" s="121"/>
      <c r="O24" s="82"/>
      <c r="P24" s="113">
        <f t="shared" si="6"/>
        <v>0</v>
      </c>
      <c r="Q24" s="62"/>
      <c r="R24" s="82"/>
      <c r="S24" s="113">
        <f t="shared" si="7"/>
        <v>0</v>
      </c>
      <c r="T24" s="62"/>
      <c r="U24" s="82"/>
      <c r="V24" s="113">
        <f t="shared" si="8"/>
        <v>0</v>
      </c>
      <c r="W24" s="121"/>
      <c r="X24" s="82"/>
      <c r="Y24" s="113">
        <f t="shared" si="9"/>
        <v>0</v>
      </c>
      <c r="Z24" s="115"/>
      <c r="AA24" s="116">
        <f t="shared" si="10"/>
        <v>0</v>
      </c>
      <c r="AB24" s="117">
        <f t="shared" si="10"/>
        <v>0</v>
      </c>
      <c r="AC24" s="118">
        <f t="shared" si="11"/>
        <v>0</v>
      </c>
      <c r="AH24" s="34"/>
      <c r="AI24" s="34"/>
      <c r="AJ24" s="34"/>
      <c r="AK24" s="34"/>
      <c r="AL24" s="34"/>
    </row>
    <row r="25" spans="1:38" s="33" customFormat="1" x14ac:dyDescent="0.25">
      <c r="A25" s="10" t="str">
        <f>"Total "&amp;A18</f>
        <v>Total INCOME</v>
      </c>
      <c r="B25" s="63">
        <f t="shared" ref="B25:Y25" si="12">SUM(B19:B24)</f>
        <v>30</v>
      </c>
      <c r="C25" s="83">
        <f t="shared" si="12"/>
        <v>60</v>
      </c>
      <c r="D25" s="122">
        <f t="shared" si="12"/>
        <v>30</v>
      </c>
      <c r="E25" s="63">
        <f t="shared" si="12"/>
        <v>25</v>
      </c>
      <c r="F25" s="83">
        <f t="shared" si="12"/>
        <v>35</v>
      </c>
      <c r="G25" s="122">
        <f t="shared" si="12"/>
        <v>10</v>
      </c>
      <c r="H25" s="63">
        <f t="shared" si="12"/>
        <v>25</v>
      </c>
      <c r="I25" s="83">
        <f t="shared" si="12"/>
        <v>10</v>
      </c>
      <c r="J25" s="122">
        <f t="shared" si="12"/>
        <v>-15</v>
      </c>
      <c r="K25" s="63">
        <f t="shared" si="12"/>
        <v>0</v>
      </c>
      <c r="L25" s="83">
        <f t="shared" si="12"/>
        <v>0</v>
      </c>
      <c r="M25" s="122">
        <f t="shared" si="12"/>
        <v>0</v>
      </c>
      <c r="N25" s="63">
        <f t="shared" si="12"/>
        <v>0</v>
      </c>
      <c r="O25" s="83">
        <f t="shared" si="12"/>
        <v>0</v>
      </c>
      <c r="P25" s="122">
        <f t="shared" si="12"/>
        <v>0</v>
      </c>
      <c r="Q25" s="63">
        <f t="shared" si="12"/>
        <v>25</v>
      </c>
      <c r="R25" s="83">
        <f t="shared" si="12"/>
        <v>10</v>
      </c>
      <c r="S25" s="122">
        <f t="shared" si="12"/>
        <v>-15</v>
      </c>
      <c r="T25" s="63">
        <f t="shared" si="12"/>
        <v>0</v>
      </c>
      <c r="U25" s="83">
        <f t="shared" si="12"/>
        <v>0</v>
      </c>
      <c r="V25" s="122">
        <f t="shared" si="12"/>
        <v>0</v>
      </c>
      <c r="W25" s="63">
        <f t="shared" si="12"/>
        <v>0</v>
      </c>
      <c r="X25" s="83">
        <f t="shared" si="12"/>
        <v>0</v>
      </c>
      <c r="Y25" s="122">
        <f t="shared" si="12"/>
        <v>0</v>
      </c>
      <c r="Z25" s="123"/>
      <c r="AA25" s="63">
        <f>SUM(AA19:AA24)</f>
        <v>80</v>
      </c>
      <c r="AB25" s="124">
        <f>SUM(C25,F25,I25,L25,IF($J$7=5,O25,0))</f>
        <v>105</v>
      </c>
      <c r="AC25" s="122">
        <f>SUM(AC19:AC24)</f>
        <v>25</v>
      </c>
      <c r="AH25" s="34"/>
      <c r="AI25" s="34"/>
      <c r="AJ25" s="34"/>
      <c r="AK25" s="34"/>
      <c r="AL25" s="34"/>
    </row>
    <row r="26" spans="1:38" s="33" customFormat="1" ht="7" customHeight="1" x14ac:dyDescent="0.25">
      <c r="A26" s="4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58"/>
      <c r="AA26" s="64"/>
      <c r="AB26" s="64"/>
      <c r="AC26" s="64"/>
      <c r="AH26" s="34"/>
      <c r="AI26" s="34"/>
      <c r="AJ26" s="34"/>
      <c r="AK26" s="34"/>
      <c r="AL26" s="34"/>
    </row>
    <row r="27" spans="1:38" s="33" customFormat="1" ht="15" customHeight="1" thickBot="1" x14ac:dyDescent="0.3">
      <c r="A27" s="44" t="str">
        <f>'Total '!B7</f>
        <v>Personnel Expenses</v>
      </c>
      <c r="B27" s="65" t="str">
        <f>$B$11</f>
        <v>Cost</v>
      </c>
      <c r="C27" s="65" t="str">
        <f>$C$11</f>
        <v>Frequency</v>
      </c>
      <c r="D27" s="65" t="str">
        <f>$D$11</f>
        <v>Total</v>
      </c>
      <c r="E27" s="65" t="str">
        <f>$E$11</f>
        <v>Cost</v>
      </c>
      <c r="F27" s="65" t="str">
        <f>$F$11</f>
        <v>Frequency</v>
      </c>
      <c r="G27" s="65" t="str">
        <f>$G$11</f>
        <v>Total</v>
      </c>
      <c r="H27" s="65" t="str">
        <f>$H$11</f>
        <v>Cost</v>
      </c>
      <c r="I27" s="65" t="str">
        <f>$I$11</f>
        <v>Frequency</v>
      </c>
      <c r="J27" s="65" t="str">
        <f>$J$11</f>
        <v>Total</v>
      </c>
      <c r="K27" s="65" t="str">
        <f>$K$11</f>
        <v>Cost</v>
      </c>
      <c r="L27" s="65" t="str">
        <f>$L$11</f>
        <v>Frequency</v>
      </c>
      <c r="M27" s="65" t="str">
        <f>$M$11</f>
        <v>Total</v>
      </c>
      <c r="N27" s="65" t="str">
        <f>$K$11</f>
        <v>Cost</v>
      </c>
      <c r="O27" s="65" t="str">
        <f>$L$11</f>
        <v>Frequency</v>
      </c>
      <c r="P27" s="65" t="str">
        <f>$M$11</f>
        <v>Total</v>
      </c>
      <c r="Q27" s="65" t="str">
        <f>$H$11</f>
        <v>Cost</v>
      </c>
      <c r="R27" s="65" t="str">
        <f>$I$11</f>
        <v>Frequency</v>
      </c>
      <c r="S27" s="65" t="str">
        <f>$J$11</f>
        <v>Total</v>
      </c>
      <c r="T27" s="65" t="str">
        <f>$K$11</f>
        <v>Cost</v>
      </c>
      <c r="U27" s="65" t="str">
        <f>$L$11</f>
        <v>Frequency</v>
      </c>
      <c r="V27" s="65" t="str">
        <f>$M$11</f>
        <v>Total</v>
      </c>
      <c r="W27" s="65" t="str">
        <f>$K$11</f>
        <v>Cost</v>
      </c>
      <c r="X27" s="65" t="str">
        <f>$L$11</f>
        <v>Frequency</v>
      </c>
      <c r="Y27" s="65" t="str">
        <f>$M$11</f>
        <v>Total</v>
      </c>
      <c r="Z27" s="92"/>
      <c r="AA27" s="125" t="str">
        <f>$AA$11</f>
        <v>Cost</v>
      </c>
      <c r="AB27" s="126" t="str">
        <f>$AB$11</f>
        <v>Frequency</v>
      </c>
      <c r="AC27" s="127" t="str">
        <f>$AC$11</f>
        <v>Total</v>
      </c>
      <c r="AH27" s="34"/>
      <c r="AI27" s="34"/>
      <c r="AJ27" s="34"/>
      <c r="AK27" s="34"/>
      <c r="AL27" s="34"/>
    </row>
    <row r="28" spans="1:38" s="33" customFormat="1" ht="15" customHeight="1" x14ac:dyDescent="0.25">
      <c r="A28" s="8" t="str">
        <f>'Break Down Per Community'!B3</f>
        <v>Wages for Medical Doctor</v>
      </c>
      <c r="B28" s="66">
        <f>'Break Down Per Community'!C3</f>
        <v>80000</v>
      </c>
      <c r="C28" s="80">
        <v>2</v>
      </c>
      <c r="D28" s="128">
        <f>B28*C28</f>
        <v>160000</v>
      </c>
      <c r="E28" s="66">
        <f>'Break Down Per Community'!C3</f>
        <v>80000</v>
      </c>
      <c r="F28" s="66">
        <f>'Break Down Per Community'!D3</f>
        <v>2</v>
      </c>
      <c r="G28" s="154">
        <f>'Break Down Per Community'!E3</f>
        <v>160000</v>
      </c>
      <c r="H28" s="66">
        <f>'Break Down Per Community'!C3</f>
        <v>80000</v>
      </c>
      <c r="I28" s="66">
        <f>'Break Down Per Community'!D3</f>
        <v>2</v>
      </c>
      <c r="J28" s="154">
        <f>'Break Down Per Community'!E3</f>
        <v>160000</v>
      </c>
      <c r="K28" s="66">
        <f>'Break Down Per Community'!C3</f>
        <v>80000</v>
      </c>
      <c r="L28" s="66">
        <f>'Break Down Per Community'!D3</f>
        <v>2</v>
      </c>
      <c r="M28" s="154">
        <f>'Break Down Per Community'!E3</f>
        <v>160000</v>
      </c>
      <c r="N28" s="66">
        <f>'Break Down Per Community'!C3</f>
        <v>80000</v>
      </c>
      <c r="O28" s="66">
        <f>'Break Down Per Community'!D3</f>
        <v>2</v>
      </c>
      <c r="P28" s="154">
        <f>'Break Down Per Community'!E3</f>
        <v>160000</v>
      </c>
      <c r="Q28" s="66">
        <f>'Break Down Per Community'!C3</f>
        <v>80000</v>
      </c>
      <c r="R28" s="66">
        <f>'Break Down Per Community'!D3</f>
        <v>2</v>
      </c>
      <c r="S28" s="154">
        <f>'Break Down Per Community'!E3</f>
        <v>160000</v>
      </c>
      <c r="T28" s="66">
        <f>'Break Down Per Community'!C3</f>
        <v>80000</v>
      </c>
      <c r="U28" s="66">
        <f>'Break Down Per Community'!D3</f>
        <v>2</v>
      </c>
      <c r="V28" s="154">
        <f>'Break Down Per Community'!E3</f>
        <v>160000</v>
      </c>
      <c r="W28" s="66">
        <f>T28</f>
        <v>80000</v>
      </c>
      <c r="X28" s="66">
        <f t="shared" ref="X28:Y28" si="13">U28</f>
        <v>2</v>
      </c>
      <c r="Y28" s="154">
        <f t="shared" si="13"/>
        <v>160000</v>
      </c>
      <c r="Z28" s="115"/>
      <c r="AA28" s="129">
        <f>SUM(B28,E28,H28,K28,N28,Q28,T28,W28)</f>
        <v>640000</v>
      </c>
      <c r="AB28" s="117">
        <f>SUM(C28,F28,I28,L28,O28,R28,U28,X28)</f>
        <v>16</v>
      </c>
      <c r="AC28" s="102">
        <f>SUM(D28,G28,J28,M28,P28,S28,V28,Y28)</f>
        <v>1280000</v>
      </c>
      <c r="AH28" s="34"/>
      <c r="AI28" s="34"/>
      <c r="AJ28" s="34"/>
      <c r="AK28" s="34"/>
      <c r="AL28" s="34"/>
    </row>
    <row r="29" spans="1:38" s="33" customFormat="1" ht="15" customHeight="1" x14ac:dyDescent="0.25">
      <c r="A29" s="8" t="str">
        <f>'Break Down Per Community'!B4</f>
        <v>Wages for Nurse</v>
      </c>
      <c r="B29" s="66">
        <f>'Break Down Per Community'!C4</f>
        <v>50000</v>
      </c>
      <c r="C29" s="81">
        <v>2</v>
      </c>
      <c r="D29" s="128">
        <f t="shared" ref="D29:D35" si="14">B29*C29</f>
        <v>100000</v>
      </c>
      <c r="E29" s="66">
        <f>'Break Down Per Community'!C4</f>
        <v>50000</v>
      </c>
      <c r="F29" s="66">
        <f>'Break Down Per Community'!D4</f>
        <v>2</v>
      </c>
      <c r="G29" s="154">
        <f>'Break Down Per Community'!E4</f>
        <v>100000</v>
      </c>
      <c r="H29" s="66">
        <f>'Break Down Per Community'!C4</f>
        <v>50000</v>
      </c>
      <c r="I29" s="66">
        <f>'Break Down Per Community'!D4</f>
        <v>2</v>
      </c>
      <c r="J29" s="154">
        <f>'Break Down Per Community'!E4</f>
        <v>100000</v>
      </c>
      <c r="K29" s="66">
        <f>'Break Down Per Community'!C4</f>
        <v>50000</v>
      </c>
      <c r="L29" s="66">
        <f>'Break Down Per Community'!D4</f>
        <v>2</v>
      </c>
      <c r="M29" s="154">
        <f>'Break Down Per Community'!E4</f>
        <v>100000</v>
      </c>
      <c r="N29" s="66">
        <f>'Break Down Per Community'!C4</f>
        <v>50000</v>
      </c>
      <c r="O29" s="66">
        <f>'Break Down Per Community'!D4</f>
        <v>2</v>
      </c>
      <c r="P29" s="154">
        <f>'Break Down Per Community'!E4</f>
        <v>100000</v>
      </c>
      <c r="Q29" s="66">
        <f>'Break Down Per Community'!C4</f>
        <v>50000</v>
      </c>
      <c r="R29" s="66">
        <f>'Break Down Per Community'!D4</f>
        <v>2</v>
      </c>
      <c r="S29" s="154">
        <f>'Break Down Per Community'!E4</f>
        <v>100000</v>
      </c>
      <c r="T29" s="66">
        <f>'Break Down Per Community'!C4</f>
        <v>50000</v>
      </c>
      <c r="U29" s="66">
        <f>'Break Down Per Community'!D4</f>
        <v>2</v>
      </c>
      <c r="V29" s="154">
        <f>'Break Down Per Community'!E4</f>
        <v>100000</v>
      </c>
      <c r="W29" s="66">
        <f t="shared" ref="W29:W35" si="15">T29</f>
        <v>50000</v>
      </c>
      <c r="X29" s="66">
        <f t="shared" ref="X29:X35" si="16">U29</f>
        <v>2</v>
      </c>
      <c r="Y29" s="154">
        <f t="shared" ref="Y29:Y35" si="17">V29</f>
        <v>100000</v>
      </c>
      <c r="Z29" s="115"/>
      <c r="AA29" s="129">
        <f t="shared" ref="AA29:AA35" si="18">SUM(B29,E29,H29,K29,N29,Q29,T29,W29)</f>
        <v>400000</v>
      </c>
      <c r="AB29" s="117">
        <f t="shared" ref="AB29:AB35" si="19">SUM(C29,F29,I29,L29,O29,R29,U29,X29)</f>
        <v>16</v>
      </c>
      <c r="AC29" s="102">
        <f t="shared" ref="AC29:AC35" si="20">SUM(D29,G29,J29,M29,P29,S29,V29,Y29)</f>
        <v>800000</v>
      </c>
      <c r="AH29" s="34"/>
      <c r="AI29" s="34"/>
      <c r="AJ29" s="34"/>
      <c r="AK29" s="34"/>
      <c r="AL29" s="34"/>
    </row>
    <row r="30" spans="1:38" s="33" customFormat="1" ht="15" customHeight="1" x14ac:dyDescent="0.25">
      <c r="A30" s="8" t="str">
        <f>'Break Down Per Community'!B5</f>
        <v>Wages for outreach Staff</v>
      </c>
      <c r="B30" s="66">
        <f>'Break Down Per Community'!C5</f>
        <v>40000</v>
      </c>
      <c r="C30" s="81">
        <v>4</v>
      </c>
      <c r="D30" s="128">
        <f t="shared" si="14"/>
        <v>160000</v>
      </c>
      <c r="E30" s="66">
        <f>'Break Down Per Community'!C5</f>
        <v>40000</v>
      </c>
      <c r="F30" s="66">
        <f>'Break Down Per Community'!D5</f>
        <v>4</v>
      </c>
      <c r="G30" s="154">
        <f>'Break Down Per Community'!E5</f>
        <v>160000</v>
      </c>
      <c r="H30" s="66">
        <f>'Break Down Per Community'!C5</f>
        <v>40000</v>
      </c>
      <c r="I30" s="66">
        <f>'Break Down Per Community'!D5</f>
        <v>4</v>
      </c>
      <c r="J30" s="154">
        <f>'Break Down Per Community'!E5</f>
        <v>160000</v>
      </c>
      <c r="K30" s="66">
        <f>'Break Down Per Community'!C5</f>
        <v>40000</v>
      </c>
      <c r="L30" s="66">
        <f>'Break Down Per Community'!D5</f>
        <v>4</v>
      </c>
      <c r="M30" s="154">
        <f>'Break Down Per Community'!E5</f>
        <v>160000</v>
      </c>
      <c r="N30" s="66">
        <f>'Break Down Per Community'!C5</f>
        <v>40000</v>
      </c>
      <c r="O30" s="66">
        <f>'Break Down Per Community'!D5</f>
        <v>4</v>
      </c>
      <c r="P30" s="154">
        <f>'Break Down Per Community'!E5</f>
        <v>160000</v>
      </c>
      <c r="Q30" s="66">
        <f>'Break Down Per Community'!C5</f>
        <v>40000</v>
      </c>
      <c r="R30" s="66">
        <f>'Break Down Per Community'!D5</f>
        <v>4</v>
      </c>
      <c r="S30" s="154">
        <f>'Break Down Per Community'!E5</f>
        <v>160000</v>
      </c>
      <c r="T30" s="66">
        <f>'Break Down Per Community'!C5</f>
        <v>40000</v>
      </c>
      <c r="U30" s="66">
        <f>'Break Down Per Community'!D5</f>
        <v>4</v>
      </c>
      <c r="V30" s="154">
        <f>'Break Down Per Community'!E5</f>
        <v>160000</v>
      </c>
      <c r="W30" s="66">
        <f t="shared" si="15"/>
        <v>40000</v>
      </c>
      <c r="X30" s="66">
        <f t="shared" si="16"/>
        <v>4</v>
      </c>
      <c r="Y30" s="154">
        <f t="shared" si="17"/>
        <v>160000</v>
      </c>
      <c r="Z30" s="115"/>
      <c r="AA30" s="129">
        <f t="shared" si="18"/>
        <v>320000</v>
      </c>
      <c r="AB30" s="117">
        <f t="shared" si="19"/>
        <v>32</v>
      </c>
      <c r="AC30" s="102">
        <f t="shared" si="20"/>
        <v>1280000</v>
      </c>
      <c r="AH30" s="34"/>
      <c r="AI30" s="34"/>
      <c r="AJ30" s="34"/>
      <c r="AK30" s="34"/>
      <c r="AL30" s="34"/>
    </row>
    <row r="31" spans="1:38" s="33" customFormat="1" ht="15" customHeight="1" x14ac:dyDescent="0.25">
      <c r="A31" s="8"/>
      <c r="B31" s="67"/>
      <c r="C31" s="81"/>
      <c r="D31" s="128">
        <f t="shared" si="14"/>
        <v>0</v>
      </c>
      <c r="E31" s="66">
        <f>'Break Down Per Community'!C6</f>
        <v>0</v>
      </c>
      <c r="F31" s="66">
        <f>'Break Down Per Community'!D6</f>
        <v>0</v>
      </c>
      <c r="G31" s="154">
        <f>'Break Down Per Community'!E6</f>
        <v>0</v>
      </c>
      <c r="H31" s="66">
        <f>'Break Down Per Community'!C6</f>
        <v>0</v>
      </c>
      <c r="I31" s="66">
        <f>'Break Down Per Community'!D6</f>
        <v>0</v>
      </c>
      <c r="J31" s="154">
        <f>'Break Down Per Community'!E6</f>
        <v>0</v>
      </c>
      <c r="K31" s="66">
        <f>'Break Down Per Community'!C6</f>
        <v>0</v>
      </c>
      <c r="L31" s="66">
        <f>'Break Down Per Community'!D6</f>
        <v>0</v>
      </c>
      <c r="M31" s="154">
        <f>'Break Down Per Community'!E6</f>
        <v>0</v>
      </c>
      <c r="N31" s="66">
        <f>'Break Down Per Community'!C6</f>
        <v>0</v>
      </c>
      <c r="O31" s="66">
        <f>'Break Down Per Community'!D6</f>
        <v>0</v>
      </c>
      <c r="P31" s="154">
        <f>'Break Down Per Community'!E6</f>
        <v>0</v>
      </c>
      <c r="Q31" s="66">
        <f>'Break Down Per Community'!C6</f>
        <v>0</v>
      </c>
      <c r="R31" s="66">
        <f>'Break Down Per Community'!D6</f>
        <v>0</v>
      </c>
      <c r="S31" s="154">
        <f>'Break Down Per Community'!E6</f>
        <v>0</v>
      </c>
      <c r="T31" s="66">
        <f>'Break Down Per Community'!C6</f>
        <v>0</v>
      </c>
      <c r="U31" s="66">
        <f>'Break Down Per Community'!D6</f>
        <v>0</v>
      </c>
      <c r="V31" s="154">
        <f>'Break Down Per Community'!E6</f>
        <v>0</v>
      </c>
      <c r="W31" s="66">
        <f t="shared" si="15"/>
        <v>0</v>
      </c>
      <c r="X31" s="66">
        <f t="shared" si="16"/>
        <v>0</v>
      </c>
      <c r="Y31" s="154">
        <f t="shared" si="17"/>
        <v>0</v>
      </c>
      <c r="Z31" s="115"/>
      <c r="AA31" s="129">
        <f t="shared" si="18"/>
        <v>0</v>
      </c>
      <c r="AB31" s="117">
        <f t="shared" si="19"/>
        <v>0</v>
      </c>
      <c r="AC31" s="102">
        <f t="shared" si="20"/>
        <v>0</v>
      </c>
      <c r="AH31" s="34"/>
      <c r="AI31" s="34"/>
      <c r="AJ31" s="34"/>
      <c r="AK31" s="34"/>
      <c r="AL31" s="34"/>
    </row>
    <row r="32" spans="1:38" s="33" customFormat="1" ht="15" customHeight="1" x14ac:dyDescent="0.25">
      <c r="A32" s="8"/>
      <c r="B32" s="67"/>
      <c r="C32" s="81"/>
      <c r="D32" s="128">
        <f t="shared" si="14"/>
        <v>0</v>
      </c>
      <c r="E32" s="66">
        <f>'Break Down Per Community'!C7</f>
        <v>0</v>
      </c>
      <c r="F32" s="66">
        <f>'Break Down Per Community'!D7</f>
        <v>0</v>
      </c>
      <c r="G32" s="154">
        <f>'Break Down Per Community'!E7</f>
        <v>0</v>
      </c>
      <c r="H32" s="66">
        <f>'Break Down Per Community'!C7</f>
        <v>0</v>
      </c>
      <c r="I32" s="66">
        <f>'Break Down Per Community'!D7</f>
        <v>0</v>
      </c>
      <c r="J32" s="154">
        <f>'Break Down Per Community'!E7</f>
        <v>0</v>
      </c>
      <c r="K32" s="66">
        <f>'Break Down Per Community'!C7</f>
        <v>0</v>
      </c>
      <c r="L32" s="66">
        <f>'Break Down Per Community'!D7</f>
        <v>0</v>
      </c>
      <c r="M32" s="154">
        <f>'Break Down Per Community'!E7</f>
        <v>0</v>
      </c>
      <c r="N32" s="66">
        <f>'Break Down Per Community'!C7</f>
        <v>0</v>
      </c>
      <c r="O32" s="66">
        <f>'Break Down Per Community'!D7</f>
        <v>0</v>
      </c>
      <c r="P32" s="154">
        <f>'Break Down Per Community'!E7</f>
        <v>0</v>
      </c>
      <c r="Q32" s="66">
        <f>'Break Down Per Community'!C7</f>
        <v>0</v>
      </c>
      <c r="R32" s="66">
        <f>'Break Down Per Community'!D7</f>
        <v>0</v>
      </c>
      <c r="S32" s="154">
        <f>'Break Down Per Community'!E7</f>
        <v>0</v>
      </c>
      <c r="T32" s="66">
        <f>'Break Down Per Community'!C7</f>
        <v>0</v>
      </c>
      <c r="U32" s="66">
        <f>'Break Down Per Community'!D7</f>
        <v>0</v>
      </c>
      <c r="V32" s="154">
        <f>'Break Down Per Community'!E7</f>
        <v>0</v>
      </c>
      <c r="W32" s="66">
        <f t="shared" si="15"/>
        <v>0</v>
      </c>
      <c r="X32" s="66">
        <f t="shared" si="16"/>
        <v>0</v>
      </c>
      <c r="Y32" s="154">
        <f t="shared" si="17"/>
        <v>0</v>
      </c>
      <c r="Z32" s="115"/>
      <c r="AA32" s="129">
        <f t="shared" si="18"/>
        <v>0</v>
      </c>
      <c r="AB32" s="117">
        <f t="shared" si="19"/>
        <v>0</v>
      </c>
      <c r="AC32" s="102">
        <f t="shared" si="20"/>
        <v>0</v>
      </c>
      <c r="AH32" s="34"/>
      <c r="AI32" s="34"/>
      <c r="AJ32" s="34"/>
      <c r="AK32" s="34"/>
      <c r="AL32" s="34"/>
    </row>
    <row r="33" spans="1:38" s="33" customFormat="1" ht="15" customHeight="1" x14ac:dyDescent="0.25">
      <c r="A33" s="8"/>
      <c r="B33" s="67"/>
      <c r="C33" s="81"/>
      <c r="D33" s="128">
        <f t="shared" si="14"/>
        <v>0</v>
      </c>
      <c r="E33" s="66">
        <f>'Break Down Per Community'!C8</f>
        <v>0</v>
      </c>
      <c r="F33" s="66">
        <f>'Break Down Per Community'!D8</f>
        <v>0</v>
      </c>
      <c r="G33" s="154">
        <f>'Break Down Per Community'!E8</f>
        <v>0</v>
      </c>
      <c r="H33" s="66">
        <f>'Break Down Per Community'!C8</f>
        <v>0</v>
      </c>
      <c r="I33" s="66">
        <f>'Break Down Per Community'!D8</f>
        <v>0</v>
      </c>
      <c r="J33" s="154">
        <f>'Break Down Per Community'!E8</f>
        <v>0</v>
      </c>
      <c r="K33" s="66">
        <f>'Break Down Per Community'!C8</f>
        <v>0</v>
      </c>
      <c r="L33" s="66">
        <f>'Break Down Per Community'!D8</f>
        <v>0</v>
      </c>
      <c r="M33" s="154">
        <f>'Break Down Per Community'!E8</f>
        <v>0</v>
      </c>
      <c r="N33" s="66">
        <f>'Break Down Per Community'!C8</f>
        <v>0</v>
      </c>
      <c r="O33" s="66">
        <f>'Break Down Per Community'!D8</f>
        <v>0</v>
      </c>
      <c r="P33" s="154">
        <f>'Break Down Per Community'!E8</f>
        <v>0</v>
      </c>
      <c r="Q33" s="66">
        <f>'Break Down Per Community'!C8</f>
        <v>0</v>
      </c>
      <c r="R33" s="66">
        <f>'Break Down Per Community'!D8</f>
        <v>0</v>
      </c>
      <c r="S33" s="154">
        <f>'Break Down Per Community'!E8</f>
        <v>0</v>
      </c>
      <c r="T33" s="66">
        <f>'Break Down Per Community'!C8</f>
        <v>0</v>
      </c>
      <c r="U33" s="66">
        <f>'Break Down Per Community'!D8</f>
        <v>0</v>
      </c>
      <c r="V33" s="154">
        <f>'Break Down Per Community'!E8</f>
        <v>0</v>
      </c>
      <c r="W33" s="66">
        <f t="shared" si="15"/>
        <v>0</v>
      </c>
      <c r="X33" s="66">
        <f t="shared" si="16"/>
        <v>0</v>
      </c>
      <c r="Y33" s="154">
        <f t="shared" si="17"/>
        <v>0</v>
      </c>
      <c r="Z33" s="115"/>
      <c r="AA33" s="129">
        <f t="shared" si="18"/>
        <v>0</v>
      </c>
      <c r="AB33" s="117">
        <f t="shared" si="19"/>
        <v>0</v>
      </c>
      <c r="AC33" s="102">
        <f t="shared" si="20"/>
        <v>0</v>
      </c>
      <c r="AH33" s="34"/>
      <c r="AI33" s="34"/>
      <c r="AJ33" s="34"/>
      <c r="AK33" s="34"/>
      <c r="AL33" s="34"/>
    </row>
    <row r="34" spans="1:38" s="33" customFormat="1" ht="15" customHeight="1" x14ac:dyDescent="0.25">
      <c r="A34" s="8"/>
      <c r="B34" s="67"/>
      <c r="C34" s="81"/>
      <c r="D34" s="128">
        <f t="shared" si="14"/>
        <v>0</v>
      </c>
      <c r="E34" s="66">
        <f>'Break Down Per Community'!C9</f>
        <v>0</v>
      </c>
      <c r="F34" s="66">
        <f>'Break Down Per Community'!D9</f>
        <v>0</v>
      </c>
      <c r="G34" s="154">
        <f>'Break Down Per Community'!E9</f>
        <v>0</v>
      </c>
      <c r="H34" s="66">
        <f>'Break Down Per Community'!C9</f>
        <v>0</v>
      </c>
      <c r="I34" s="66">
        <f>'Break Down Per Community'!D9</f>
        <v>0</v>
      </c>
      <c r="J34" s="154">
        <f>'Break Down Per Community'!E9</f>
        <v>0</v>
      </c>
      <c r="K34" s="66">
        <f>'Break Down Per Community'!C9</f>
        <v>0</v>
      </c>
      <c r="L34" s="66">
        <f>'Break Down Per Community'!D9</f>
        <v>0</v>
      </c>
      <c r="M34" s="154">
        <f>'Break Down Per Community'!E9</f>
        <v>0</v>
      </c>
      <c r="N34" s="66">
        <f>'Break Down Per Community'!C9</f>
        <v>0</v>
      </c>
      <c r="O34" s="66">
        <f>'Break Down Per Community'!D9</f>
        <v>0</v>
      </c>
      <c r="P34" s="154">
        <f>'Break Down Per Community'!E9</f>
        <v>0</v>
      </c>
      <c r="Q34" s="66">
        <f>'Break Down Per Community'!C9</f>
        <v>0</v>
      </c>
      <c r="R34" s="66">
        <f>'Break Down Per Community'!D9</f>
        <v>0</v>
      </c>
      <c r="S34" s="154">
        <f>'Break Down Per Community'!E9</f>
        <v>0</v>
      </c>
      <c r="T34" s="66">
        <f>'Break Down Per Community'!C9</f>
        <v>0</v>
      </c>
      <c r="U34" s="66">
        <f>'Break Down Per Community'!D9</f>
        <v>0</v>
      </c>
      <c r="V34" s="154">
        <f>'Break Down Per Community'!E9</f>
        <v>0</v>
      </c>
      <c r="W34" s="66">
        <f t="shared" si="15"/>
        <v>0</v>
      </c>
      <c r="X34" s="66">
        <f t="shared" si="16"/>
        <v>0</v>
      </c>
      <c r="Y34" s="154">
        <f t="shared" si="17"/>
        <v>0</v>
      </c>
      <c r="Z34" s="115"/>
      <c r="AA34" s="129">
        <f t="shared" si="18"/>
        <v>0</v>
      </c>
      <c r="AB34" s="117">
        <f t="shared" si="19"/>
        <v>0</v>
      </c>
      <c r="AC34" s="102">
        <f t="shared" si="20"/>
        <v>0</v>
      </c>
      <c r="AH34" s="34"/>
      <c r="AI34" s="34"/>
      <c r="AJ34" s="34"/>
      <c r="AK34" s="34"/>
      <c r="AL34" s="34"/>
    </row>
    <row r="35" spans="1:38" s="33" customFormat="1" ht="15" customHeight="1" thickBot="1" x14ac:dyDescent="0.3">
      <c r="A35" s="8"/>
      <c r="B35" s="68"/>
      <c r="C35" s="84"/>
      <c r="D35" s="128">
        <f t="shared" si="14"/>
        <v>0</v>
      </c>
      <c r="E35" s="66">
        <f>'Break Down Per Community'!C10</f>
        <v>0</v>
      </c>
      <c r="F35" s="66">
        <f>'Break Down Per Community'!D10</f>
        <v>0</v>
      </c>
      <c r="G35" s="154">
        <f>'Break Down Per Community'!E10</f>
        <v>0</v>
      </c>
      <c r="H35" s="66">
        <f>'Break Down Per Community'!C10</f>
        <v>0</v>
      </c>
      <c r="I35" s="66">
        <f>'Break Down Per Community'!D10</f>
        <v>0</v>
      </c>
      <c r="J35" s="154">
        <f>'Break Down Per Community'!E10</f>
        <v>0</v>
      </c>
      <c r="K35" s="66">
        <f>'Break Down Per Community'!C10</f>
        <v>0</v>
      </c>
      <c r="L35" s="66">
        <f>'Break Down Per Community'!D10</f>
        <v>0</v>
      </c>
      <c r="M35" s="154">
        <f>'Break Down Per Community'!E10</f>
        <v>0</v>
      </c>
      <c r="N35" s="66">
        <f>'Break Down Per Community'!C10</f>
        <v>0</v>
      </c>
      <c r="O35" s="66">
        <f>'Break Down Per Community'!D10</f>
        <v>0</v>
      </c>
      <c r="P35" s="154">
        <f>'Break Down Per Community'!E10</f>
        <v>0</v>
      </c>
      <c r="Q35" s="66">
        <f>'Break Down Per Community'!C10</f>
        <v>0</v>
      </c>
      <c r="R35" s="66">
        <f>'Break Down Per Community'!D10</f>
        <v>0</v>
      </c>
      <c r="S35" s="154">
        <f>'Break Down Per Community'!E10</f>
        <v>0</v>
      </c>
      <c r="T35" s="66">
        <f>'Break Down Per Community'!C10</f>
        <v>0</v>
      </c>
      <c r="U35" s="66">
        <f>'Break Down Per Community'!D10</f>
        <v>0</v>
      </c>
      <c r="V35" s="154">
        <f>'Break Down Per Community'!E10</f>
        <v>0</v>
      </c>
      <c r="W35" s="66">
        <f t="shared" si="15"/>
        <v>0</v>
      </c>
      <c r="X35" s="66">
        <f t="shared" si="16"/>
        <v>0</v>
      </c>
      <c r="Y35" s="154">
        <f t="shared" si="17"/>
        <v>0</v>
      </c>
      <c r="Z35" s="115"/>
      <c r="AA35" s="129">
        <f t="shared" si="18"/>
        <v>0</v>
      </c>
      <c r="AB35" s="117">
        <f t="shared" si="19"/>
        <v>0</v>
      </c>
      <c r="AC35" s="102">
        <f t="shared" si="20"/>
        <v>0</v>
      </c>
      <c r="AH35" s="34"/>
      <c r="AI35" s="34"/>
      <c r="AJ35" s="34"/>
      <c r="AK35" s="34"/>
      <c r="AL35" s="34"/>
    </row>
    <row r="36" spans="1:38" s="33" customFormat="1" ht="15" customHeight="1" x14ac:dyDescent="0.25">
      <c r="A36" s="9" t="str">
        <f>"Total "&amp;A27</f>
        <v>Total Personnel Expenses</v>
      </c>
      <c r="B36" s="69">
        <f t="shared" ref="B36:V36" si="21">SUM(B28:B35)</f>
        <v>170000</v>
      </c>
      <c r="C36" s="168">
        <f t="shared" si="21"/>
        <v>8</v>
      </c>
      <c r="D36" s="130">
        <f t="shared" si="21"/>
        <v>420000</v>
      </c>
      <c r="E36" s="69">
        <f t="shared" si="21"/>
        <v>170000</v>
      </c>
      <c r="F36" s="168">
        <f t="shared" si="21"/>
        <v>8</v>
      </c>
      <c r="G36" s="153">
        <f t="shared" si="21"/>
        <v>420000</v>
      </c>
      <c r="H36" s="69">
        <f t="shared" si="21"/>
        <v>170000</v>
      </c>
      <c r="I36" s="168">
        <f t="shared" si="21"/>
        <v>8</v>
      </c>
      <c r="J36" s="153">
        <f t="shared" si="21"/>
        <v>420000</v>
      </c>
      <c r="K36" s="69">
        <f t="shared" si="21"/>
        <v>170000</v>
      </c>
      <c r="L36" s="168">
        <f t="shared" si="21"/>
        <v>8</v>
      </c>
      <c r="M36" s="153">
        <f t="shared" si="21"/>
        <v>420000</v>
      </c>
      <c r="N36" s="69">
        <f t="shared" ref="N36:P36" si="22">SUM(N28:N35)</f>
        <v>170000</v>
      </c>
      <c r="O36" s="168">
        <f t="shared" si="22"/>
        <v>8</v>
      </c>
      <c r="P36" s="153">
        <f t="shared" si="22"/>
        <v>420000</v>
      </c>
      <c r="Q36" s="69">
        <f t="shared" si="21"/>
        <v>170000</v>
      </c>
      <c r="R36" s="168">
        <f t="shared" si="21"/>
        <v>8</v>
      </c>
      <c r="S36" s="153">
        <f t="shared" si="21"/>
        <v>420000</v>
      </c>
      <c r="T36" s="69">
        <f t="shared" si="21"/>
        <v>170000</v>
      </c>
      <c r="U36" s="168">
        <f t="shared" si="21"/>
        <v>8</v>
      </c>
      <c r="V36" s="153">
        <f t="shared" si="21"/>
        <v>420000</v>
      </c>
      <c r="W36" s="69">
        <f t="shared" ref="W36:Y36" si="23">SUM(W28:W35)</f>
        <v>170000</v>
      </c>
      <c r="X36" s="168">
        <f t="shared" si="23"/>
        <v>8</v>
      </c>
      <c r="Y36" s="153">
        <f t="shared" si="23"/>
        <v>420000</v>
      </c>
      <c r="Z36" s="123"/>
      <c r="AA36" s="69">
        <f>SUM(AA28:AA35)</f>
        <v>1360000</v>
      </c>
      <c r="AB36" s="168">
        <f>SUM(C36,F36,I36,L36,IF($J$7=5,O36,0))</f>
        <v>32</v>
      </c>
      <c r="AC36" s="130">
        <f>SUM(AC28:AC35)</f>
        <v>3360000</v>
      </c>
      <c r="AH36" s="34"/>
      <c r="AI36" s="34"/>
      <c r="AJ36" s="34"/>
      <c r="AK36" s="34"/>
      <c r="AL36" s="34"/>
    </row>
    <row r="37" spans="1:38" s="33" customFormat="1" ht="7" customHeight="1" x14ac:dyDescent="0.25">
      <c r="A37" s="45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90"/>
      <c r="AA37" s="70"/>
      <c r="AB37" s="70"/>
      <c r="AC37" s="70"/>
      <c r="AH37" s="34"/>
      <c r="AI37" s="34"/>
      <c r="AJ37" s="34"/>
      <c r="AK37" s="34"/>
      <c r="AL37" s="34"/>
    </row>
    <row r="38" spans="1:38" s="33" customFormat="1" ht="15" customHeight="1" thickBot="1" x14ac:dyDescent="0.3">
      <c r="A38" s="44" t="str">
        <f>'Total '!B8</f>
        <v>Equipment and Supplies</v>
      </c>
      <c r="B38" s="65" t="str">
        <f>$B$11</f>
        <v>Cost</v>
      </c>
      <c r="C38" s="65" t="str">
        <f>$C$11</f>
        <v>Frequency</v>
      </c>
      <c r="D38" s="65" t="str">
        <f>$D$11</f>
        <v>Total</v>
      </c>
      <c r="E38" s="65" t="str">
        <f>$E$11</f>
        <v>Cost</v>
      </c>
      <c r="F38" s="65" t="str">
        <f>$F$11</f>
        <v>Frequency</v>
      </c>
      <c r="G38" s="65" t="str">
        <f>$G$11</f>
        <v>Total</v>
      </c>
      <c r="H38" s="65" t="str">
        <f>$H$11</f>
        <v>Cost</v>
      </c>
      <c r="I38" s="65" t="str">
        <f>$I$11</f>
        <v>Frequency</v>
      </c>
      <c r="J38" s="65" t="str">
        <f>$J$11</f>
        <v>Total</v>
      </c>
      <c r="K38" s="65" t="str">
        <f>$K$11</f>
        <v>Cost</v>
      </c>
      <c r="L38" s="65" t="str">
        <f>$L$11</f>
        <v>Frequency</v>
      </c>
      <c r="M38" s="65" t="str">
        <f>$M$11</f>
        <v>Total</v>
      </c>
      <c r="N38" s="65" t="str">
        <f>$K$11</f>
        <v>Cost</v>
      </c>
      <c r="O38" s="65" t="str">
        <f>$L$11</f>
        <v>Frequency</v>
      </c>
      <c r="P38" s="65" t="str">
        <f>$M$11</f>
        <v>Total</v>
      </c>
      <c r="Q38" s="65" t="str">
        <f>$H$11</f>
        <v>Cost</v>
      </c>
      <c r="R38" s="65" t="str">
        <f>$I$11</f>
        <v>Frequency</v>
      </c>
      <c r="S38" s="65" t="str">
        <f>$J$11</f>
        <v>Total</v>
      </c>
      <c r="T38" s="65" t="str">
        <f>$K$11</f>
        <v>Cost</v>
      </c>
      <c r="U38" s="65" t="str">
        <f>$L$11</f>
        <v>Frequency</v>
      </c>
      <c r="V38" s="65" t="str">
        <f>$M$11</f>
        <v>Total</v>
      </c>
      <c r="W38" s="65" t="str">
        <f>$K$11</f>
        <v>Cost</v>
      </c>
      <c r="X38" s="65" t="str">
        <f>$L$11</f>
        <v>Frequency</v>
      </c>
      <c r="Y38" s="65" t="str">
        <f>$M$11</f>
        <v>Total</v>
      </c>
      <c r="Z38" s="92"/>
      <c r="AA38" s="125" t="str">
        <f>$AA$11</f>
        <v>Cost</v>
      </c>
      <c r="AB38" s="126" t="str">
        <f>$AB$11</f>
        <v>Frequency</v>
      </c>
      <c r="AC38" s="127" t="str">
        <f>$AC$11</f>
        <v>Total</v>
      </c>
      <c r="AH38" s="34"/>
      <c r="AI38" s="34"/>
      <c r="AJ38" s="34"/>
      <c r="AK38" s="34"/>
      <c r="AL38" s="34"/>
    </row>
    <row r="39" spans="1:38" s="33" customFormat="1" ht="15" customHeight="1" x14ac:dyDescent="0.25">
      <c r="A39" s="8" t="str">
        <f>'Break Down Per Community'!B14</f>
        <v>Procurement for HPV Sampling</v>
      </c>
      <c r="B39" s="66">
        <f>'Break Down Per Community'!C14</f>
        <v>1500</v>
      </c>
      <c r="C39" s="80">
        <f>'Break Down Per Community'!D14</f>
        <v>2000</v>
      </c>
      <c r="D39" s="128">
        <f>B39*C39</f>
        <v>3000000</v>
      </c>
      <c r="E39" s="66">
        <f>B39</f>
        <v>1500</v>
      </c>
      <c r="F39" s="66">
        <f t="shared" ref="F39:H39" si="24">C39</f>
        <v>2000</v>
      </c>
      <c r="G39" s="154">
        <f t="shared" si="24"/>
        <v>3000000</v>
      </c>
      <c r="H39" s="66">
        <f t="shared" si="24"/>
        <v>1500</v>
      </c>
      <c r="I39" s="66">
        <f t="shared" ref="I39" si="25">F39</f>
        <v>2000</v>
      </c>
      <c r="J39" s="154">
        <f t="shared" ref="J39" si="26">G39</f>
        <v>3000000</v>
      </c>
      <c r="K39" s="66">
        <f t="shared" ref="K39:K44" si="27">H39</f>
        <v>1500</v>
      </c>
      <c r="L39" s="66">
        <f t="shared" ref="L39:L44" si="28">I39</f>
        <v>2000</v>
      </c>
      <c r="M39" s="154">
        <f t="shared" ref="M39:M44" si="29">J39</f>
        <v>3000000</v>
      </c>
      <c r="N39" s="66">
        <f t="shared" ref="N39:N44" si="30">K39</f>
        <v>1500</v>
      </c>
      <c r="O39" s="66">
        <f t="shared" ref="O39:O44" si="31">L39</f>
        <v>2000</v>
      </c>
      <c r="P39" s="154">
        <f t="shared" ref="P39:P44" si="32">M39</f>
        <v>3000000</v>
      </c>
      <c r="Q39" s="66">
        <f t="shared" ref="Q39:Q44" si="33">N39</f>
        <v>1500</v>
      </c>
      <c r="R39" s="66">
        <f t="shared" ref="R39:R44" si="34">O39</f>
        <v>2000</v>
      </c>
      <c r="S39" s="154">
        <f t="shared" ref="S39:S44" si="35">P39</f>
        <v>3000000</v>
      </c>
      <c r="T39" s="66">
        <f t="shared" ref="T39:T44" si="36">Q39</f>
        <v>1500</v>
      </c>
      <c r="U39" s="66">
        <f t="shared" ref="U39:U44" si="37">R39</f>
        <v>2000</v>
      </c>
      <c r="V39" s="154">
        <f t="shared" ref="V39:V44" si="38">S39</f>
        <v>3000000</v>
      </c>
      <c r="W39" s="66">
        <f t="shared" ref="W39:W44" si="39">T39</f>
        <v>1500</v>
      </c>
      <c r="X39" s="66">
        <f t="shared" ref="X39:X44" si="40">U39</f>
        <v>2000</v>
      </c>
      <c r="Y39" s="154">
        <f t="shared" ref="Y39:Y44" si="41">V39</f>
        <v>3000000</v>
      </c>
      <c r="Z39" s="115"/>
      <c r="AA39" s="129">
        <f>SUM(B39,E39,H39,K39,N39,Q39,T39,W39)</f>
        <v>12000</v>
      </c>
      <c r="AB39" s="117">
        <f>SUM(C39,F39,I39,L39,O39,R39,U39,X39)</f>
        <v>16000</v>
      </c>
      <c r="AC39" s="102">
        <f>SUM(D39,G39,J39,M39,P39,S39,V39,Y39)</f>
        <v>24000000</v>
      </c>
      <c r="AH39" s="34"/>
      <c r="AI39" s="34"/>
      <c r="AJ39" s="34"/>
      <c r="AK39" s="34"/>
      <c r="AL39" s="34"/>
    </row>
    <row r="40" spans="1:38" s="33" customFormat="1" ht="15" customHeight="1" x14ac:dyDescent="0.25">
      <c r="A40" s="8" t="str">
        <f>'Break Down Per Community'!B15</f>
        <v>Labotory Analysis</v>
      </c>
      <c r="B40" s="66">
        <f>'Break Down Per Community'!C15</f>
        <v>7822.5</v>
      </c>
      <c r="C40" s="80">
        <f>'Break Down Per Community'!D15</f>
        <v>2000</v>
      </c>
      <c r="D40" s="128">
        <f t="shared" ref="D40:D44" si="42">B40*C40</f>
        <v>15645000</v>
      </c>
      <c r="E40" s="66">
        <f t="shared" ref="E40:E44" si="43">B40</f>
        <v>7822.5</v>
      </c>
      <c r="F40" s="66">
        <f t="shared" ref="F40:F44" si="44">C40</f>
        <v>2000</v>
      </c>
      <c r="G40" s="154">
        <f t="shared" ref="G40:G44" si="45">D40</f>
        <v>15645000</v>
      </c>
      <c r="H40" s="66">
        <f t="shared" ref="H40:H44" si="46">E40</f>
        <v>7822.5</v>
      </c>
      <c r="I40" s="66">
        <f t="shared" ref="I40:I44" si="47">F40</f>
        <v>2000</v>
      </c>
      <c r="J40" s="154">
        <f t="shared" ref="J40:J44" si="48">G40</f>
        <v>15645000</v>
      </c>
      <c r="K40" s="66">
        <f t="shared" si="27"/>
        <v>7822.5</v>
      </c>
      <c r="L40" s="66">
        <f t="shared" si="28"/>
        <v>2000</v>
      </c>
      <c r="M40" s="154">
        <f t="shared" si="29"/>
        <v>15645000</v>
      </c>
      <c r="N40" s="66">
        <f t="shared" si="30"/>
        <v>7822.5</v>
      </c>
      <c r="O40" s="66">
        <f t="shared" si="31"/>
        <v>2000</v>
      </c>
      <c r="P40" s="154">
        <f t="shared" si="32"/>
        <v>15645000</v>
      </c>
      <c r="Q40" s="66">
        <f t="shared" si="33"/>
        <v>7822.5</v>
      </c>
      <c r="R40" s="66">
        <f t="shared" si="34"/>
        <v>2000</v>
      </c>
      <c r="S40" s="154">
        <f t="shared" si="35"/>
        <v>15645000</v>
      </c>
      <c r="T40" s="66">
        <f t="shared" si="36"/>
        <v>7822.5</v>
      </c>
      <c r="U40" s="66">
        <f t="shared" si="37"/>
        <v>2000</v>
      </c>
      <c r="V40" s="154">
        <f t="shared" si="38"/>
        <v>15645000</v>
      </c>
      <c r="W40" s="66">
        <f t="shared" si="39"/>
        <v>7822.5</v>
      </c>
      <c r="X40" s="66">
        <f t="shared" si="40"/>
        <v>2000</v>
      </c>
      <c r="Y40" s="154">
        <f t="shared" si="41"/>
        <v>15645000</v>
      </c>
      <c r="Z40" s="115"/>
      <c r="AA40" s="129">
        <f t="shared" ref="AA40:AA44" si="49">SUM(B40,E40,H40,K40,N40,Q40,T40,W40)</f>
        <v>62580</v>
      </c>
      <c r="AB40" s="117">
        <f t="shared" ref="AB40:AB44" si="50">SUM(C40,F40,I40,L40,O40,R40,U40,X40)</f>
        <v>16000</v>
      </c>
      <c r="AC40" s="102">
        <f t="shared" ref="AC40:AC44" si="51">SUM(D40,G40,J40,M40,P40,S40,V40,Y40)</f>
        <v>125160000</v>
      </c>
      <c r="AH40" s="34"/>
      <c r="AI40" s="34"/>
      <c r="AJ40" s="34"/>
      <c r="AK40" s="34"/>
      <c r="AL40" s="34"/>
    </row>
    <row r="41" spans="1:38" s="33" customFormat="1" ht="15" customHeight="1" x14ac:dyDescent="0.25">
      <c r="A41" s="8" t="str">
        <f>'Break Down Per Community'!B16</f>
        <v>Gynescope</v>
      </c>
      <c r="B41" s="66">
        <f>'Break Down Per Community'!C16</f>
        <v>11250</v>
      </c>
      <c r="C41" s="80">
        <f>'Break Down Per Community'!D16</f>
        <v>2000</v>
      </c>
      <c r="D41" s="128">
        <f t="shared" si="42"/>
        <v>22500000</v>
      </c>
      <c r="E41" s="66">
        <f t="shared" si="43"/>
        <v>11250</v>
      </c>
      <c r="F41" s="66">
        <f t="shared" si="44"/>
        <v>2000</v>
      </c>
      <c r="G41" s="154">
        <f t="shared" si="45"/>
        <v>22500000</v>
      </c>
      <c r="H41" s="66">
        <f t="shared" si="46"/>
        <v>11250</v>
      </c>
      <c r="I41" s="66">
        <f t="shared" si="47"/>
        <v>2000</v>
      </c>
      <c r="J41" s="154">
        <f t="shared" si="48"/>
        <v>22500000</v>
      </c>
      <c r="K41" s="66">
        <f t="shared" si="27"/>
        <v>11250</v>
      </c>
      <c r="L41" s="66">
        <f t="shared" si="28"/>
        <v>2000</v>
      </c>
      <c r="M41" s="154">
        <f t="shared" si="29"/>
        <v>22500000</v>
      </c>
      <c r="N41" s="66">
        <f t="shared" si="30"/>
        <v>11250</v>
      </c>
      <c r="O41" s="66">
        <f t="shared" si="31"/>
        <v>2000</v>
      </c>
      <c r="P41" s="154">
        <f t="shared" si="32"/>
        <v>22500000</v>
      </c>
      <c r="Q41" s="66">
        <f t="shared" si="33"/>
        <v>11250</v>
      </c>
      <c r="R41" s="66">
        <f t="shared" si="34"/>
        <v>2000</v>
      </c>
      <c r="S41" s="154">
        <f t="shared" si="35"/>
        <v>22500000</v>
      </c>
      <c r="T41" s="66">
        <f t="shared" si="36"/>
        <v>11250</v>
      </c>
      <c r="U41" s="66">
        <f t="shared" si="37"/>
        <v>2000</v>
      </c>
      <c r="V41" s="154">
        <f t="shared" si="38"/>
        <v>22500000</v>
      </c>
      <c r="W41" s="66">
        <f t="shared" si="39"/>
        <v>11250</v>
      </c>
      <c r="X41" s="66">
        <f t="shared" si="40"/>
        <v>2000</v>
      </c>
      <c r="Y41" s="154">
        <f t="shared" si="41"/>
        <v>22500000</v>
      </c>
      <c r="Z41" s="115"/>
      <c r="AA41" s="129">
        <f t="shared" si="49"/>
        <v>90000</v>
      </c>
      <c r="AB41" s="117">
        <f t="shared" si="50"/>
        <v>16000</v>
      </c>
      <c r="AC41" s="102">
        <f t="shared" si="51"/>
        <v>180000000</v>
      </c>
      <c r="AH41" s="34"/>
      <c r="AI41" s="34"/>
      <c r="AJ41" s="34"/>
      <c r="AK41" s="34"/>
      <c r="AL41" s="34"/>
    </row>
    <row r="42" spans="1:38" s="33" customFormat="1" ht="15" customHeight="1" x14ac:dyDescent="0.25">
      <c r="A42" s="8" t="str">
        <f>'Break Down Per Community'!B17</f>
        <v>Medical Supply and consumables</v>
      </c>
      <c r="B42" s="66">
        <f>'Break Down Per Community'!C17</f>
        <v>2250</v>
      </c>
      <c r="C42" s="80">
        <f>'Break Down Per Community'!D17</f>
        <v>2000</v>
      </c>
      <c r="D42" s="128">
        <f t="shared" si="42"/>
        <v>4500000</v>
      </c>
      <c r="E42" s="66">
        <f t="shared" si="43"/>
        <v>2250</v>
      </c>
      <c r="F42" s="66">
        <f t="shared" si="44"/>
        <v>2000</v>
      </c>
      <c r="G42" s="154">
        <f t="shared" si="45"/>
        <v>4500000</v>
      </c>
      <c r="H42" s="66">
        <f t="shared" si="46"/>
        <v>2250</v>
      </c>
      <c r="I42" s="66">
        <f t="shared" si="47"/>
        <v>2000</v>
      </c>
      <c r="J42" s="154">
        <f t="shared" si="48"/>
        <v>4500000</v>
      </c>
      <c r="K42" s="66">
        <f t="shared" si="27"/>
        <v>2250</v>
      </c>
      <c r="L42" s="66">
        <f t="shared" si="28"/>
        <v>2000</v>
      </c>
      <c r="M42" s="154">
        <f t="shared" si="29"/>
        <v>4500000</v>
      </c>
      <c r="N42" s="66">
        <f t="shared" si="30"/>
        <v>2250</v>
      </c>
      <c r="O42" s="66">
        <f t="shared" si="31"/>
        <v>2000</v>
      </c>
      <c r="P42" s="154">
        <f t="shared" si="32"/>
        <v>4500000</v>
      </c>
      <c r="Q42" s="66">
        <f t="shared" si="33"/>
        <v>2250</v>
      </c>
      <c r="R42" s="66">
        <f t="shared" si="34"/>
        <v>2000</v>
      </c>
      <c r="S42" s="154">
        <f t="shared" si="35"/>
        <v>4500000</v>
      </c>
      <c r="T42" s="66">
        <f t="shared" si="36"/>
        <v>2250</v>
      </c>
      <c r="U42" s="66">
        <f t="shared" si="37"/>
        <v>2000</v>
      </c>
      <c r="V42" s="154">
        <f t="shared" si="38"/>
        <v>4500000</v>
      </c>
      <c r="W42" s="66">
        <f t="shared" si="39"/>
        <v>2250</v>
      </c>
      <c r="X42" s="66">
        <f t="shared" si="40"/>
        <v>2000</v>
      </c>
      <c r="Y42" s="154">
        <f t="shared" si="41"/>
        <v>4500000</v>
      </c>
      <c r="Z42" s="115"/>
      <c r="AA42" s="129">
        <f t="shared" si="49"/>
        <v>18000</v>
      </c>
      <c r="AB42" s="117">
        <f t="shared" si="50"/>
        <v>16000</v>
      </c>
      <c r="AC42" s="102">
        <f t="shared" si="51"/>
        <v>36000000</v>
      </c>
      <c r="AH42" s="34"/>
      <c r="AI42" s="34"/>
      <c r="AJ42" s="34"/>
      <c r="AK42" s="34"/>
      <c r="AL42" s="34"/>
    </row>
    <row r="43" spans="1:38" s="33" customFormat="1" ht="15" customHeight="1" x14ac:dyDescent="0.25">
      <c r="A43" s="8"/>
      <c r="B43" s="67"/>
      <c r="C43" s="81"/>
      <c r="D43" s="128">
        <f t="shared" si="42"/>
        <v>0</v>
      </c>
      <c r="E43" s="66">
        <f t="shared" si="43"/>
        <v>0</v>
      </c>
      <c r="F43" s="66">
        <f t="shared" si="44"/>
        <v>0</v>
      </c>
      <c r="G43" s="154">
        <f t="shared" si="45"/>
        <v>0</v>
      </c>
      <c r="H43" s="66">
        <f t="shared" si="46"/>
        <v>0</v>
      </c>
      <c r="I43" s="66">
        <f t="shared" si="47"/>
        <v>0</v>
      </c>
      <c r="J43" s="154">
        <f t="shared" si="48"/>
        <v>0</v>
      </c>
      <c r="K43" s="66">
        <f t="shared" si="27"/>
        <v>0</v>
      </c>
      <c r="L43" s="66">
        <f t="shared" si="28"/>
        <v>0</v>
      </c>
      <c r="M43" s="154">
        <f t="shared" si="29"/>
        <v>0</v>
      </c>
      <c r="N43" s="66">
        <f t="shared" si="30"/>
        <v>0</v>
      </c>
      <c r="O43" s="66">
        <f t="shared" si="31"/>
        <v>0</v>
      </c>
      <c r="P43" s="154">
        <f t="shared" si="32"/>
        <v>0</v>
      </c>
      <c r="Q43" s="66">
        <f t="shared" si="33"/>
        <v>0</v>
      </c>
      <c r="R43" s="66">
        <f t="shared" si="34"/>
        <v>0</v>
      </c>
      <c r="S43" s="154">
        <f t="shared" si="35"/>
        <v>0</v>
      </c>
      <c r="T43" s="66">
        <f t="shared" si="36"/>
        <v>0</v>
      </c>
      <c r="U43" s="66">
        <f t="shared" si="37"/>
        <v>0</v>
      </c>
      <c r="V43" s="154">
        <f t="shared" si="38"/>
        <v>0</v>
      </c>
      <c r="W43" s="66">
        <f t="shared" si="39"/>
        <v>0</v>
      </c>
      <c r="X43" s="66">
        <f t="shared" si="40"/>
        <v>0</v>
      </c>
      <c r="Y43" s="154">
        <f t="shared" si="41"/>
        <v>0</v>
      </c>
      <c r="Z43" s="115"/>
      <c r="AA43" s="129">
        <f t="shared" si="49"/>
        <v>0</v>
      </c>
      <c r="AB43" s="117">
        <f t="shared" si="50"/>
        <v>0</v>
      </c>
      <c r="AC43" s="102">
        <f t="shared" si="51"/>
        <v>0</v>
      </c>
      <c r="AH43" s="34"/>
      <c r="AI43" s="34"/>
      <c r="AJ43" s="34"/>
      <c r="AK43" s="34"/>
      <c r="AL43" s="34"/>
    </row>
    <row r="44" spans="1:38" s="33" customFormat="1" ht="15" customHeight="1" thickBot="1" x14ac:dyDescent="0.3">
      <c r="A44" s="8"/>
      <c r="B44" s="68"/>
      <c r="C44" s="84"/>
      <c r="D44" s="128">
        <f t="shared" si="42"/>
        <v>0</v>
      </c>
      <c r="E44" s="66">
        <f t="shared" si="43"/>
        <v>0</v>
      </c>
      <c r="F44" s="66">
        <f t="shared" si="44"/>
        <v>0</v>
      </c>
      <c r="G44" s="154">
        <f t="shared" si="45"/>
        <v>0</v>
      </c>
      <c r="H44" s="66">
        <f t="shared" si="46"/>
        <v>0</v>
      </c>
      <c r="I44" s="66">
        <f t="shared" si="47"/>
        <v>0</v>
      </c>
      <c r="J44" s="154">
        <f t="shared" si="48"/>
        <v>0</v>
      </c>
      <c r="K44" s="66">
        <f t="shared" si="27"/>
        <v>0</v>
      </c>
      <c r="L44" s="66">
        <f t="shared" si="28"/>
        <v>0</v>
      </c>
      <c r="M44" s="154">
        <f t="shared" si="29"/>
        <v>0</v>
      </c>
      <c r="N44" s="66">
        <f t="shared" si="30"/>
        <v>0</v>
      </c>
      <c r="O44" s="66">
        <f t="shared" si="31"/>
        <v>0</v>
      </c>
      <c r="P44" s="154">
        <f t="shared" si="32"/>
        <v>0</v>
      </c>
      <c r="Q44" s="66">
        <f t="shared" si="33"/>
        <v>0</v>
      </c>
      <c r="R44" s="66">
        <f t="shared" si="34"/>
        <v>0</v>
      </c>
      <c r="S44" s="154">
        <f t="shared" si="35"/>
        <v>0</v>
      </c>
      <c r="T44" s="66">
        <f t="shared" si="36"/>
        <v>0</v>
      </c>
      <c r="U44" s="66">
        <f t="shared" si="37"/>
        <v>0</v>
      </c>
      <c r="V44" s="154">
        <f t="shared" si="38"/>
        <v>0</v>
      </c>
      <c r="W44" s="66">
        <f t="shared" si="39"/>
        <v>0</v>
      </c>
      <c r="X44" s="66">
        <f t="shared" si="40"/>
        <v>0</v>
      </c>
      <c r="Y44" s="154">
        <f t="shared" si="41"/>
        <v>0</v>
      </c>
      <c r="Z44" s="115"/>
      <c r="AA44" s="129">
        <f t="shared" si="49"/>
        <v>0</v>
      </c>
      <c r="AB44" s="117">
        <f t="shared" si="50"/>
        <v>0</v>
      </c>
      <c r="AC44" s="102">
        <f t="shared" si="51"/>
        <v>0</v>
      </c>
      <c r="AH44" s="34"/>
      <c r="AI44" s="34"/>
      <c r="AJ44" s="34"/>
      <c r="AK44" s="34"/>
      <c r="AL44" s="34"/>
    </row>
    <row r="45" spans="1:38" s="33" customFormat="1" ht="15" customHeight="1" x14ac:dyDescent="0.25">
      <c r="A45" s="9" t="str">
        <f>"Total "&amp;A38</f>
        <v>Total Equipment and Supplies</v>
      </c>
      <c r="B45" s="69">
        <f t="shared" ref="B45:V45" si="52">SUM(B39:B44)</f>
        <v>22822.5</v>
      </c>
      <c r="C45" s="168">
        <f t="shared" si="52"/>
        <v>8000</v>
      </c>
      <c r="D45" s="130">
        <f t="shared" si="52"/>
        <v>45645000</v>
      </c>
      <c r="E45" s="69">
        <f t="shared" si="52"/>
        <v>22822.5</v>
      </c>
      <c r="F45" s="168">
        <f t="shared" si="52"/>
        <v>8000</v>
      </c>
      <c r="G45" s="153">
        <f t="shared" si="52"/>
        <v>45645000</v>
      </c>
      <c r="H45" s="69">
        <f t="shared" si="52"/>
        <v>22822.5</v>
      </c>
      <c r="I45" s="168">
        <f t="shared" si="52"/>
        <v>8000</v>
      </c>
      <c r="J45" s="153">
        <f t="shared" si="52"/>
        <v>45645000</v>
      </c>
      <c r="K45" s="69">
        <f t="shared" si="52"/>
        <v>22822.5</v>
      </c>
      <c r="L45" s="168">
        <f t="shared" si="52"/>
        <v>8000</v>
      </c>
      <c r="M45" s="153">
        <f t="shared" si="52"/>
        <v>45645000</v>
      </c>
      <c r="N45" s="69">
        <f t="shared" ref="N45:P45" si="53">SUM(N39:N44)</f>
        <v>22822.5</v>
      </c>
      <c r="O45" s="168">
        <f t="shared" si="53"/>
        <v>8000</v>
      </c>
      <c r="P45" s="153">
        <f t="shared" si="53"/>
        <v>45645000</v>
      </c>
      <c r="Q45" s="69">
        <f t="shared" si="52"/>
        <v>22822.5</v>
      </c>
      <c r="R45" s="168">
        <f t="shared" si="52"/>
        <v>8000</v>
      </c>
      <c r="S45" s="153">
        <f t="shared" si="52"/>
        <v>45645000</v>
      </c>
      <c r="T45" s="69">
        <f t="shared" si="52"/>
        <v>22822.5</v>
      </c>
      <c r="U45" s="168">
        <f t="shared" si="52"/>
        <v>8000</v>
      </c>
      <c r="V45" s="153">
        <f t="shared" si="52"/>
        <v>45645000</v>
      </c>
      <c r="W45" s="69">
        <f t="shared" ref="W45:Y45" si="54">SUM(W39:W44)</f>
        <v>22822.5</v>
      </c>
      <c r="X45" s="168">
        <f t="shared" si="54"/>
        <v>8000</v>
      </c>
      <c r="Y45" s="153">
        <f t="shared" si="54"/>
        <v>45645000</v>
      </c>
      <c r="Z45" s="123"/>
      <c r="AA45" s="69">
        <f>SUM(AA39:AA44)</f>
        <v>182580</v>
      </c>
      <c r="AB45" s="168">
        <f t="shared" ref="AB45" si="55">SUM(C45,F45,I45,L45,IF($J$7=5,O45,0))</f>
        <v>32000</v>
      </c>
      <c r="AC45" s="130">
        <f>SUM(AC39:AC44)</f>
        <v>365160000</v>
      </c>
      <c r="AH45" s="34"/>
      <c r="AI45" s="34"/>
      <c r="AJ45" s="34"/>
      <c r="AK45" s="34"/>
      <c r="AL45" s="34"/>
    </row>
    <row r="46" spans="1:38" s="33" customFormat="1" ht="7" customHeight="1" x14ac:dyDescent="0.25">
      <c r="A46" s="45"/>
      <c r="B46" s="70"/>
      <c r="C46" s="70"/>
      <c r="D46" s="70"/>
      <c r="E46" s="70"/>
      <c r="F46" s="70"/>
      <c r="G46" s="70"/>
      <c r="H46" s="70"/>
      <c r="I46" s="70"/>
      <c r="J46" s="158"/>
      <c r="K46" s="70"/>
      <c r="L46" s="70"/>
      <c r="M46" s="158"/>
      <c r="N46" s="70"/>
      <c r="O46" s="70"/>
      <c r="P46" s="158"/>
      <c r="Q46" s="70"/>
      <c r="R46" s="70"/>
      <c r="S46" s="158"/>
      <c r="T46" s="70"/>
      <c r="U46" s="70"/>
      <c r="V46" s="158"/>
      <c r="W46" s="70"/>
      <c r="X46" s="70"/>
      <c r="Y46" s="158"/>
      <c r="Z46" s="90"/>
      <c r="AA46" s="70"/>
      <c r="AB46" s="70"/>
      <c r="AC46" s="70"/>
      <c r="AH46" s="34"/>
      <c r="AI46" s="34"/>
      <c r="AJ46" s="34"/>
      <c r="AK46" s="34"/>
      <c r="AL46" s="34"/>
    </row>
    <row r="47" spans="1:38" s="33" customFormat="1" ht="15" customHeight="1" thickBot="1" x14ac:dyDescent="0.3">
      <c r="A47" s="44" t="str">
        <f>'Total '!B9</f>
        <v>Training and Educaton</v>
      </c>
      <c r="B47" s="65" t="str">
        <f>$B$11</f>
        <v>Cost</v>
      </c>
      <c r="C47" s="65" t="str">
        <f>$C$11</f>
        <v>Frequency</v>
      </c>
      <c r="D47" s="65" t="str">
        <f>$D$11</f>
        <v>Total</v>
      </c>
      <c r="E47" s="65" t="str">
        <f>$E$11</f>
        <v>Cost</v>
      </c>
      <c r="F47" s="65" t="str">
        <f>$F$11</f>
        <v>Frequency</v>
      </c>
      <c r="G47" s="65" t="str">
        <f>$G$11</f>
        <v>Total</v>
      </c>
      <c r="H47" s="65" t="str">
        <f>$H$11</f>
        <v>Cost</v>
      </c>
      <c r="I47" s="65" t="str">
        <f>$I$11</f>
        <v>Frequency</v>
      </c>
      <c r="J47" s="65" t="str">
        <f>J38</f>
        <v>Total</v>
      </c>
      <c r="K47" s="65" t="str">
        <f>$K$11</f>
        <v>Cost</v>
      </c>
      <c r="L47" s="65" t="str">
        <f>$L$11</f>
        <v>Frequency</v>
      </c>
      <c r="M47" s="65" t="str">
        <f>M38</f>
        <v>Total</v>
      </c>
      <c r="N47" s="65" t="str">
        <f>$K$11</f>
        <v>Cost</v>
      </c>
      <c r="O47" s="65" t="str">
        <f>$L$11</f>
        <v>Frequency</v>
      </c>
      <c r="P47" s="65" t="str">
        <f>P38</f>
        <v>Total</v>
      </c>
      <c r="Q47" s="65" t="str">
        <f>$H$11</f>
        <v>Cost</v>
      </c>
      <c r="R47" s="65" t="str">
        <f>$I$11</f>
        <v>Frequency</v>
      </c>
      <c r="S47" s="65" t="str">
        <f>S38</f>
        <v>Total</v>
      </c>
      <c r="T47" s="65" t="str">
        <f>$K$11</f>
        <v>Cost</v>
      </c>
      <c r="U47" s="65" t="str">
        <f>$L$11</f>
        <v>Frequency</v>
      </c>
      <c r="V47" s="65" t="str">
        <f>V38</f>
        <v>Total</v>
      </c>
      <c r="W47" s="65" t="str">
        <f>$K$11</f>
        <v>Cost</v>
      </c>
      <c r="X47" s="65" t="str">
        <f>$L$11</f>
        <v>Frequency</v>
      </c>
      <c r="Y47" s="65" t="str">
        <f>Y38</f>
        <v>Total</v>
      </c>
      <c r="Z47" s="92"/>
      <c r="AA47" s="125" t="str">
        <f>$AA$11</f>
        <v>Cost</v>
      </c>
      <c r="AB47" s="126" t="str">
        <f>$AB$11</f>
        <v>Frequency</v>
      </c>
      <c r="AC47" s="127" t="str">
        <f>$AC$11</f>
        <v>Total</v>
      </c>
      <c r="AH47" s="34"/>
      <c r="AI47" s="34"/>
      <c r="AJ47" s="34"/>
      <c r="AK47" s="34"/>
      <c r="AL47" s="34"/>
    </row>
    <row r="48" spans="1:38" s="33" customFormat="1" ht="15" customHeight="1" x14ac:dyDescent="0.25">
      <c r="A48" s="8" t="str">
        <f>'Break Down Per Community'!B23</f>
        <v>Training Programs</v>
      </c>
      <c r="B48" s="66">
        <f>'Break Down Per Community'!C23</f>
        <v>570000</v>
      </c>
      <c r="C48" s="66">
        <f>'Break Down Per Community'!D23</f>
        <v>1</v>
      </c>
      <c r="D48" s="128">
        <f>B48*C48</f>
        <v>570000</v>
      </c>
      <c r="E48" s="66">
        <f>B48</f>
        <v>570000</v>
      </c>
      <c r="F48" s="66">
        <f t="shared" ref="F48:H53" si="56">C48</f>
        <v>1</v>
      </c>
      <c r="G48" s="154">
        <f t="shared" si="56"/>
        <v>570000</v>
      </c>
      <c r="H48" s="66">
        <f t="shared" si="56"/>
        <v>570000</v>
      </c>
      <c r="I48" s="66">
        <f t="shared" ref="I48:I53" si="57">F48</f>
        <v>1</v>
      </c>
      <c r="J48" s="154">
        <f t="shared" ref="J48:K53" si="58">G48</f>
        <v>570000</v>
      </c>
      <c r="K48" s="66">
        <f t="shared" si="58"/>
        <v>570000</v>
      </c>
      <c r="L48" s="66">
        <f t="shared" ref="L48:L53" si="59">I48</f>
        <v>1</v>
      </c>
      <c r="M48" s="154">
        <f t="shared" ref="M48:N53" si="60">J48</f>
        <v>570000</v>
      </c>
      <c r="N48" s="66">
        <f t="shared" si="60"/>
        <v>570000</v>
      </c>
      <c r="O48" s="66">
        <f t="shared" ref="O48:O53" si="61">L48</f>
        <v>1</v>
      </c>
      <c r="P48" s="154">
        <f t="shared" ref="P48:Q53" si="62">M48</f>
        <v>570000</v>
      </c>
      <c r="Q48" s="66">
        <f t="shared" si="62"/>
        <v>570000</v>
      </c>
      <c r="R48" s="66">
        <f t="shared" ref="R48:R53" si="63">O48</f>
        <v>1</v>
      </c>
      <c r="S48" s="154">
        <f t="shared" ref="S48:T53" si="64">P48</f>
        <v>570000</v>
      </c>
      <c r="T48" s="66">
        <f t="shared" si="64"/>
        <v>570000</v>
      </c>
      <c r="U48" s="66">
        <f t="shared" ref="U48:U53" si="65">R48</f>
        <v>1</v>
      </c>
      <c r="V48" s="154">
        <f t="shared" ref="V48:W53" si="66">S48</f>
        <v>570000</v>
      </c>
      <c r="W48" s="66">
        <f t="shared" si="66"/>
        <v>570000</v>
      </c>
      <c r="X48" s="66">
        <f t="shared" ref="X48:X53" si="67">U48</f>
        <v>1</v>
      </c>
      <c r="Y48" s="154">
        <f t="shared" ref="Y48:Y53" si="68">V48</f>
        <v>570000</v>
      </c>
      <c r="Z48" s="115"/>
      <c r="AA48" s="129">
        <f>SUM(B48,E48,H48,K48,N48,Q48,T48,W48)</f>
        <v>4560000</v>
      </c>
      <c r="AB48" s="117">
        <f>SUM(C48,F48,I48,L48,O48,R48,U48,X48)</f>
        <v>8</v>
      </c>
      <c r="AC48" s="102">
        <f>SUM(D48,G48,J48,M48,P48,S48,V48,Y48)</f>
        <v>4560000</v>
      </c>
      <c r="AH48" s="34"/>
      <c r="AI48" s="34"/>
      <c r="AJ48" s="34"/>
      <c r="AK48" s="34"/>
      <c r="AL48" s="34"/>
    </row>
    <row r="49" spans="1:38" s="33" customFormat="1" ht="15" customHeight="1" x14ac:dyDescent="0.25">
      <c r="A49" s="8" t="str">
        <f>'Break Down Per Community'!B24</f>
        <v>Education Materials</v>
      </c>
      <c r="B49" s="66">
        <f>'Break Down Per Community'!C24</f>
        <v>0</v>
      </c>
      <c r="C49" s="66">
        <f>'Break Down Per Community'!D24</f>
        <v>1</v>
      </c>
      <c r="D49" s="128">
        <f t="shared" ref="D49:D53" si="69">B49*C49</f>
        <v>0</v>
      </c>
      <c r="E49" s="66">
        <f t="shared" ref="E49:E53" si="70">B49</f>
        <v>0</v>
      </c>
      <c r="F49" s="66">
        <f t="shared" ref="F49:F53" si="71">C49</f>
        <v>1</v>
      </c>
      <c r="G49" s="154">
        <f t="shared" ref="G49:G53" si="72">D49</f>
        <v>0</v>
      </c>
      <c r="H49" s="66">
        <f t="shared" si="56"/>
        <v>0</v>
      </c>
      <c r="I49" s="66">
        <f t="shared" si="57"/>
        <v>1</v>
      </c>
      <c r="J49" s="154">
        <f t="shared" si="58"/>
        <v>0</v>
      </c>
      <c r="K49" s="66">
        <f t="shared" si="58"/>
        <v>0</v>
      </c>
      <c r="L49" s="66">
        <f t="shared" si="59"/>
        <v>1</v>
      </c>
      <c r="M49" s="154">
        <f t="shared" si="60"/>
        <v>0</v>
      </c>
      <c r="N49" s="66">
        <f t="shared" si="60"/>
        <v>0</v>
      </c>
      <c r="O49" s="66">
        <f t="shared" si="61"/>
        <v>1</v>
      </c>
      <c r="P49" s="154">
        <f t="shared" si="62"/>
        <v>0</v>
      </c>
      <c r="Q49" s="66">
        <f t="shared" si="62"/>
        <v>0</v>
      </c>
      <c r="R49" s="66">
        <f t="shared" si="63"/>
        <v>1</v>
      </c>
      <c r="S49" s="154">
        <f t="shared" si="64"/>
        <v>0</v>
      </c>
      <c r="T49" s="66">
        <f t="shared" si="64"/>
        <v>0</v>
      </c>
      <c r="U49" s="66">
        <f t="shared" si="65"/>
        <v>1</v>
      </c>
      <c r="V49" s="154">
        <f t="shared" si="66"/>
        <v>0</v>
      </c>
      <c r="W49" s="66">
        <f t="shared" si="66"/>
        <v>0</v>
      </c>
      <c r="X49" s="66">
        <f t="shared" si="67"/>
        <v>1</v>
      </c>
      <c r="Y49" s="154">
        <f t="shared" si="68"/>
        <v>0</v>
      </c>
      <c r="Z49" s="115"/>
      <c r="AA49" s="129">
        <f t="shared" ref="AA49:AA53" si="73">SUM(B49,E49,H49,K49,N49,Q49,T49,W49)</f>
        <v>0</v>
      </c>
      <c r="AB49" s="117">
        <f t="shared" ref="AB49:AB53" si="74">SUM(C49,F49,I49,L49,O49,R49,U49,X49)</f>
        <v>8</v>
      </c>
      <c r="AC49" s="102">
        <f t="shared" ref="AC49:AC53" si="75">SUM(D49,G49,J49,M49,P49,S49,V49,Y49)</f>
        <v>0</v>
      </c>
      <c r="AH49" s="34"/>
      <c r="AI49" s="34"/>
      <c r="AJ49" s="34"/>
      <c r="AK49" s="34"/>
      <c r="AL49" s="34"/>
    </row>
    <row r="50" spans="1:38" s="33" customFormat="1" ht="15" customHeight="1" x14ac:dyDescent="0.25">
      <c r="A50" s="8"/>
      <c r="B50" s="67"/>
      <c r="C50" s="81"/>
      <c r="D50" s="128">
        <f t="shared" si="69"/>
        <v>0</v>
      </c>
      <c r="E50" s="66">
        <f t="shared" si="70"/>
        <v>0</v>
      </c>
      <c r="F50" s="66">
        <f t="shared" si="71"/>
        <v>0</v>
      </c>
      <c r="G50" s="154">
        <f t="shared" si="72"/>
        <v>0</v>
      </c>
      <c r="H50" s="66">
        <f t="shared" si="56"/>
        <v>0</v>
      </c>
      <c r="I50" s="66">
        <f t="shared" si="57"/>
        <v>0</v>
      </c>
      <c r="J50" s="154">
        <f t="shared" si="58"/>
        <v>0</v>
      </c>
      <c r="K50" s="66">
        <f t="shared" si="58"/>
        <v>0</v>
      </c>
      <c r="L50" s="66">
        <f t="shared" si="59"/>
        <v>0</v>
      </c>
      <c r="M50" s="154">
        <f t="shared" si="60"/>
        <v>0</v>
      </c>
      <c r="N50" s="66">
        <f t="shared" si="60"/>
        <v>0</v>
      </c>
      <c r="O50" s="66">
        <f t="shared" si="61"/>
        <v>0</v>
      </c>
      <c r="P50" s="154">
        <f t="shared" si="62"/>
        <v>0</v>
      </c>
      <c r="Q50" s="66">
        <f t="shared" si="62"/>
        <v>0</v>
      </c>
      <c r="R50" s="66">
        <f t="shared" si="63"/>
        <v>0</v>
      </c>
      <c r="S50" s="154">
        <f t="shared" si="64"/>
        <v>0</v>
      </c>
      <c r="T50" s="66">
        <f t="shared" si="64"/>
        <v>0</v>
      </c>
      <c r="U50" s="66">
        <f t="shared" si="65"/>
        <v>0</v>
      </c>
      <c r="V50" s="154">
        <f t="shared" si="66"/>
        <v>0</v>
      </c>
      <c r="W50" s="66">
        <f t="shared" si="66"/>
        <v>0</v>
      </c>
      <c r="X50" s="66">
        <f t="shared" si="67"/>
        <v>0</v>
      </c>
      <c r="Y50" s="154">
        <f t="shared" si="68"/>
        <v>0</v>
      </c>
      <c r="Z50" s="115"/>
      <c r="AA50" s="129">
        <f t="shared" si="73"/>
        <v>0</v>
      </c>
      <c r="AB50" s="117">
        <f t="shared" si="74"/>
        <v>0</v>
      </c>
      <c r="AC50" s="102">
        <f t="shared" si="75"/>
        <v>0</v>
      </c>
      <c r="AH50" s="34"/>
      <c r="AI50" s="34"/>
      <c r="AJ50" s="34"/>
      <c r="AK50" s="34"/>
      <c r="AL50" s="34"/>
    </row>
    <row r="51" spans="1:38" s="33" customFormat="1" ht="15" customHeight="1" x14ac:dyDescent="0.25">
      <c r="A51" s="8"/>
      <c r="B51" s="67"/>
      <c r="C51" s="81"/>
      <c r="D51" s="128">
        <f t="shared" si="69"/>
        <v>0</v>
      </c>
      <c r="E51" s="66">
        <f t="shared" si="70"/>
        <v>0</v>
      </c>
      <c r="F51" s="66">
        <f t="shared" si="71"/>
        <v>0</v>
      </c>
      <c r="G51" s="154">
        <f t="shared" si="72"/>
        <v>0</v>
      </c>
      <c r="H51" s="66">
        <f t="shared" si="56"/>
        <v>0</v>
      </c>
      <c r="I51" s="66">
        <f t="shared" si="57"/>
        <v>0</v>
      </c>
      <c r="J51" s="154">
        <f t="shared" si="58"/>
        <v>0</v>
      </c>
      <c r="K51" s="66">
        <f t="shared" si="58"/>
        <v>0</v>
      </c>
      <c r="L51" s="66">
        <f t="shared" si="59"/>
        <v>0</v>
      </c>
      <c r="M51" s="154">
        <f t="shared" si="60"/>
        <v>0</v>
      </c>
      <c r="N51" s="66">
        <f t="shared" si="60"/>
        <v>0</v>
      </c>
      <c r="O51" s="66">
        <f t="shared" si="61"/>
        <v>0</v>
      </c>
      <c r="P51" s="154">
        <f t="shared" si="62"/>
        <v>0</v>
      </c>
      <c r="Q51" s="66">
        <f t="shared" si="62"/>
        <v>0</v>
      </c>
      <c r="R51" s="66">
        <f t="shared" si="63"/>
        <v>0</v>
      </c>
      <c r="S51" s="154">
        <f t="shared" si="64"/>
        <v>0</v>
      </c>
      <c r="T51" s="66">
        <f t="shared" si="64"/>
        <v>0</v>
      </c>
      <c r="U51" s="66">
        <f t="shared" si="65"/>
        <v>0</v>
      </c>
      <c r="V51" s="154">
        <f t="shared" si="66"/>
        <v>0</v>
      </c>
      <c r="W51" s="66">
        <f t="shared" si="66"/>
        <v>0</v>
      </c>
      <c r="X51" s="66">
        <f t="shared" si="67"/>
        <v>0</v>
      </c>
      <c r="Y51" s="154">
        <f t="shared" si="68"/>
        <v>0</v>
      </c>
      <c r="Z51" s="115"/>
      <c r="AA51" s="129">
        <f t="shared" si="73"/>
        <v>0</v>
      </c>
      <c r="AB51" s="117">
        <f t="shared" si="74"/>
        <v>0</v>
      </c>
      <c r="AC51" s="102">
        <f t="shared" si="75"/>
        <v>0</v>
      </c>
      <c r="AH51" s="34"/>
      <c r="AI51" s="34"/>
      <c r="AJ51" s="34"/>
      <c r="AK51" s="34"/>
      <c r="AL51" s="34"/>
    </row>
    <row r="52" spans="1:38" s="33" customFormat="1" ht="15" customHeight="1" x14ac:dyDescent="0.25">
      <c r="A52" s="8"/>
      <c r="B52" s="67"/>
      <c r="C52" s="81"/>
      <c r="D52" s="128">
        <f t="shared" si="69"/>
        <v>0</v>
      </c>
      <c r="E52" s="66">
        <f t="shared" si="70"/>
        <v>0</v>
      </c>
      <c r="F52" s="66">
        <f t="shared" si="71"/>
        <v>0</v>
      </c>
      <c r="G52" s="154">
        <f t="shared" si="72"/>
        <v>0</v>
      </c>
      <c r="H52" s="66">
        <f t="shared" si="56"/>
        <v>0</v>
      </c>
      <c r="I52" s="66">
        <f t="shared" si="57"/>
        <v>0</v>
      </c>
      <c r="J52" s="154">
        <f t="shared" si="58"/>
        <v>0</v>
      </c>
      <c r="K52" s="66">
        <f t="shared" si="58"/>
        <v>0</v>
      </c>
      <c r="L52" s="66">
        <f t="shared" si="59"/>
        <v>0</v>
      </c>
      <c r="M52" s="154">
        <f t="shared" si="60"/>
        <v>0</v>
      </c>
      <c r="N52" s="66">
        <f t="shared" si="60"/>
        <v>0</v>
      </c>
      <c r="O52" s="66">
        <f t="shared" si="61"/>
        <v>0</v>
      </c>
      <c r="P52" s="154">
        <f t="shared" si="62"/>
        <v>0</v>
      </c>
      <c r="Q52" s="66">
        <f t="shared" si="62"/>
        <v>0</v>
      </c>
      <c r="R52" s="66">
        <f t="shared" si="63"/>
        <v>0</v>
      </c>
      <c r="S52" s="154">
        <f t="shared" si="64"/>
        <v>0</v>
      </c>
      <c r="T52" s="66">
        <f t="shared" si="64"/>
        <v>0</v>
      </c>
      <c r="U52" s="66">
        <f t="shared" si="65"/>
        <v>0</v>
      </c>
      <c r="V52" s="154">
        <f t="shared" si="66"/>
        <v>0</v>
      </c>
      <c r="W52" s="66">
        <f t="shared" si="66"/>
        <v>0</v>
      </c>
      <c r="X52" s="66">
        <f t="shared" si="67"/>
        <v>0</v>
      </c>
      <c r="Y52" s="154">
        <f t="shared" si="68"/>
        <v>0</v>
      </c>
      <c r="Z52" s="115"/>
      <c r="AA52" s="129">
        <f t="shared" si="73"/>
        <v>0</v>
      </c>
      <c r="AB52" s="117">
        <f t="shared" si="74"/>
        <v>0</v>
      </c>
      <c r="AC52" s="102">
        <f t="shared" si="75"/>
        <v>0</v>
      </c>
      <c r="AH52" s="34"/>
      <c r="AI52" s="34"/>
      <c r="AJ52" s="34"/>
      <c r="AK52" s="34"/>
      <c r="AL52" s="34"/>
    </row>
    <row r="53" spans="1:38" s="33" customFormat="1" ht="15" customHeight="1" thickBot="1" x14ac:dyDescent="0.3">
      <c r="A53" s="8"/>
      <c r="B53" s="68"/>
      <c r="C53" s="84"/>
      <c r="D53" s="128">
        <f t="shared" si="69"/>
        <v>0</v>
      </c>
      <c r="E53" s="66">
        <f t="shared" si="70"/>
        <v>0</v>
      </c>
      <c r="F53" s="66">
        <f t="shared" si="71"/>
        <v>0</v>
      </c>
      <c r="G53" s="154">
        <f t="shared" si="72"/>
        <v>0</v>
      </c>
      <c r="H53" s="66">
        <f t="shared" si="56"/>
        <v>0</v>
      </c>
      <c r="I53" s="66">
        <f t="shared" si="57"/>
        <v>0</v>
      </c>
      <c r="J53" s="154">
        <f t="shared" si="58"/>
        <v>0</v>
      </c>
      <c r="K53" s="66">
        <f t="shared" si="58"/>
        <v>0</v>
      </c>
      <c r="L53" s="66">
        <f t="shared" si="59"/>
        <v>0</v>
      </c>
      <c r="M53" s="154">
        <f t="shared" si="60"/>
        <v>0</v>
      </c>
      <c r="N53" s="66">
        <f t="shared" si="60"/>
        <v>0</v>
      </c>
      <c r="O53" s="66">
        <f t="shared" si="61"/>
        <v>0</v>
      </c>
      <c r="P53" s="154">
        <f t="shared" si="62"/>
        <v>0</v>
      </c>
      <c r="Q53" s="66">
        <f t="shared" si="62"/>
        <v>0</v>
      </c>
      <c r="R53" s="66">
        <f t="shared" si="63"/>
        <v>0</v>
      </c>
      <c r="S53" s="154">
        <f t="shared" si="64"/>
        <v>0</v>
      </c>
      <c r="T53" s="66">
        <f t="shared" si="64"/>
        <v>0</v>
      </c>
      <c r="U53" s="66">
        <f t="shared" si="65"/>
        <v>0</v>
      </c>
      <c r="V53" s="154">
        <f t="shared" si="66"/>
        <v>0</v>
      </c>
      <c r="W53" s="66">
        <f t="shared" si="66"/>
        <v>0</v>
      </c>
      <c r="X53" s="66">
        <f t="shared" si="67"/>
        <v>0</v>
      </c>
      <c r="Y53" s="154">
        <f t="shared" si="68"/>
        <v>0</v>
      </c>
      <c r="Z53" s="115"/>
      <c r="AA53" s="129">
        <f t="shared" si="73"/>
        <v>0</v>
      </c>
      <c r="AB53" s="117">
        <f t="shared" si="74"/>
        <v>0</v>
      </c>
      <c r="AC53" s="102">
        <f t="shared" si="75"/>
        <v>0</v>
      </c>
      <c r="AH53" s="34"/>
      <c r="AI53" s="34"/>
      <c r="AJ53" s="34"/>
      <c r="AK53" s="34"/>
      <c r="AL53" s="34"/>
    </row>
    <row r="54" spans="1:38" s="33" customFormat="1" ht="15" customHeight="1" x14ac:dyDescent="0.25">
      <c r="A54" s="9" t="str">
        <f>"Total "&amp;A47</f>
        <v>Total Training and Educaton</v>
      </c>
      <c r="B54" s="69">
        <f t="shared" ref="B54:V54" si="76">SUM(B48:B53)</f>
        <v>570000</v>
      </c>
      <c r="C54" s="168">
        <f t="shared" si="76"/>
        <v>2</v>
      </c>
      <c r="D54" s="130">
        <f t="shared" si="76"/>
        <v>570000</v>
      </c>
      <c r="E54" s="69">
        <f t="shared" si="76"/>
        <v>570000</v>
      </c>
      <c r="F54" s="168">
        <f t="shared" si="76"/>
        <v>2</v>
      </c>
      <c r="G54" s="153">
        <f t="shared" si="76"/>
        <v>570000</v>
      </c>
      <c r="H54" s="69">
        <f t="shared" si="76"/>
        <v>570000</v>
      </c>
      <c r="I54" s="168">
        <f t="shared" si="76"/>
        <v>2</v>
      </c>
      <c r="J54" s="153">
        <f t="shared" si="76"/>
        <v>570000</v>
      </c>
      <c r="K54" s="69">
        <f t="shared" si="76"/>
        <v>570000</v>
      </c>
      <c r="L54" s="168">
        <f t="shared" si="76"/>
        <v>2</v>
      </c>
      <c r="M54" s="153">
        <f t="shared" si="76"/>
        <v>570000</v>
      </c>
      <c r="N54" s="69">
        <f t="shared" ref="N54:P54" si="77">SUM(N48:N53)</f>
        <v>570000</v>
      </c>
      <c r="O54" s="168">
        <f t="shared" si="77"/>
        <v>2</v>
      </c>
      <c r="P54" s="153">
        <f t="shared" si="77"/>
        <v>570000</v>
      </c>
      <c r="Q54" s="69">
        <f t="shared" si="76"/>
        <v>570000</v>
      </c>
      <c r="R54" s="168">
        <f t="shared" si="76"/>
        <v>2</v>
      </c>
      <c r="S54" s="153">
        <f t="shared" si="76"/>
        <v>570000</v>
      </c>
      <c r="T54" s="69">
        <f t="shared" si="76"/>
        <v>570000</v>
      </c>
      <c r="U54" s="168">
        <f t="shared" si="76"/>
        <v>2</v>
      </c>
      <c r="V54" s="153">
        <f t="shared" si="76"/>
        <v>570000</v>
      </c>
      <c r="W54" s="69">
        <f t="shared" ref="W54:Y54" si="78">SUM(W48:W53)</f>
        <v>570000</v>
      </c>
      <c r="X54" s="168">
        <f t="shared" si="78"/>
        <v>2</v>
      </c>
      <c r="Y54" s="153">
        <f t="shared" si="78"/>
        <v>570000</v>
      </c>
      <c r="Z54" s="123"/>
      <c r="AA54" s="69">
        <f>SUM(AA48:AA53)</f>
        <v>4560000</v>
      </c>
      <c r="AB54" s="168">
        <f>SUM(C54,F54,I54,L54,IF($J$7=5,O54,0))</f>
        <v>8</v>
      </c>
      <c r="AC54" s="130">
        <f>SUM(AC48:AC53)</f>
        <v>4560000</v>
      </c>
      <c r="AH54" s="34"/>
      <c r="AI54" s="34"/>
      <c r="AJ54" s="34"/>
      <c r="AK54" s="34"/>
      <c r="AL54" s="34"/>
    </row>
    <row r="55" spans="1:38" s="33" customFormat="1" ht="7" customHeight="1" x14ac:dyDescent="0.25">
      <c r="A55" s="46"/>
      <c r="B55" s="71"/>
      <c r="C55" s="71"/>
      <c r="D55" s="71"/>
      <c r="E55" s="71"/>
      <c r="F55" s="71"/>
      <c r="G55" s="155"/>
      <c r="H55" s="71"/>
      <c r="I55" s="71"/>
      <c r="J55" s="155"/>
      <c r="K55" s="71"/>
      <c r="L55" s="71"/>
      <c r="M55" s="155"/>
      <c r="N55" s="71"/>
      <c r="O55" s="71"/>
      <c r="P55" s="155"/>
      <c r="Q55" s="71"/>
      <c r="R55" s="71"/>
      <c r="S55" s="155"/>
      <c r="T55" s="71"/>
      <c r="U55" s="71"/>
      <c r="V55" s="155"/>
      <c r="W55" s="71"/>
      <c r="X55" s="71"/>
      <c r="Y55" s="155"/>
      <c r="Z55" s="71"/>
      <c r="AA55" s="71"/>
      <c r="AB55" s="71"/>
      <c r="AC55" s="71"/>
      <c r="AH55" s="34"/>
      <c r="AI55" s="34"/>
      <c r="AJ55" s="34"/>
      <c r="AK55" s="34"/>
      <c r="AL55" s="34"/>
    </row>
    <row r="56" spans="1:38" s="33" customFormat="1" ht="15" customHeight="1" thickBot="1" x14ac:dyDescent="0.3">
      <c r="A56" s="44" t="str">
        <f>'Total '!B10</f>
        <v>Outreach and Mobilization</v>
      </c>
      <c r="B56" s="65" t="str">
        <f>$B$11</f>
        <v>Cost</v>
      </c>
      <c r="C56" s="65" t="str">
        <f>$C$11</f>
        <v>Frequency</v>
      </c>
      <c r="D56" s="65" t="str">
        <f>$D$11</f>
        <v>Total</v>
      </c>
      <c r="E56" s="65" t="str">
        <f>$E$11</f>
        <v>Cost</v>
      </c>
      <c r="F56" s="65" t="str">
        <f>$F$11</f>
        <v>Frequency</v>
      </c>
      <c r="G56" s="65" t="s">
        <v>39</v>
      </c>
      <c r="H56" s="65" t="str">
        <f>$H$11</f>
        <v>Cost</v>
      </c>
      <c r="I56" s="65" t="str">
        <f>$I$11</f>
        <v>Frequency</v>
      </c>
      <c r="J56" s="65" t="str">
        <f>J47</f>
        <v>Total</v>
      </c>
      <c r="K56" s="65" t="str">
        <f>$K$11</f>
        <v>Cost</v>
      </c>
      <c r="L56" s="65" t="str">
        <f>$L$11</f>
        <v>Frequency</v>
      </c>
      <c r="M56" s="65" t="str">
        <f>M47</f>
        <v>Total</v>
      </c>
      <c r="N56" s="65" t="str">
        <f>$K$11</f>
        <v>Cost</v>
      </c>
      <c r="O56" s="65" t="str">
        <f>$L$11</f>
        <v>Frequency</v>
      </c>
      <c r="P56" s="65" t="str">
        <f>P47</f>
        <v>Total</v>
      </c>
      <c r="Q56" s="65" t="str">
        <f>$H$11</f>
        <v>Cost</v>
      </c>
      <c r="R56" s="65" t="str">
        <f>$I$11</f>
        <v>Frequency</v>
      </c>
      <c r="S56" s="65" t="str">
        <f>S47</f>
        <v>Total</v>
      </c>
      <c r="T56" s="65" t="str">
        <f>$K$11</f>
        <v>Cost</v>
      </c>
      <c r="U56" s="65" t="str">
        <f>$L$11</f>
        <v>Frequency</v>
      </c>
      <c r="V56" s="65" t="str">
        <f>V47</f>
        <v>Total</v>
      </c>
      <c r="W56" s="65" t="str">
        <f>$K$11</f>
        <v>Cost</v>
      </c>
      <c r="X56" s="65" t="str">
        <f>$L$11</f>
        <v>Frequency</v>
      </c>
      <c r="Y56" s="65" t="str">
        <f>Y47</f>
        <v>Total</v>
      </c>
      <c r="Z56" s="92"/>
      <c r="AA56" s="125" t="str">
        <f>$AA$11</f>
        <v>Cost</v>
      </c>
      <c r="AB56" s="126" t="str">
        <f>$AB$11</f>
        <v>Frequency</v>
      </c>
      <c r="AC56" s="127" t="str">
        <f>$AC$11</f>
        <v>Total</v>
      </c>
      <c r="AH56" s="34"/>
      <c r="AI56" s="34"/>
      <c r="AJ56" s="34"/>
      <c r="AK56" s="34"/>
      <c r="AL56" s="34"/>
    </row>
    <row r="57" spans="1:38" s="33" customFormat="1" ht="15" customHeight="1" x14ac:dyDescent="0.25">
      <c r="A57" s="8" t="str">
        <f>'Break Down Per Community'!B32</f>
        <v>Community Engagement</v>
      </c>
      <c r="B57" s="72">
        <f>'Break Down Per Community'!C32</f>
        <v>200000</v>
      </c>
      <c r="C57" s="72">
        <f>'Break Down Per Community'!D32</f>
        <v>10</v>
      </c>
      <c r="D57" s="128">
        <f>B57*C57</f>
        <v>2000000</v>
      </c>
      <c r="E57" s="66">
        <f>B57</f>
        <v>200000</v>
      </c>
      <c r="F57" s="66">
        <f t="shared" ref="F57:H63" si="79">C57</f>
        <v>10</v>
      </c>
      <c r="G57" s="154">
        <f t="shared" si="79"/>
        <v>2000000</v>
      </c>
      <c r="H57" s="66">
        <f t="shared" si="79"/>
        <v>200000</v>
      </c>
      <c r="I57" s="66">
        <f t="shared" ref="I57:I63" si="80">F57</f>
        <v>10</v>
      </c>
      <c r="J57" s="154">
        <f t="shared" ref="J57:K63" si="81">G57</f>
        <v>2000000</v>
      </c>
      <c r="K57" s="66">
        <f t="shared" si="81"/>
        <v>200000</v>
      </c>
      <c r="L57" s="66">
        <f t="shared" ref="L57:L63" si="82">I57</f>
        <v>10</v>
      </c>
      <c r="M57" s="154">
        <f t="shared" ref="M57:N63" si="83">J57</f>
        <v>2000000</v>
      </c>
      <c r="N57" s="66">
        <f t="shared" si="83"/>
        <v>200000</v>
      </c>
      <c r="O57" s="66">
        <f t="shared" ref="O57:O63" si="84">L57</f>
        <v>10</v>
      </c>
      <c r="P57" s="154">
        <f t="shared" ref="P57:Q63" si="85">M57</f>
        <v>2000000</v>
      </c>
      <c r="Q57" s="66">
        <f t="shared" si="85"/>
        <v>200000</v>
      </c>
      <c r="R57" s="66">
        <f t="shared" ref="R57:R63" si="86">O57</f>
        <v>10</v>
      </c>
      <c r="S57" s="154">
        <f t="shared" ref="S57:T63" si="87">P57</f>
        <v>2000000</v>
      </c>
      <c r="T57" s="66">
        <f t="shared" si="87"/>
        <v>200000</v>
      </c>
      <c r="U57" s="66">
        <f t="shared" ref="U57:U63" si="88">R57</f>
        <v>10</v>
      </c>
      <c r="V57" s="154">
        <f t="shared" ref="V57:W63" si="89">S57</f>
        <v>2000000</v>
      </c>
      <c r="W57" s="66">
        <f t="shared" si="89"/>
        <v>200000</v>
      </c>
      <c r="X57" s="66">
        <f t="shared" ref="X57:X63" si="90">U57</f>
        <v>10</v>
      </c>
      <c r="Y57" s="154">
        <f t="shared" ref="Y57:Y63" si="91">V57</f>
        <v>2000000</v>
      </c>
      <c r="Z57" s="115"/>
      <c r="AA57" s="129">
        <f>SUM(B57,E57,H57,K57,N57,Q57,T57,W57)</f>
        <v>1600000</v>
      </c>
      <c r="AB57" s="117">
        <f>SUM(C57,F57,I57,L57,O57,R57,U57,X57)</f>
        <v>80</v>
      </c>
      <c r="AC57" s="102">
        <f>SUM(D57,G57,J57,M57,P57,S57,V57,Y57)</f>
        <v>16000000</v>
      </c>
      <c r="AH57" s="34"/>
      <c r="AI57" s="34"/>
      <c r="AJ57" s="34"/>
      <c r="AK57" s="34"/>
      <c r="AL57" s="34"/>
    </row>
    <row r="58" spans="1:38" s="33" customFormat="1" ht="15" customHeight="1" x14ac:dyDescent="0.25">
      <c r="A58" s="8" t="str">
        <f>'Break Down Per Community'!B33</f>
        <v>Transportation and Logistics for the devices</v>
      </c>
      <c r="B58" s="72">
        <f>'Break Down Per Community'!C33</f>
        <v>1000000</v>
      </c>
      <c r="C58" s="72">
        <f>'Break Down Per Community'!D33</f>
        <v>1</v>
      </c>
      <c r="D58" s="128">
        <f t="shared" ref="D58:D62" si="92">B58*C58</f>
        <v>1000000</v>
      </c>
      <c r="E58" s="66">
        <f t="shared" ref="E58:E63" si="93">B58</f>
        <v>1000000</v>
      </c>
      <c r="F58" s="66">
        <f t="shared" ref="F58:F63" si="94">C58</f>
        <v>1</v>
      </c>
      <c r="G58" s="154">
        <f t="shared" ref="G58:G63" si="95">D58</f>
        <v>1000000</v>
      </c>
      <c r="H58" s="66">
        <f t="shared" si="79"/>
        <v>1000000</v>
      </c>
      <c r="I58" s="66">
        <f t="shared" si="80"/>
        <v>1</v>
      </c>
      <c r="J58" s="154">
        <f t="shared" si="81"/>
        <v>1000000</v>
      </c>
      <c r="K58" s="66">
        <f t="shared" si="81"/>
        <v>1000000</v>
      </c>
      <c r="L58" s="66">
        <f t="shared" si="82"/>
        <v>1</v>
      </c>
      <c r="M58" s="154">
        <f t="shared" si="83"/>
        <v>1000000</v>
      </c>
      <c r="N58" s="66">
        <f t="shared" si="83"/>
        <v>1000000</v>
      </c>
      <c r="O58" s="66">
        <f t="shared" si="84"/>
        <v>1</v>
      </c>
      <c r="P58" s="154">
        <f t="shared" si="85"/>
        <v>1000000</v>
      </c>
      <c r="Q58" s="66">
        <f t="shared" si="85"/>
        <v>1000000</v>
      </c>
      <c r="R58" s="66">
        <f t="shared" si="86"/>
        <v>1</v>
      </c>
      <c r="S58" s="154">
        <f t="shared" si="87"/>
        <v>1000000</v>
      </c>
      <c r="T58" s="66">
        <f t="shared" si="87"/>
        <v>1000000</v>
      </c>
      <c r="U58" s="66">
        <f t="shared" si="88"/>
        <v>1</v>
      </c>
      <c r="V58" s="154">
        <f t="shared" si="89"/>
        <v>1000000</v>
      </c>
      <c r="W58" s="66">
        <f t="shared" si="89"/>
        <v>1000000</v>
      </c>
      <c r="X58" s="66">
        <f t="shared" si="90"/>
        <v>1</v>
      </c>
      <c r="Y58" s="154">
        <f t="shared" si="91"/>
        <v>1000000</v>
      </c>
      <c r="Z58" s="115"/>
      <c r="AA58" s="129">
        <f t="shared" ref="AA58:AA62" si="96">SUM(B58,E58,H58,K58,N58,Q58,T58,W58)</f>
        <v>8000000</v>
      </c>
      <c r="AB58" s="117">
        <f t="shared" ref="AB58:AB62" si="97">SUM(C58,F58,I58,L58,O58,R58,U58,X58)</f>
        <v>8</v>
      </c>
      <c r="AC58" s="102">
        <f t="shared" ref="AC58:AC62" si="98">SUM(D58,G58,J58,M58,P58,S58,V58,Y58)</f>
        <v>8000000</v>
      </c>
      <c r="AH58" s="34"/>
      <c r="AI58" s="34"/>
      <c r="AJ58" s="34"/>
      <c r="AK58" s="34"/>
      <c r="AL58" s="34"/>
    </row>
    <row r="59" spans="1:38" s="33" customFormat="1" ht="15" customHeight="1" x14ac:dyDescent="0.25">
      <c r="A59" s="8" t="str">
        <f>'Break Down Per Community'!B34</f>
        <v>Radio Ad</v>
      </c>
      <c r="B59" s="72">
        <f>'Break Down Per Community'!C34</f>
        <v>500000</v>
      </c>
      <c r="C59" s="72">
        <f>'Break Down Per Community'!D34</f>
        <v>1</v>
      </c>
      <c r="D59" s="128">
        <f t="shared" si="92"/>
        <v>500000</v>
      </c>
      <c r="E59" s="66">
        <f t="shared" si="93"/>
        <v>500000</v>
      </c>
      <c r="F59" s="66">
        <f t="shared" si="94"/>
        <v>1</v>
      </c>
      <c r="G59" s="154">
        <f t="shared" si="95"/>
        <v>500000</v>
      </c>
      <c r="H59" s="66">
        <f t="shared" si="79"/>
        <v>500000</v>
      </c>
      <c r="I59" s="66">
        <f t="shared" si="80"/>
        <v>1</v>
      </c>
      <c r="J59" s="154">
        <f t="shared" si="81"/>
        <v>500000</v>
      </c>
      <c r="K59" s="66">
        <f t="shared" si="81"/>
        <v>500000</v>
      </c>
      <c r="L59" s="66">
        <f t="shared" si="82"/>
        <v>1</v>
      </c>
      <c r="M59" s="154">
        <f t="shared" si="83"/>
        <v>500000</v>
      </c>
      <c r="N59" s="66">
        <f t="shared" si="83"/>
        <v>500000</v>
      </c>
      <c r="O59" s="66">
        <f t="shared" si="84"/>
        <v>1</v>
      </c>
      <c r="P59" s="154">
        <f t="shared" si="85"/>
        <v>500000</v>
      </c>
      <c r="Q59" s="66">
        <f t="shared" si="85"/>
        <v>500000</v>
      </c>
      <c r="R59" s="66">
        <f t="shared" si="86"/>
        <v>1</v>
      </c>
      <c r="S59" s="154">
        <f t="shared" si="87"/>
        <v>500000</v>
      </c>
      <c r="T59" s="66">
        <f t="shared" si="87"/>
        <v>500000</v>
      </c>
      <c r="U59" s="66">
        <f t="shared" si="88"/>
        <v>1</v>
      </c>
      <c r="V59" s="154">
        <f t="shared" si="89"/>
        <v>500000</v>
      </c>
      <c r="W59" s="66">
        <f t="shared" si="89"/>
        <v>500000</v>
      </c>
      <c r="X59" s="66">
        <f t="shared" si="90"/>
        <v>1</v>
      </c>
      <c r="Y59" s="154">
        <f t="shared" si="91"/>
        <v>500000</v>
      </c>
      <c r="Z59" s="115"/>
      <c r="AA59" s="129">
        <f t="shared" si="96"/>
        <v>4000000</v>
      </c>
      <c r="AB59" s="117">
        <f t="shared" si="97"/>
        <v>8</v>
      </c>
      <c r="AC59" s="102">
        <f t="shared" si="98"/>
        <v>4000000</v>
      </c>
      <c r="AH59" s="34"/>
      <c r="AI59" s="34"/>
      <c r="AJ59" s="34"/>
      <c r="AK59" s="34"/>
      <c r="AL59" s="34"/>
    </row>
    <row r="60" spans="1:38" s="33" customFormat="1" ht="15" customHeight="1" x14ac:dyDescent="0.25">
      <c r="A60" s="8" t="str">
        <f>'Break Down Per Community'!B35</f>
        <v>Content Creation &amp; Social Media Promotions</v>
      </c>
      <c r="B60" s="72">
        <f>'Break Down Per Community'!C35</f>
        <v>400000</v>
      </c>
      <c r="C60" s="72">
        <f>'Break Down Per Community'!D35</f>
        <v>1</v>
      </c>
      <c r="D60" s="128">
        <f t="shared" si="92"/>
        <v>400000</v>
      </c>
      <c r="E60" s="66">
        <f t="shared" si="93"/>
        <v>400000</v>
      </c>
      <c r="F60" s="66">
        <f t="shared" si="94"/>
        <v>1</v>
      </c>
      <c r="G60" s="154">
        <f t="shared" si="95"/>
        <v>400000</v>
      </c>
      <c r="H60" s="66">
        <f t="shared" si="79"/>
        <v>400000</v>
      </c>
      <c r="I60" s="66">
        <f t="shared" si="80"/>
        <v>1</v>
      </c>
      <c r="J60" s="154">
        <f t="shared" si="81"/>
        <v>400000</v>
      </c>
      <c r="K60" s="66">
        <f t="shared" si="81"/>
        <v>400000</v>
      </c>
      <c r="L60" s="66">
        <f t="shared" si="82"/>
        <v>1</v>
      </c>
      <c r="M60" s="154">
        <f t="shared" si="83"/>
        <v>400000</v>
      </c>
      <c r="N60" s="66">
        <f t="shared" si="83"/>
        <v>400000</v>
      </c>
      <c r="O60" s="66">
        <f t="shared" si="84"/>
        <v>1</v>
      </c>
      <c r="P60" s="154">
        <f t="shared" si="85"/>
        <v>400000</v>
      </c>
      <c r="Q60" s="66">
        <f t="shared" si="85"/>
        <v>400000</v>
      </c>
      <c r="R60" s="66">
        <f t="shared" si="86"/>
        <v>1</v>
      </c>
      <c r="S60" s="154">
        <f t="shared" si="87"/>
        <v>400000</v>
      </c>
      <c r="T60" s="66">
        <f t="shared" si="87"/>
        <v>400000</v>
      </c>
      <c r="U60" s="66">
        <f t="shared" si="88"/>
        <v>1</v>
      </c>
      <c r="V60" s="154">
        <f t="shared" si="89"/>
        <v>400000</v>
      </c>
      <c r="W60" s="66">
        <f t="shared" si="89"/>
        <v>400000</v>
      </c>
      <c r="X60" s="66">
        <f t="shared" si="90"/>
        <v>1</v>
      </c>
      <c r="Y60" s="154">
        <f t="shared" si="91"/>
        <v>400000</v>
      </c>
      <c r="Z60" s="115"/>
      <c r="AA60" s="129">
        <f t="shared" si="96"/>
        <v>3200000</v>
      </c>
      <c r="AB60" s="117">
        <f t="shared" si="97"/>
        <v>8</v>
      </c>
      <c r="AC60" s="102">
        <f t="shared" si="98"/>
        <v>3200000</v>
      </c>
      <c r="AH60" s="34"/>
      <c r="AI60" s="34"/>
      <c r="AJ60" s="34"/>
      <c r="AK60" s="34"/>
      <c r="AL60" s="34"/>
    </row>
    <row r="61" spans="1:38" s="33" customFormat="1" ht="15" customHeight="1" x14ac:dyDescent="0.25">
      <c r="A61" s="8" t="str">
        <f>'Break Down Per Community'!B36</f>
        <v>Brochures, Flyers and Posters</v>
      </c>
      <c r="B61" s="72">
        <f>'Break Down Per Community'!C36</f>
        <v>1000000</v>
      </c>
      <c r="C61" s="72">
        <f>'Break Down Per Community'!D36</f>
        <v>1</v>
      </c>
      <c r="D61" s="128">
        <f t="shared" si="92"/>
        <v>1000000</v>
      </c>
      <c r="E61" s="66">
        <f t="shared" si="93"/>
        <v>1000000</v>
      </c>
      <c r="F61" s="66">
        <f t="shared" si="94"/>
        <v>1</v>
      </c>
      <c r="G61" s="154">
        <f t="shared" si="95"/>
        <v>1000000</v>
      </c>
      <c r="H61" s="66">
        <f t="shared" si="79"/>
        <v>1000000</v>
      </c>
      <c r="I61" s="66">
        <f t="shared" si="80"/>
        <v>1</v>
      </c>
      <c r="J61" s="154">
        <f t="shared" si="81"/>
        <v>1000000</v>
      </c>
      <c r="K61" s="66">
        <f t="shared" si="81"/>
        <v>1000000</v>
      </c>
      <c r="L61" s="66">
        <f t="shared" si="82"/>
        <v>1</v>
      </c>
      <c r="M61" s="154">
        <f t="shared" si="83"/>
        <v>1000000</v>
      </c>
      <c r="N61" s="66">
        <f t="shared" si="83"/>
        <v>1000000</v>
      </c>
      <c r="O61" s="66">
        <f t="shared" si="84"/>
        <v>1</v>
      </c>
      <c r="P61" s="154">
        <f t="shared" si="85"/>
        <v>1000000</v>
      </c>
      <c r="Q61" s="66">
        <f t="shared" si="85"/>
        <v>1000000</v>
      </c>
      <c r="R61" s="66">
        <f t="shared" si="86"/>
        <v>1</v>
      </c>
      <c r="S61" s="154">
        <f t="shared" si="87"/>
        <v>1000000</v>
      </c>
      <c r="T61" s="66">
        <f t="shared" si="87"/>
        <v>1000000</v>
      </c>
      <c r="U61" s="66">
        <f t="shared" si="88"/>
        <v>1</v>
      </c>
      <c r="V61" s="154">
        <f t="shared" si="89"/>
        <v>1000000</v>
      </c>
      <c r="W61" s="66">
        <f t="shared" si="89"/>
        <v>1000000</v>
      </c>
      <c r="X61" s="66">
        <f t="shared" si="90"/>
        <v>1</v>
      </c>
      <c r="Y61" s="154">
        <f t="shared" si="91"/>
        <v>1000000</v>
      </c>
      <c r="Z61" s="115"/>
      <c r="AA61" s="129">
        <f t="shared" si="96"/>
        <v>8000000</v>
      </c>
      <c r="AB61" s="117">
        <f t="shared" si="97"/>
        <v>8</v>
      </c>
      <c r="AC61" s="102">
        <f t="shared" si="98"/>
        <v>8000000</v>
      </c>
      <c r="AH61" s="34"/>
      <c r="AI61" s="34"/>
      <c r="AJ61" s="34"/>
      <c r="AK61" s="34"/>
      <c r="AL61" s="34"/>
    </row>
    <row r="62" spans="1:38" s="33" customFormat="1" ht="15" customHeight="1" x14ac:dyDescent="0.25">
      <c r="A62" s="8" t="str">
        <f>'Break Down Per Community'!B37</f>
        <v>Souvenirs</v>
      </c>
      <c r="B62" s="72">
        <f>'Break Down Per Community'!C37</f>
        <v>1500</v>
      </c>
      <c r="C62" s="72">
        <f>'Break Down Per Community'!D37</f>
        <v>2000</v>
      </c>
      <c r="D62" s="128">
        <f t="shared" si="92"/>
        <v>3000000</v>
      </c>
      <c r="E62" s="66">
        <f t="shared" si="93"/>
        <v>1500</v>
      </c>
      <c r="F62" s="66">
        <f t="shared" si="94"/>
        <v>2000</v>
      </c>
      <c r="G62" s="154">
        <f t="shared" si="95"/>
        <v>3000000</v>
      </c>
      <c r="H62" s="66">
        <f t="shared" si="79"/>
        <v>1500</v>
      </c>
      <c r="I62" s="66">
        <f t="shared" si="80"/>
        <v>2000</v>
      </c>
      <c r="J62" s="154">
        <f t="shared" si="81"/>
        <v>3000000</v>
      </c>
      <c r="K62" s="66">
        <f t="shared" si="81"/>
        <v>1500</v>
      </c>
      <c r="L62" s="66">
        <f t="shared" si="82"/>
        <v>2000</v>
      </c>
      <c r="M62" s="154">
        <f t="shared" si="83"/>
        <v>3000000</v>
      </c>
      <c r="N62" s="66">
        <f t="shared" si="83"/>
        <v>1500</v>
      </c>
      <c r="O62" s="66">
        <f t="shared" si="84"/>
        <v>2000</v>
      </c>
      <c r="P62" s="154">
        <f t="shared" si="85"/>
        <v>3000000</v>
      </c>
      <c r="Q62" s="66">
        <f t="shared" si="85"/>
        <v>1500</v>
      </c>
      <c r="R62" s="66">
        <f t="shared" si="86"/>
        <v>2000</v>
      </c>
      <c r="S62" s="154">
        <f t="shared" si="87"/>
        <v>3000000</v>
      </c>
      <c r="T62" s="66">
        <f t="shared" si="87"/>
        <v>1500</v>
      </c>
      <c r="U62" s="66">
        <f t="shared" si="88"/>
        <v>2000</v>
      </c>
      <c r="V62" s="154">
        <f t="shared" si="89"/>
        <v>3000000</v>
      </c>
      <c r="W62" s="66">
        <f t="shared" si="89"/>
        <v>1500</v>
      </c>
      <c r="X62" s="66">
        <f t="shared" si="90"/>
        <v>2000</v>
      </c>
      <c r="Y62" s="154">
        <f t="shared" si="91"/>
        <v>3000000</v>
      </c>
      <c r="Z62" s="115"/>
      <c r="AA62" s="129">
        <f t="shared" si="96"/>
        <v>12000</v>
      </c>
      <c r="AB62" s="117">
        <f t="shared" si="97"/>
        <v>16000</v>
      </c>
      <c r="AC62" s="102">
        <f t="shared" si="98"/>
        <v>24000000</v>
      </c>
      <c r="AH62" s="34"/>
      <c r="AI62" s="34"/>
      <c r="AJ62" s="34"/>
      <c r="AK62" s="34"/>
      <c r="AL62" s="34"/>
    </row>
    <row r="63" spans="1:38" s="33" customFormat="1" ht="15" customHeight="1" thickBot="1" x14ac:dyDescent="0.3">
      <c r="A63" s="8"/>
      <c r="B63" s="68"/>
      <c r="C63" s="84"/>
      <c r="D63" s="128">
        <f t="shared" ref="D63" si="99">B63*C63</f>
        <v>0</v>
      </c>
      <c r="E63" s="66">
        <f t="shared" si="93"/>
        <v>0</v>
      </c>
      <c r="F63" s="66">
        <f t="shared" si="94"/>
        <v>0</v>
      </c>
      <c r="G63" s="154">
        <f t="shared" si="95"/>
        <v>0</v>
      </c>
      <c r="H63" s="66">
        <f t="shared" si="79"/>
        <v>0</v>
      </c>
      <c r="I63" s="66">
        <f t="shared" si="80"/>
        <v>0</v>
      </c>
      <c r="J63" s="154">
        <f t="shared" si="81"/>
        <v>0</v>
      </c>
      <c r="K63" s="66">
        <f t="shared" si="81"/>
        <v>0</v>
      </c>
      <c r="L63" s="66">
        <f t="shared" si="82"/>
        <v>0</v>
      </c>
      <c r="M63" s="154">
        <f t="shared" si="83"/>
        <v>0</v>
      </c>
      <c r="N63" s="66">
        <f t="shared" si="83"/>
        <v>0</v>
      </c>
      <c r="O63" s="66">
        <f t="shared" si="84"/>
        <v>0</v>
      </c>
      <c r="P63" s="154">
        <f t="shared" si="85"/>
        <v>0</v>
      </c>
      <c r="Q63" s="66">
        <f t="shared" si="85"/>
        <v>0</v>
      </c>
      <c r="R63" s="66">
        <f t="shared" si="86"/>
        <v>0</v>
      </c>
      <c r="S63" s="154">
        <f t="shared" si="87"/>
        <v>0</v>
      </c>
      <c r="T63" s="66">
        <f t="shared" si="87"/>
        <v>0</v>
      </c>
      <c r="U63" s="66">
        <f t="shared" si="88"/>
        <v>0</v>
      </c>
      <c r="V63" s="154">
        <f t="shared" si="89"/>
        <v>0</v>
      </c>
      <c r="W63" s="66">
        <f t="shared" si="89"/>
        <v>0</v>
      </c>
      <c r="X63" s="66">
        <f t="shared" si="90"/>
        <v>0</v>
      </c>
      <c r="Y63" s="154">
        <f t="shared" si="91"/>
        <v>0</v>
      </c>
      <c r="Z63" s="115"/>
      <c r="AA63" s="129">
        <f t="shared" ref="AA63" si="100">SUM(B63,E63,H63,K63,N63,Q63,T63,W63)</f>
        <v>0</v>
      </c>
      <c r="AB63" s="117">
        <f t="shared" ref="AB63" si="101">SUM(C63,F63,I63,L63,O63,R63,U63,X63)</f>
        <v>0</v>
      </c>
      <c r="AC63" s="102">
        <f t="shared" ref="AC63" si="102">SUM(D63,G63,J63,M63,P63,S63,V63,Y63)</f>
        <v>0</v>
      </c>
      <c r="AH63" s="34"/>
      <c r="AI63" s="34"/>
      <c r="AJ63" s="34"/>
      <c r="AK63" s="34"/>
      <c r="AL63" s="34"/>
    </row>
    <row r="64" spans="1:38" s="33" customFormat="1" ht="15" customHeight="1" x14ac:dyDescent="0.25">
      <c r="A64" s="9" t="str">
        <f>"Total "&amp;A56</f>
        <v>Total Outreach and Mobilization</v>
      </c>
      <c r="B64" s="69">
        <f t="shared" ref="B64:V64" si="103">SUM(B57:B63)</f>
        <v>3101500</v>
      </c>
      <c r="C64" s="168">
        <f t="shared" si="103"/>
        <v>2014</v>
      </c>
      <c r="D64" s="130">
        <f t="shared" si="103"/>
        <v>7900000</v>
      </c>
      <c r="E64" s="69">
        <f t="shared" si="103"/>
        <v>3101500</v>
      </c>
      <c r="F64" s="168">
        <f t="shared" si="103"/>
        <v>2014</v>
      </c>
      <c r="G64" s="130">
        <f t="shared" si="103"/>
        <v>7900000</v>
      </c>
      <c r="H64" s="69">
        <f t="shared" si="103"/>
        <v>3101500</v>
      </c>
      <c r="I64" s="168">
        <f t="shared" si="103"/>
        <v>2014</v>
      </c>
      <c r="J64" s="153">
        <f t="shared" si="103"/>
        <v>7900000</v>
      </c>
      <c r="K64" s="69">
        <f t="shared" si="103"/>
        <v>3101500</v>
      </c>
      <c r="L64" s="168">
        <f t="shared" si="103"/>
        <v>2014</v>
      </c>
      <c r="M64" s="153">
        <f t="shared" si="103"/>
        <v>7900000</v>
      </c>
      <c r="N64" s="69">
        <f t="shared" ref="N64:P64" si="104">SUM(N57:N63)</f>
        <v>3101500</v>
      </c>
      <c r="O64" s="168">
        <f t="shared" si="104"/>
        <v>2014</v>
      </c>
      <c r="P64" s="153">
        <f t="shared" si="104"/>
        <v>7900000</v>
      </c>
      <c r="Q64" s="69">
        <f t="shared" si="103"/>
        <v>3101500</v>
      </c>
      <c r="R64" s="168">
        <f t="shared" si="103"/>
        <v>2014</v>
      </c>
      <c r="S64" s="153">
        <f t="shared" si="103"/>
        <v>7900000</v>
      </c>
      <c r="T64" s="69">
        <f t="shared" si="103"/>
        <v>3101500</v>
      </c>
      <c r="U64" s="168">
        <f t="shared" si="103"/>
        <v>2014</v>
      </c>
      <c r="V64" s="153">
        <f t="shared" si="103"/>
        <v>7900000</v>
      </c>
      <c r="W64" s="69">
        <f t="shared" ref="W64:Y64" si="105">SUM(W57:W63)</f>
        <v>3101500</v>
      </c>
      <c r="X64" s="168">
        <f t="shared" si="105"/>
        <v>2014</v>
      </c>
      <c r="Y64" s="153">
        <f t="shared" si="105"/>
        <v>7900000</v>
      </c>
      <c r="Z64" s="123"/>
      <c r="AA64" s="69">
        <f>SUM(AA57:AA63)</f>
        <v>24812000</v>
      </c>
      <c r="AB64" s="168">
        <f>SUM(C64,F64,I64,L64,IF($J$7=5,O64,0))</f>
        <v>8056</v>
      </c>
      <c r="AC64" s="130">
        <f>SUM(AC57:AC63)</f>
        <v>63200000</v>
      </c>
      <c r="AH64" s="34"/>
      <c r="AI64" s="34"/>
      <c r="AJ64" s="34"/>
      <c r="AK64" s="34"/>
      <c r="AL64" s="34"/>
    </row>
    <row r="65" spans="1:38" s="33" customFormat="1" ht="7" customHeight="1" x14ac:dyDescent="0.25">
      <c r="A65" s="38"/>
      <c r="B65" s="58"/>
      <c r="C65" s="58"/>
      <c r="D65" s="58"/>
      <c r="E65" s="58"/>
      <c r="F65" s="58"/>
      <c r="G65" s="58"/>
      <c r="H65" s="58"/>
      <c r="I65" s="58"/>
      <c r="J65" s="157"/>
      <c r="K65" s="58"/>
      <c r="L65" s="58"/>
      <c r="M65" s="157"/>
      <c r="N65" s="58"/>
      <c r="O65" s="58"/>
      <c r="P65" s="157"/>
      <c r="Q65" s="58"/>
      <c r="R65" s="58"/>
      <c r="S65" s="157"/>
      <c r="T65" s="58"/>
      <c r="U65" s="58"/>
      <c r="V65" s="157"/>
      <c r="W65" s="58"/>
      <c r="X65" s="58"/>
      <c r="Y65" s="157"/>
      <c r="Z65" s="58"/>
      <c r="AA65" s="58"/>
      <c r="AB65" s="58"/>
      <c r="AC65" s="58"/>
      <c r="AH65" s="34"/>
      <c r="AI65" s="34"/>
      <c r="AJ65" s="34"/>
      <c r="AK65" s="34"/>
      <c r="AL65" s="34"/>
    </row>
    <row r="66" spans="1:38" s="33" customFormat="1" ht="15" customHeight="1" thickBot="1" x14ac:dyDescent="0.3">
      <c r="A66" s="44" t="str">
        <f>'Total '!B11</f>
        <v>Facilities and Infrastructure</v>
      </c>
      <c r="B66" s="65" t="str">
        <f>$B$11</f>
        <v>Cost</v>
      </c>
      <c r="C66" s="65" t="str">
        <f>$C$11</f>
        <v>Frequency</v>
      </c>
      <c r="D66" s="65" t="str">
        <f>$D$11</f>
        <v>Total</v>
      </c>
      <c r="E66" s="65" t="str">
        <f>$E$11</f>
        <v>Cost</v>
      </c>
      <c r="F66" s="65" t="str">
        <f>$F$11</f>
        <v>Frequency</v>
      </c>
      <c r="G66" s="65" t="str">
        <f>$G$11</f>
        <v>Total</v>
      </c>
      <c r="H66" s="65" t="str">
        <f>$H$11</f>
        <v>Cost</v>
      </c>
      <c r="I66" s="65" t="str">
        <f>$I$11</f>
        <v>Frequency</v>
      </c>
      <c r="J66" s="65" t="s">
        <v>39</v>
      </c>
      <c r="K66" s="65" t="str">
        <f>$K$11</f>
        <v>Cost</v>
      </c>
      <c r="L66" s="65" t="str">
        <f>$L$11</f>
        <v>Frequency</v>
      </c>
      <c r="M66" s="65" t="str">
        <f>M56</f>
        <v>Total</v>
      </c>
      <c r="N66" s="65" t="str">
        <f>$K$11</f>
        <v>Cost</v>
      </c>
      <c r="O66" s="65" t="str">
        <f>$L$11</f>
        <v>Frequency</v>
      </c>
      <c r="P66" s="65" t="str">
        <f>P56</f>
        <v>Total</v>
      </c>
      <c r="Q66" s="65" t="str">
        <f>$H$11</f>
        <v>Cost</v>
      </c>
      <c r="R66" s="65" t="str">
        <f>$I$11</f>
        <v>Frequency</v>
      </c>
      <c r="S66" s="65" t="str">
        <f>S56</f>
        <v>Total</v>
      </c>
      <c r="T66" s="65" t="str">
        <f>$K$11</f>
        <v>Cost</v>
      </c>
      <c r="U66" s="65" t="str">
        <f>$L$11</f>
        <v>Frequency</v>
      </c>
      <c r="V66" s="65" t="str">
        <f>V56</f>
        <v>Total</v>
      </c>
      <c r="W66" s="65" t="str">
        <f>$K$11</f>
        <v>Cost</v>
      </c>
      <c r="X66" s="65" t="str">
        <f>$L$11</f>
        <v>Frequency</v>
      </c>
      <c r="Y66" s="65" t="str">
        <f>Y56</f>
        <v>Total</v>
      </c>
      <c r="Z66" s="92"/>
      <c r="AA66" s="125" t="str">
        <f>$AA$11</f>
        <v>Cost</v>
      </c>
      <c r="AB66" s="126" t="str">
        <f>$AB$11</f>
        <v>Frequency</v>
      </c>
      <c r="AC66" s="127" t="str">
        <f>$AC$11</f>
        <v>Total</v>
      </c>
      <c r="AH66" s="34"/>
      <c r="AI66" s="34"/>
      <c r="AJ66" s="34"/>
      <c r="AK66" s="34"/>
      <c r="AL66" s="34"/>
    </row>
    <row r="67" spans="1:38" s="33" customFormat="1" ht="15" customHeight="1" x14ac:dyDescent="0.25">
      <c r="A67" s="8" t="str">
        <f>'Break Down Per Community'!B42</f>
        <v>Renovation and Construction</v>
      </c>
      <c r="B67" s="72">
        <f>'Break Down Per Community'!C42</f>
        <v>0</v>
      </c>
      <c r="C67" s="72">
        <f>'Break Down Per Community'!D42</f>
        <v>1</v>
      </c>
      <c r="D67" s="128">
        <f>B67*C67</f>
        <v>0</v>
      </c>
      <c r="E67" s="66">
        <f>B67</f>
        <v>0</v>
      </c>
      <c r="F67" s="66">
        <f t="shared" ref="F67:H72" si="106">C67</f>
        <v>1</v>
      </c>
      <c r="G67" s="154">
        <f t="shared" si="106"/>
        <v>0</v>
      </c>
      <c r="H67" s="66">
        <f t="shared" si="106"/>
        <v>0</v>
      </c>
      <c r="I67" s="66">
        <f t="shared" ref="I67:I72" si="107">F67</f>
        <v>1</v>
      </c>
      <c r="J67" s="154">
        <f t="shared" ref="J67:K72" si="108">G67</f>
        <v>0</v>
      </c>
      <c r="K67" s="66">
        <f t="shared" si="108"/>
        <v>0</v>
      </c>
      <c r="L67" s="66">
        <f t="shared" ref="L67:L72" si="109">I67</f>
        <v>1</v>
      </c>
      <c r="M67" s="154">
        <f t="shared" ref="M67:N72" si="110">J67</f>
        <v>0</v>
      </c>
      <c r="N67" s="66">
        <f t="shared" si="110"/>
        <v>0</v>
      </c>
      <c r="O67" s="66">
        <f t="shared" ref="O67:O72" si="111">L67</f>
        <v>1</v>
      </c>
      <c r="P67" s="154">
        <f t="shared" ref="P67:Q72" si="112">M67</f>
        <v>0</v>
      </c>
      <c r="Q67" s="66">
        <f t="shared" si="112"/>
        <v>0</v>
      </c>
      <c r="R67" s="66">
        <f t="shared" ref="R67:R72" si="113">O67</f>
        <v>1</v>
      </c>
      <c r="S67" s="154">
        <f t="shared" ref="S67:T72" si="114">P67</f>
        <v>0</v>
      </c>
      <c r="T67" s="66">
        <f t="shared" si="114"/>
        <v>0</v>
      </c>
      <c r="U67" s="66">
        <f t="shared" ref="U67:U72" si="115">R67</f>
        <v>1</v>
      </c>
      <c r="V67" s="154">
        <f t="shared" ref="V67:W72" si="116">S67</f>
        <v>0</v>
      </c>
      <c r="W67" s="66">
        <f t="shared" si="116"/>
        <v>0</v>
      </c>
      <c r="X67" s="66">
        <f t="shared" ref="X67:X72" si="117">U67</f>
        <v>1</v>
      </c>
      <c r="Y67" s="154">
        <f t="shared" ref="Y67:Y72" si="118">V67</f>
        <v>0</v>
      </c>
      <c r="Z67" s="115"/>
      <c r="AA67" s="129">
        <f>SUM(B67,E67,H67,K67,N67,Q67,T67,W67)</f>
        <v>0</v>
      </c>
      <c r="AB67" s="117">
        <f>SUM(C67,F67,I67,L67,O67,R67,U67,X67)</f>
        <v>8</v>
      </c>
      <c r="AC67" s="102">
        <f>SUM(D67,G67,J67,M67,P67,S67,V67,Y67)</f>
        <v>0</v>
      </c>
      <c r="AH67" s="34"/>
      <c r="AI67" s="34"/>
      <c r="AJ67" s="34"/>
      <c r="AK67" s="34"/>
      <c r="AL67" s="34"/>
    </row>
    <row r="68" spans="1:38" s="33" customFormat="1" ht="15" customHeight="1" x14ac:dyDescent="0.25">
      <c r="A68" s="8" t="str">
        <f>'Break Down Per Community'!B43</f>
        <v>Furnitures and Fittings</v>
      </c>
      <c r="B68" s="72">
        <f>'Break Down Per Community'!C43</f>
        <v>120000</v>
      </c>
      <c r="C68" s="72">
        <f>'Break Down Per Community'!D43</f>
        <v>2</v>
      </c>
      <c r="D68" s="128">
        <f t="shared" ref="D68:D72" si="119">B68*C68</f>
        <v>240000</v>
      </c>
      <c r="E68" s="66">
        <f t="shared" ref="E68:E72" si="120">B68</f>
        <v>120000</v>
      </c>
      <c r="F68" s="66">
        <f t="shared" ref="F68:F72" si="121">C68</f>
        <v>2</v>
      </c>
      <c r="G68" s="154">
        <f t="shared" ref="G68:G72" si="122">D68</f>
        <v>240000</v>
      </c>
      <c r="H68" s="66">
        <f t="shared" si="106"/>
        <v>120000</v>
      </c>
      <c r="I68" s="66">
        <f t="shared" si="107"/>
        <v>2</v>
      </c>
      <c r="J68" s="154">
        <f t="shared" si="108"/>
        <v>240000</v>
      </c>
      <c r="K68" s="66">
        <f t="shared" si="108"/>
        <v>120000</v>
      </c>
      <c r="L68" s="66">
        <f t="shared" si="109"/>
        <v>2</v>
      </c>
      <c r="M68" s="154">
        <f t="shared" si="110"/>
        <v>240000</v>
      </c>
      <c r="N68" s="66">
        <f t="shared" si="110"/>
        <v>120000</v>
      </c>
      <c r="O68" s="66">
        <f t="shared" si="111"/>
        <v>2</v>
      </c>
      <c r="P68" s="154">
        <f t="shared" si="112"/>
        <v>240000</v>
      </c>
      <c r="Q68" s="66">
        <f t="shared" si="112"/>
        <v>120000</v>
      </c>
      <c r="R68" s="66">
        <f t="shared" si="113"/>
        <v>2</v>
      </c>
      <c r="S68" s="154">
        <f t="shared" si="114"/>
        <v>240000</v>
      </c>
      <c r="T68" s="66">
        <f t="shared" si="114"/>
        <v>120000</v>
      </c>
      <c r="U68" s="66">
        <f t="shared" si="115"/>
        <v>2</v>
      </c>
      <c r="V68" s="154">
        <f t="shared" si="116"/>
        <v>240000</v>
      </c>
      <c r="W68" s="66">
        <f t="shared" si="116"/>
        <v>120000</v>
      </c>
      <c r="X68" s="66">
        <f t="shared" si="117"/>
        <v>2</v>
      </c>
      <c r="Y68" s="154">
        <f t="shared" si="118"/>
        <v>240000</v>
      </c>
      <c r="Z68" s="115"/>
      <c r="AA68" s="129">
        <f t="shared" ref="AA68:AA72" si="123">SUM(B68,E68,H68,K68,N68,Q68,T68,W68)</f>
        <v>960000</v>
      </c>
      <c r="AB68" s="117">
        <f t="shared" ref="AB68:AB72" si="124">SUM(C68,F68,I68,L68,O68,R68,U68,X68)</f>
        <v>16</v>
      </c>
      <c r="AC68" s="102">
        <f t="shared" ref="AC68:AC72" si="125">SUM(D68,G68,J68,M68,P68,S68,V68,Y68)</f>
        <v>1920000</v>
      </c>
      <c r="AH68" s="34"/>
      <c r="AI68" s="34"/>
      <c r="AJ68" s="34"/>
      <c r="AK68" s="34"/>
      <c r="AL68" s="34"/>
    </row>
    <row r="69" spans="1:38" s="33" customFormat="1" ht="15" customHeight="1" x14ac:dyDescent="0.25">
      <c r="A69" s="8"/>
      <c r="B69" s="67"/>
      <c r="C69" s="81"/>
      <c r="D69" s="128">
        <f t="shared" si="119"/>
        <v>0</v>
      </c>
      <c r="E69" s="66">
        <f t="shared" si="120"/>
        <v>0</v>
      </c>
      <c r="F69" s="66">
        <f t="shared" si="121"/>
        <v>0</v>
      </c>
      <c r="G69" s="154">
        <f t="shared" si="122"/>
        <v>0</v>
      </c>
      <c r="H69" s="66">
        <f t="shared" si="106"/>
        <v>0</v>
      </c>
      <c r="I69" s="66">
        <f t="shared" si="107"/>
        <v>0</v>
      </c>
      <c r="J69" s="154">
        <f t="shared" si="108"/>
        <v>0</v>
      </c>
      <c r="K69" s="66">
        <f t="shared" si="108"/>
        <v>0</v>
      </c>
      <c r="L69" s="66">
        <f t="shared" si="109"/>
        <v>0</v>
      </c>
      <c r="M69" s="154">
        <f t="shared" si="110"/>
        <v>0</v>
      </c>
      <c r="N69" s="66">
        <f t="shared" si="110"/>
        <v>0</v>
      </c>
      <c r="O69" s="66">
        <f t="shared" si="111"/>
        <v>0</v>
      </c>
      <c r="P69" s="154">
        <f t="shared" si="112"/>
        <v>0</v>
      </c>
      <c r="Q69" s="66">
        <f t="shared" si="112"/>
        <v>0</v>
      </c>
      <c r="R69" s="66">
        <f t="shared" si="113"/>
        <v>0</v>
      </c>
      <c r="S69" s="154">
        <f t="shared" si="114"/>
        <v>0</v>
      </c>
      <c r="T69" s="66">
        <f t="shared" si="114"/>
        <v>0</v>
      </c>
      <c r="U69" s="66">
        <f t="shared" si="115"/>
        <v>0</v>
      </c>
      <c r="V69" s="154">
        <f t="shared" si="116"/>
        <v>0</v>
      </c>
      <c r="W69" s="66">
        <f t="shared" si="116"/>
        <v>0</v>
      </c>
      <c r="X69" s="66">
        <f t="shared" si="117"/>
        <v>0</v>
      </c>
      <c r="Y69" s="154">
        <f t="shared" si="118"/>
        <v>0</v>
      </c>
      <c r="Z69" s="115"/>
      <c r="AA69" s="129">
        <f t="shared" si="123"/>
        <v>0</v>
      </c>
      <c r="AB69" s="117">
        <f t="shared" si="124"/>
        <v>0</v>
      </c>
      <c r="AC69" s="102">
        <f t="shared" si="125"/>
        <v>0</v>
      </c>
      <c r="AH69" s="34"/>
      <c r="AI69" s="34"/>
      <c r="AJ69" s="34"/>
      <c r="AK69" s="34"/>
      <c r="AL69" s="34"/>
    </row>
    <row r="70" spans="1:38" s="33" customFormat="1" ht="15" customHeight="1" x14ac:dyDescent="0.25">
      <c r="A70" s="8"/>
      <c r="B70" s="67"/>
      <c r="C70" s="81"/>
      <c r="D70" s="128">
        <f t="shared" si="119"/>
        <v>0</v>
      </c>
      <c r="E70" s="66">
        <f t="shared" si="120"/>
        <v>0</v>
      </c>
      <c r="F70" s="66">
        <f t="shared" si="121"/>
        <v>0</v>
      </c>
      <c r="G70" s="154">
        <f t="shared" si="122"/>
        <v>0</v>
      </c>
      <c r="H70" s="66">
        <f t="shared" si="106"/>
        <v>0</v>
      </c>
      <c r="I70" s="66">
        <f t="shared" si="107"/>
        <v>0</v>
      </c>
      <c r="J70" s="154">
        <f t="shared" si="108"/>
        <v>0</v>
      </c>
      <c r="K70" s="66">
        <f t="shared" si="108"/>
        <v>0</v>
      </c>
      <c r="L70" s="66">
        <f t="shared" si="109"/>
        <v>0</v>
      </c>
      <c r="M70" s="154">
        <f t="shared" si="110"/>
        <v>0</v>
      </c>
      <c r="N70" s="66">
        <f t="shared" si="110"/>
        <v>0</v>
      </c>
      <c r="O70" s="66">
        <f t="shared" si="111"/>
        <v>0</v>
      </c>
      <c r="P70" s="154">
        <f t="shared" si="112"/>
        <v>0</v>
      </c>
      <c r="Q70" s="66">
        <f t="shared" si="112"/>
        <v>0</v>
      </c>
      <c r="R70" s="66">
        <f t="shared" si="113"/>
        <v>0</v>
      </c>
      <c r="S70" s="154">
        <f t="shared" si="114"/>
        <v>0</v>
      </c>
      <c r="T70" s="66">
        <f t="shared" si="114"/>
        <v>0</v>
      </c>
      <c r="U70" s="66">
        <f t="shared" si="115"/>
        <v>0</v>
      </c>
      <c r="V70" s="154">
        <f t="shared" si="116"/>
        <v>0</v>
      </c>
      <c r="W70" s="66">
        <f t="shared" si="116"/>
        <v>0</v>
      </c>
      <c r="X70" s="66">
        <f t="shared" si="117"/>
        <v>0</v>
      </c>
      <c r="Y70" s="154">
        <f t="shared" si="118"/>
        <v>0</v>
      </c>
      <c r="Z70" s="115"/>
      <c r="AA70" s="129">
        <f t="shared" si="123"/>
        <v>0</v>
      </c>
      <c r="AB70" s="117">
        <f t="shared" si="124"/>
        <v>0</v>
      </c>
      <c r="AC70" s="102">
        <f t="shared" si="125"/>
        <v>0</v>
      </c>
      <c r="AH70" s="34"/>
      <c r="AI70" s="34"/>
      <c r="AJ70" s="34"/>
      <c r="AK70" s="34"/>
      <c r="AL70" s="34"/>
    </row>
    <row r="71" spans="1:38" s="33" customFormat="1" ht="15" customHeight="1" x14ac:dyDescent="0.25">
      <c r="A71" s="8"/>
      <c r="B71" s="67"/>
      <c r="C71" s="81"/>
      <c r="D71" s="128">
        <f t="shared" si="119"/>
        <v>0</v>
      </c>
      <c r="E71" s="66">
        <f t="shared" si="120"/>
        <v>0</v>
      </c>
      <c r="F71" s="66">
        <f t="shared" si="121"/>
        <v>0</v>
      </c>
      <c r="G71" s="154">
        <f t="shared" si="122"/>
        <v>0</v>
      </c>
      <c r="H71" s="66">
        <f t="shared" si="106"/>
        <v>0</v>
      </c>
      <c r="I71" s="66">
        <f t="shared" si="107"/>
        <v>0</v>
      </c>
      <c r="J71" s="154">
        <f t="shared" si="108"/>
        <v>0</v>
      </c>
      <c r="K71" s="66">
        <f t="shared" si="108"/>
        <v>0</v>
      </c>
      <c r="L71" s="66">
        <f t="shared" si="109"/>
        <v>0</v>
      </c>
      <c r="M71" s="154">
        <f t="shared" si="110"/>
        <v>0</v>
      </c>
      <c r="N71" s="66">
        <f t="shared" si="110"/>
        <v>0</v>
      </c>
      <c r="O71" s="66">
        <f t="shared" si="111"/>
        <v>0</v>
      </c>
      <c r="P71" s="154">
        <f t="shared" si="112"/>
        <v>0</v>
      </c>
      <c r="Q71" s="66">
        <f t="shared" si="112"/>
        <v>0</v>
      </c>
      <c r="R71" s="66">
        <f t="shared" si="113"/>
        <v>0</v>
      </c>
      <c r="S71" s="154">
        <f t="shared" si="114"/>
        <v>0</v>
      </c>
      <c r="T71" s="66">
        <f t="shared" si="114"/>
        <v>0</v>
      </c>
      <c r="U71" s="66">
        <f t="shared" si="115"/>
        <v>0</v>
      </c>
      <c r="V71" s="154">
        <f t="shared" si="116"/>
        <v>0</v>
      </c>
      <c r="W71" s="66">
        <f t="shared" si="116"/>
        <v>0</v>
      </c>
      <c r="X71" s="66">
        <f t="shared" si="117"/>
        <v>0</v>
      </c>
      <c r="Y71" s="154">
        <f t="shared" si="118"/>
        <v>0</v>
      </c>
      <c r="Z71" s="115"/>
      <c r="AA71" s="129">
        <f t="shared" si="123"/>
        <v>0</v>
      </c>
      <c r="AB71" s="117">
        <f t="shared" si="124"/>
        <v>0</v>
      </c>
      <c r="AC71" s="102">
        <f t="shared" si="125"/>
        <v>0</v>
      </c>
      <c r="AH71" s="34"/>
      <c r="AI71" s="34"/>
      <c r="AJ71" s="34"/>
      <c r="AK71" s="34"/>
      <c r="AL71" s="34"/>
    </row>
    <row r="72" spans="1:38" s="33" customFormat="1" ht="15" customHeight="1" thickBot="1" x14ac:dyDescent="0.3">
      <c r="A72" s="8"/>
      <c r="B72" s="68"/>
      <c r="C72" s="84"/>
      <c r="D72" s="128">
        <f t="shared" si="119"/>
        <v>0</v>
      </c>
      <c r="E72" s="66">
        <f t="shared" si="120"/>
        <v>0</v>
      </c>
      <c r="F72" s="66">
        <f t="shared" si="121"/>
        <v>0</v>
      </c>
      <c r="G72" s="154">
        <f t="shared" si="122"/>
        <v>0</v>
      </c>
      <c r="H72" s="66">
        <f t="shared" si="106"/>
        <v>0</v>
      </c>
      <c r="I72" s="66">
        <f t="shared" si="107"/>
        <v>0</v>
      </c>
      <c r="J72" s="154">
        <f t="shared" si="108"/>
        <v>0</v>
      </c>
      <c r="K72" s="66">
        <f t="shared" si="108"/>
        <v>0</v>
      </c>
      <c r="L72" s="66">
        <f t="shared" si="109"/>
        <v>0</v>
      </c>
      <c r="M72" s="154">
        <f t="shared" si="110"/>
        <v>0</v>
      </c>
      <c r="N72" s="66">
        <f t="shared" si="110"/>
        <v>0</v>
      </c>
      <c r="O72" s="66">
        <f t="shared" si="111"/>
        <v>0</v>
      </c>
      <c r="P72" s="154">
        <f t="shared" si="112"/>
        <v>0</v>
      </c>
      <c r="Q72" s="66">
        <f t="shared" si="112"/>
        <v>0</v>
      </c>
      <c r="R72" s="66">
        <f t="shared" si="113"/>
        <v>0</v>
      </c>
      <c r="S72" s="154">
        <f t="shared" si="114"/>
        <v>0</v>
      </c>
      <c r="T72" s="66">
        <f t="shared" si="114"/>
        <v>0</v>
      </c>
      <c r="U72" s="66">
        <f t="shared" si="115"/>
        <v>0</v>
      </c>
      <c r="V72" s="154">
        <f t="shared" si="116"/>
        <v>0</v>
      </c>
      <c r="W72" s="66">
        <f t="shared" si="116"/>
        <v>0</v>
      </c>
      <c r="X72" s="66">
        <f t="shared" si="117"/>
        <v>0</v>
      </c>
      <c r="Y72" s="154">
        <f t="shared" si="118"/>
        <v>0</v>
      </c>
      <c r="Z72" s="115"/>
      <c r="AA72" s="129">
        <f t="shared" si="123"/>
        <v>0</v>
      </c>
      <c r="AB72" s="117">
        <f t="shared" si="124"/>
        <v>0</v>
      </c>
      <c r="AC72" s="102">
        <f t="shared" si="125"/>
        <v>0</v>
      </c>
      <c r="AH72" s="34"/>
      <c r="AI72" s="34"/>
      <c r="AJ72" s="34"/>
      <c r="AK72" s="34"/>
      <c r="AL72" s="34"/>
    </row>
    <row r="73" spans="1:38" s="33" customFormat="1" ht="15" customHeight="1" x14ac:dyDescent="0.25">
      <c r="A73" s="9" t="str">
        <f>"Total "&amp;A66</f>
        <v>Total Facilities and Infrastructure</v>
      </c>
      <c r="B73" s="69">
        <f t="shared" ref="B73:V73" si="126">SUM(B67:B72)</f>
        <v>120000</v>
      </c>
      <c r="C73" s="168">
        <f t="shared" si="126"/>
        <v>3</v>
      </c>
      <c r="D73" s="130">
        <f t="shared" si="126"/>
        <v>240000</v>
      </c>
      <c r="E73" s="69">
        <f t="shared" si="126"/>
        <v>120000</v>
      </c>
      <c r="F73" s="168">
        <f t="shared" si="126"/>
        <v>3</v>
      </c>
      <c r="G73" s="153">
        <f t="shared" si="126"/>
        <v>240000</v>
      </c>
      <c r="H73" s="69">
        <f t="shared" si="126"/>
        <v>120000</v>
      </c>
      <c r="I73" s="168">
        <f t="shared" si="126"/>
        <v>3</v>
      </c>
      <c r="J73" s="153">
        <f t="shared" si="126"/>
        <v>240000</v>
      </c>
      <c r="K73" s="69">
        <f t="shared" si="126"/>
        <v>120000</v>
      </c>
      <c r="L73" s="168">
        <f t="shared" si="126"/>
        <v>3</v>
      </c>
      <c r="M73" s="153">
        <f t="shared" si="126"/>
        <v>240000</v>
      </c>
      <c r="N73" s="69">
        <f t="shared" ref="N73:P73" si="127">SUM(N67:N72)</f>
        <v>120000</v>
      </c>
      <c r="O73" s="168">
        <f t="shared" si="127"/>
        <v>3</v>
      </c>
      <c r="P73" s="153">
        <f t="shared" si="127"/>
        <v>240000</v>
      </c>
      <c r="Q73" s="69">
        <f t="shared" si="126"/>
        <v>120000</v>
      </c>
      <c r="R73" s="168">
        <f t="shared" si="126"/>
        <v>3</v>
      </c>
      <c r="S73" s="153">
        <f t="shared" si="126"/>
        <v>240000</v>
      </c>
      <c r="T73" s="69">
        <f t="shared" si="126"/>
        <v>120000</v>
      </c>
      <c r="U73" s="168">
        <f t="shared" si="126"/>
        <v>3</v>
      </c>
      <c r="V73" s="153">
        <f t="shared" si="126"/>
        <v>240000</v>
      </c>
      <c r="W73" s="69">
        <f t="shared" ref="W73:Y73" si="128">SUM(W67:W72)</f>
        <v>120000</v>
      </c>
      <c r="X73" s="168">
        <f t="shared" si="128"/>
        <v>3</v>
      </c>
      <c r="Y73" s="153">
        <f t="shared" si="128"/>
        <v>240000</v>
      </c>
      <c r="Z73" s="123"/>
      <c r="AA73" s="69">
        <f>SUM(AA67:AA72)</f>
        <v>960000</v>
      </c>
      <c r="AB73" s="168">
        <f>SUM(C73,F73,I73,L73,IF($J$7=5,O73,0))</f>
        <v>12</v>
      </c>
      <c r="AC73" s="130">
        <f>SUM(AC67:AC72)</f>
        <v>1920000</v>
      </c>
      <c r="AH73" s="34"/>
      <c r="AI73" s="34"/>
      <c r="AJ73" s="34"/>
      <c r="AK73" s="34"/>
      <c r="AL73" s="34"/>
    </row>
    <row r="74" spans="1:38" s="33" customFormat="1" ht="7" customHeight="1" x14ac:dyDescent="0.25">
      <c r="A74" s="47"/>
      <c r="B74" s="73"/>
      <c r="C74" s="73"/>
      <c r="D74" s="73"/>
      <c r="E74" s="73"/>
      <c r="F74" s="73"/>
      <c r="G74" s="156"/>
      <c r="H74" s="73"/>
      <c r="I74" s="73"/>
      <c r="J74" s="156"/>
      <c r="K74" s="73"/>
      <c r="L74" s="73"/>
      <c r="M74" s="156"/>
      <c r="N74" s="73"/>
      <c r="O74" s="73"/>
      <c r="P74" s="156"/>
      <c r="Q74" s="73"/>
      <c r="R74" s="73"/>
      <c r="S74" s="156"/>
      <c r="T74" s="73"/>
      <c r="U74" s="73"/>
      <c r="V74" s="156"/>
      <c r="W74" s="73"/>
      <c r="X74" s="73"/>
      <c r="Y74" s="156"/>
      <c r="Z74" s="131"/>
      <c r="AA74" s="73"/>
      <c r="AB74" s="73"/>
      <c r="AC74" s="73"/>
      <c r="AH74" s="34"/>
      <c r="AI74" s="34"/>
      <c r="AJ74" s="34"/>
      <c r="AK74" s="34"/>
      <c r="AL74" s="34"/>
    </row>
    <row r="75" spans="1:38" s="33" customFormat="1" ht="15" customHeight="1" thickBot="1" x14ac:dyDescent="0.3">
      <c r="A75" s="44" t="str">
        <f>'Total '!B12</f>
        <v>Monitoring and Evaluation</v>
      </c>
      <c r="B75" s="65" t="str">
        <f>$B$11</f>
        <v>Cost</v>
      </c>
      <c r="C75" s="65" t="str">
        <f>$C$11</f>
        <v>Frequency</v>
      </c>
      <c r="D75" s="65" t="str">
        <f>$D$11</f>
        <v>Total</v>
      </c>
      <c r="E75" s="65" t="str">
        <f>$E$11</f>
        <v>Cost</v>
      </c>
      <c r="F75" s="65" t="str">
        <f>$F$11</f>
        <v>Frequency</v>
      </c>
      <c r="G75" s="65" t="str">
        <f>G66</f>
        <v>Total</v>
      </c>
      <c r="H75" s="65" t="str">
        <f>$H$11</f>
        <v>Cost</v>
      </c>
      <c r="I75" s="65" t="str">
        <f>$I$11</f>
        <v>Frequency</v>
      </c>
      <c r="J75" s="65" t="str">
        <f>J66</f>
        <v>Total</v>
      </c>
      <c r="K75" s="65" t="str">
        <f>$K$11</f>
        <v>Cost</v>
      </c>
      <c r="L75" s="65" t="str">
        <f>$L$11</f>
        <v>Frequency</v>
      </c>
      <c r="M75" s="65" t="str">
        <f>M66</f>
        <v>Total</v>
      </c>
      <c r="N75" s="65" t="str">
        <f>$K$11</f>
        <v>Cost</v>
      </c>
      <c r="O75" s="65" t="str">
        <f>$L$11</f>
        <v>Frequency</v>
      </c>
      <c r="P75" s="65" t="str">
        <f>P66</f>
        <v>Total</v>
      </c>
      <c r="Q75" s="65" t="str">
        <f>$H$11</f>
        <v>Cost</v>
      </c>
      <c r="R75" s="65" t="str">
        <f>$I$11</f>
        <v>Frequency</v>
      </c>
      <c r="S75" s="65" t="str">
        <f>S66</f>
        <v>Total</v>
      </c>
      <c r="T75" s="65" t="str">
        <f>$K$11</f>
        <v>Cost</v>
      </c>
      <c r="U75" s="65" t="str">
        <f>$L$11</f>
        <v>Frequency</v>
      </c>
      <c r="V75" s="65" t="str">
        <f>V66</f>
        <v>Total</v>
      </c>
      <c r="W75" s="65" t="str">
        <f>$K$11</f>
        <v>Cost</v>
      </c>
      <c r="X75" s="65" t="str">
        <f>$L$11</f>
        <v>Frequency</v>
      </c>
      <c r="Y75" s="65" t="str">
        <f>Y66</f>
        <v>Total</v>
      </c>
      <c r="Z75" s="92"/>
      <c r="AA75" s="125" t="str">
        <f>$AA$11</f>
        <v>Cost</v>
      </c>
      <c r="AB75" s="126" t="str">
        <f>$AB$11</f>
        <v>Frequency</v>
      </c>
      <c r="AC75" s="127" t="str">
        <f>$AC$11</f>
        <v>Total</v>
      </c>
      <c r="AH75" s="34"/>
      <c r="AI75" s="34"/>
      <c r="AJ75" s="34"/>
      <c r="AK75" s="34"/>
      <c r="AL75" s="34"/>
    </row>
    <row r="76" spans="1:38" s="33" customFormat="1" ht="15" customHeight="1" x14ac:dyDescent="0.25">
      <c r="A76" s="8" t="str">
        <f>'Break Down Per Community'!G3</f>
        <v>Data Collection and Analysis</v>
      </c>
      <c r="B76" s="72">
        <f>'Break Down Per Community'!H3</f>
        <v>0</v>
      </c>
      <c r="C76" s="72">
        <f>'Break Down Per Community'!I3</f>
        <v>1</v>
      </c>
      <c r="D76" s="128">
        <f>B76*C76</f>
        <v>0</v>
      </c>
      <c r="E76" s="66">
        <f>B76</f>
        <v>0</v>
      </c>
      <c r="F76" s="66">
        <f t="shared" ref="F76:H83" si="129">C76</f>
        <v>1</v>
      </c>
      <c r="G76" s="154">
        <f t="shared" si="129"/>
        <v>0</v>
      </c>
      <c r="H76" s="66">
        <f t="shared" si="129"/>
        <v>0</v>
      </c>
      <c r="I76" s="66">
        <f t="shared" ref="I76:I83" si="130">F76</f>
        <v>1</v>
      </c>
      <c r="J76" s="154">
        <f t="shared" ref="J76:K83" si="131">G76</f>
        <v>0</v>
      </c>
      <c r="K76" s="66">
        <f t="shared" si="131"/>
        <v>0</v>
      </c>
      <c r="L76" s="66">
        <f t="shared" ref="L76:L83" si="132">I76</f>
        <v>1</v>
      </c>
      <c r="M76" s="154">
        <f t="shared" ref="M76:N83" si="133">J76</f>
        <v>0</v>
      </c>
      <c r="N76" s="66">
        <f t="shared" si="133"/>
        <v>0</v>
      </c>
      <c r="O76" s="66">
        <f t="shared" ref="O76:O83" si="134">L76</f>
        <v>1</v>
      </c>
      <c r="P76" s="154">
        <f t="shared" ref="P76:Q83" si="135">M76</f>
        <v>0</v>
      </c>
      <c r="Q76" s="66">
        <f t="shared" si="135"/>
        <v>0</v>
      </c>
      <c r="R76" s="66">
        <f t="shared" ref="R76:R83" si="136">O76</f>
        <v>1</v>
      </c>
      <c r="S76" s="154">
        <f t="shared" ref="S76:T83" si="137">P76</f>
        <v>0</v>
      </c>
      <c r="T76" s="66">
        <f t="shared" si="137"/>
        <v>0</v>
      </c>
      <c r="U76" s="66">
        <f t="shared" ref="U76:U83" si="138">R76</f>
        <v>1</v>
      </c>
      <c r="V76" s="154">
        <f t="shared" ref="V76:W83" si="139">S76</f>
        <v>0</v>
      </c>
      <c r="W76" s="66">
        <f t="shared" si="139"/>
        <v>0</v>
      </c>
      <c r="X76" s="66">
        <f t="shared" ref="X76:X83" si="140">U76</f>
        <v>1</v>
      </c>
      <c r="Y76" s="154">
        <f t="shared" ref="Y76:Y83" si="141">V76</f>
        <v>0</v>
      </c>
      <c r="Z76" s="115"/>
      <c r="AA76" s="129">
        <f>SUM(B76,E76,H76,K76,N76,Q76,T76,W76)</f>
        <v>0</v>
      </c>
      <c r="AB76" s="117">
        <f>SUM(C76,F76,I76,L76,O76,R76,U76,X76)</f>
        <v>8</v>
      </c>
      <c r="AC76" s="102">
        <f>SUM(D76,G76,J76,M76,P76,S76,V76,Y76)</f>
        <v>0</v>
      </c>
      <c r="AH76" s="34"/>
      <c r="AI76" s="34"/>
      <c r="AJ76" s="34"/>
      <c r="AK76" s="34"/>
      <c r="AL76" s="34"/>
    </row>
    <row r="77" spans="1:38" s="33" customFormat="1" ht="15" customHeight="1" x14ac:dyDescent="0.25">
      <c r="A77" s="8" t="str">
        <f>'Break Down Per Community'!G4</f>
        <v>Evaluation Studies</v>
      </c>
      <c r="B77" s="72">
        <f>'Break Down Per Community'!H4</f>
        <v>0</v>
      </c>
      <c r="C77" s="72">
        <f>'Break Down Per Community'!I4</f>
        <v>1</v>
      </c>
      <c r="D77" s="128">
        <f t="shared" ref="D77:D83" si="142">B77*C77</f>
        <v>0</v>
      </c>
      <c r="E77" s="66">
        <f t="shared" ref="E77:E83" si="143">B77</f>
        <v>0</v>
      </c>
      <c r="F77" s="66">
        <f t="shared" ref="F77:F83" si="144">C77</f>
        <v>1</v>
      </c>
      <c r="G77" s="154">
        <f t="shared" ref="G77:G83" si="145">D77</f>
        <v>0</v>
      </c>
      <c r="H77" s="66">
        <f t="shared" si="129"/>
        <v>0</v>
      </c>
      <c r="I77" s="66">
        <f t="shared" si="130"/>
        <v>1</v>
      </c>
      <c r="J77" s="154">
        <f t="shared" si="131"/>
        <v>0</v>
      </c>
      <c r="K77" s="66">
        <f t="shared" si="131"/>
        <v>0</v>
      </c>
      <c r="L77" s="66">
        <f t="shared" si="132"/>
        <v>1</v>
      </c>
      <c r="M77" s="154">
        <f t="shared" si="133"/>
        <v>0</v>
      </c>
      <c r="N77" s="66">
        <f t="shared" si="133"/>
        <v>0</v>
      </c>
      <c r="O77" s="66">
        <f t="shared" si="134"/>
        <v>1</v>
      </c>
      <c r="P77" s="154">
        <f t="shared" si="135"/>
        <v>0</v>
      </c>
      <c r="Q77" s="66">
        <f t="shared" si="135"/>
        <v>0</v>
      </c>
      <c r="R77" s="66">
        <f t="shared" si="136"/>
        <v>1</v>
      </c>
      <c r="S77" s="154">
        <f t="shared" si="137"/>
        <v>0</v>
      </c>
      <c r="T77" s="66">
        <f t="shared" si="137"/>
        <v>0</v>
      </c>
      <c r="U77" s="66">
        <f t="shared" si="138"/>
        <v>1</v>
      </c>
      <c r="V77" s="154">
        <f t="shared" si="139"/>
        <v>0</v>
      </c>
      <c r="W77" s="66">
        <f t="shared" si="139"/>
        <v>0</v>
      </c>
      <c r="X77" s="66">
        <f t="shared" si="140"/>
        <v>1</v>
      </c>
      <c r="Y77" s="154">
        <f t="shared" si="141"/>
        <v>0</v>
      </c>
      <c r="Z77" s="115"/>
      <c r="AA77" s="129">
        <f t="shared" ref="AA77:AA83" si="146">SUM(B77,E77,H77,K77,N77,Q77,T77,W77)</f>
        <v>0</v>
      </c>
      <c r="AB77" s="117">
        <f t="shared" ref="AB77:AB83" si="147">SUM(C77,F77,I77,L77,O77,R77,U77,X77)</f>
        <v>8</v>
      </c>
      <c r="AC77" s="102">
        <f t="shared" ref="AC77:AC83" si="148">SUM(D77,G77,J77,M77,P77,S77,V77,Y77)</f>
        <v>0</v>
      </c>
      <c r="AH77" s="34"/>
      <c r="AI77" s="34"/>
      <c r="AJ77" s="34"/>
      <c r="AK77" s="34"/>
      <c r="AL77" s="34"/>
    </row>
    <row r="78" spans="1:38" s="33" customFormat="1" ht="15" customHeight="1" x14ac:dyDescent="0.25">
      <c r="A78" s="8" t="str">
        <f>'Break Down Per Community'!G5</f>
        <v>IT Infrastructure and Data Management</v>
      </c>
      <c r="B78" s="72">
        <f>'Break Down Per Community'!H5</f>
        <v>0</v>
      </c>
      <c r="C78" s="72">
        <f>'Break Down Per Community'!I5</f>
        <v>1</v>
      </c>
      <c r="D78" s="128">
        <f t="shared" si="142"/>
        <v>0</v>
      </c>
      <c r="E78" s="66">
        <f t="shared" si="143"/>
        <v>0</v>
      </c>
      <c r="F78" s="66">
        <f t="shared" si="144"/>
        <v>1</v>
      </c>
      <c r="G78" s="154">
        <f t="shared" si="145"/>
        <v>0</v>
      </c>
      <c r="H78" s="66">
        <f t="shared" si="129"/>
        <v>0</v>
      </c>
      <c r="I78" s="66">
        <f t="shared" si="130"/>
        <v>1</v>
      </c>
      <c r="J78" s="154">
        <f t="shared" si="131"/>
        <v>0</v>
      </c>
      <c r="K78" s="66">
        <f t="shared" si="131"/>
        <v>0</v>
      </c>
      <c r="L78" s="66">
        <f t="shared" si="132"/>
        <v>1</v>
      </c>
      <c r="M78" s="154">
        <f t="shared" si="133"/>
        <v>0</v>
      </c>
      <c r="N78" s="66">
        <f t="shared" si="133"/>
        <v>0</v>
      </c>
      <c r="O78" s="66">
        <f t="shared" si="134"/>
        <v>1</v>
      </c>
      <c r="P78" s="154">
        <f t="shared" si="135"/>
        <v>0</v>
      </c>
      <c r="Q78" s="66">
        <f t="shared" si="135"/>
        <v>0</v>
      </c>
      <c r="R78" s="66">
        <f t="shared" si="136"/>
        <v>1</v>
      </c>
      <c r="S78" s="154">
        <f t="shared" si="137"/>
        <v>0</v>
      </c>
      <c r="T78" s="66">
        <f t="shared" si="137"/>
        <v>0</v>
      </c>
      <c r="U78" s="66">
        <f t="shared" si="138"/>
        <v>1</v>
      </c>
      <c r="V78" s="154">
        <f t="shared" si="139"/>
        <v>0</v>
      </c>
      <c r="W78" s="66">
        <f t="shared" si="139"/>
        <v>0</v>
      </c>
      <c r="X78" s="66">
        <f t="shared" si="140"/>
        <v>1</v>
      </c>
      <c r="Y78" s="154">
        <f t="shared" si="141"/>
        <v>0</v>
      </c>
      <c r="Z78" s="115"/>
      <c r="AA78" s="129">
        <f t="shared" si="146"/>
        <v>0</v>
      </c>
      <c r="AB78" s="117">
        <f t="shared" si="147"/>
        <v>8</v>
      </c>
      <c r="AC78" s="102">
        <f t="shared" si="148"/>
        <v>0</v>
      </c>
      <c r="AH78" s="34"/>
      <c r="AI78" s="34"/>
      <c r="AJ78" s="34"/>
      <c r="AK78" s="34"/>
      <c r="AL78" s="34"/>
    </row>
    <row r="79" spans="1:38" s="33" customFormat="1" ht="15" customHeight="1" x14ac:dyDescent="0.25">
      <c r="A79" s="8" t="str">
        <f>'Break Down Per Community'!G6</f>
        <v>Portable Tablets</v>
      </c>
      <c r="B79" s="72">
        <f>'Break Down Per Community'!H6</f>
        <v>200000</v>
      </c>
      <c r="C79" s="72">
        <f>'Break Down Per Community'!I6</f>
        <v>2</v>
      </c>
      <c r="D79" s="128">
        <f t="shared" si="142"/>
        <v>400000</v>
      </c>
      <c r="E79" s="66">
        <f t="shared" si="143"/>
        <v>200000</v>
      </c>
      <c r="F79" s="66">
        <f t="shared" si="144"/>
        <v>2</v>
      </c>
      <c r="G79" s="154">
        <f t="shared" si="145"/>
        <v>400000</v>
      </c>
      <c r="H79" s="66">
        <f t="shared" si="129"/>
        <v>200000</v>
      </c>
      <c r="I79" s="66">
        <f t="shared" si="130"/>
        <v>2</v>
      </c>
      <c r="J79" s="154">
        <f t="shared" si="131"/>
        <v>400000</v>
      </c>
      <c r="K79" s="66">
        <f t="shared" si="131"/>
        <v>200000</v>
      </c>
      <c r="L79" s="66">
        <f t="shared" si="132"/>
        <v>2</v>
      </c>
      <c r="M79" s="154">
        <f t="shared" si="133"/>
        <v>400000</v>
      </c>
      <c r="N79" s="66">
        <f t="shared" si="133"/>
        <v>200000</v>
      </c>
      <c r="O79" s="66">
        <f t="shared" si="134"/>
        <v>2</v>
      </c>
      <c r="P79" s="154">
        <f t="shared" si="135"/>
        <v>400000</v>
      </c>
      <c r="Q79" s="66">
        <f t="shared" si="135"/>
        <v>200000</v>
      </c>
      <c r="R79" s="66">
        <f t="shared" si="136"/>
        <v>2</v>
      </c>
      <c r="S79" s="154">
        <f t="shared" si="137"/>
        <v>400000</v>
      </c>
      <c r="T79" s="66">
        <f t="shared" si="137"/>
        <v>200000</v>
      </c>
      <c r="U79" s="66">
        <f t="shared" si="138"/>
        <v>2</v>
      </c>
      <c r="V79" s="154">
        <f t="shared" si="139"/>
        <v>400000</v>
      </c>
      <c r="W79" s="66">
        <f t="shared" si="139"/>
        <v>200000</v>
      </c>
      <c r="X79" s="66">
        <f t="shared" si="140"/>
        <v>2</v>
      </c>
      <c r="Y79" s="154">
        <f t="shared" si="141"/>
        <v>400000</v>
      </c>
      <c r="Z79" s="115"/>
      <c r="AA79" s="129">
        <f t="shared" si="146"/>
        <v>1600000</v>
      </c>
      <c r="AB79" s="117">
        <f t="shared" si="147"/>
        <v>16</v>
      </c>
      <c r="AC79" s="102">
        <f t="shared" si="148"/>
        <v>3200000</v>
      </c>
      <c r="AH79" s="34"/>
      <c r="AI79" s="34"/>
      <c r="AJ79" s="34"/>
      <c r="AK79" s="34"/>
      <c r="AL79" s="34"/>
    </row>
    <row r="80" spans="1:38" s="33" customFormat="1" ht="15" customHeight="1" x14ac:dyDescent="0.25">
      <c r="A80" s="8" t="str">
        <f>'Break Down Per Community'!G7</f>
        <v>Laptop</v>
      </c>
      <c r="B80" s="72">
        <f>'Break Down Per Community'!H7</f>
        <v>300000</v>
      </c>
      <c r="C80" s="72">
        <f>'Break Down Per Community'!I7</f>
        <v>1</v>
      </c>
      <c r="D80" s="128">
        <f t="shared" si="142"/>
        <v>300000</v>
      </c>
      <c r="E80" s="66">
        <f t="shared" si="143"/>
        <v>300000</v>
      </c>
      <c r="F80" s="66">
        <f t="shared" si="144"/>
        <v>1</v>
      </c>
      <c r="G80" s="154">
        <f t="shared" si="145"/>
        <v>300000</v>
      </c>
      <c r="H80" s="66">
        <f t="shared" si="129"/>
        <v>300000</v>
      </c>
      <c r="I80" s="66">
        <f t="shared" si="130"/>
        <v>1</v>
      </c>
      <c r="J80" s="154">
        <f t="shared" si="131"/>
        <v>300000</v>
      </c>
      <c r="K80" s="66">
        <f t="shared" si="131"/>
        <v>300000</v>
      </c>
      <c r="L80" s="66">
        <f t="shared" si="132"/>
        <v>1</v>
      </c>
      <c r="M80" s="154">
        <f t="shared" si="133"/>
        <v>300000</v>
      </c>
      <c r="N80" s="66">
        <f t="shared" si="133"/>
        <v>300000</v>
      </c>
      <c r="O80" s="66">
        <f t="shared" si="134"/>
        <v>1</v>
      </c>
      <c r="P80" s="154">
        <f t="shared" si="135"/>
        <v>300000</v>
      </c>
      <c r="Q80" s="66">
        <f t="shared" si="135"/>
        <v>300000</v>
      </c>
      <c r="R80" s="66">
        <f t="shared" si="136"/>
        <v>1</v>
      </c>
      <c r="S80" s="154">
        <f t="shared" si="137"/>
        <v>300000</v>
      </c>
      <c r="T80" s="66">
        <f t="shared" si="137"/>
        <v>300000</v>
      </c>
      <c r="U80" s="66">
        <f t="shared" si="138"/>
        <v>1</v>
      </c>
      <c r="V80" s="154">
        <f t="shared" si="139"/>
        <v>300000</v>
      </c>
      <c r="W80" s="66">
        <f t="shared" si="139"/>
        <v>300000</v>
      </c>
      <c r="X80" s="66">
        <f t="shared" si="140"/>
        <v>1</v>
      </c>
      <c r="Y80" s="154">
        <f t="shared" si="141"/>
        <v>300000</v>
      </c>
      <c r="Z80" s="115"/>
      <c r="AA80" s="129">
        <f t="shared" si="146"/>
        <v>2400000</v>
      </c>
      <c r="AB80" s="117">
        <f t="shared" si="147"/>
        <v>8</v>
      </c>
      <c r="AC80" s="102">
        <f t="shared" si="148"/>
        <v>2400000</v>
      </c>
      <c r="AH80" s="34"/>
      <c r="AI80" s="34"/>
      <c r="AJ80" s="34"/>
      <c r="AK80" s="34"/>
      <c r="AL80" s="34"/>
    </row>
    <row r="81" spans="1:38" s="33" customFormat="1" ht="15" customHeight="1" x14ac:dyDescent="0.25">
      <c r="A81" s="8" t="str">
        <f>'Break Down Per Community'!G8</f>
        <v>Projector and white screen</v>
      </c>
      <c r="B81" s="72">
        <f>'Break Down Per Community'!H8</f>
        <v>400000</v>
      </c>
      <c r="C81" s="72">
        <f>'Break Down Per Community'!I8</f>
        <v>1</v>
      </c>
      <c r="D81" s="128">
        <f t="shared" ref="D81" si="149">B81*C81</f>
        <v>400000</v>
      </c>
      <c r="E81" s="66">
        <f t="shared" si="143"/>
        <v>400000</v>
      </c>
      <c r="F81" s="66">
        <f t="shared" si="144"/>
        <v>1</v>
      </c>
      <c r="G81" s="154">
        <f t="shared" si="145"/>
        <v>400000</v>
      </c>
      <c r="H81" s="66">
        <f t="shared" si="129"/>
        <v>400000</v>
      </c>
      <c r="I81" s="66">
        <f t="shared" si="130"/>
        <v>1</v>
      </c>
      <c r="J81" s="154">
        <f t="shared" si="131"/>
        <v>400000</v>
      </c>
      <c r="K81" s="66">
        <f t="shared" si="131"/>
        <v>400000</v>
      </c>
      <c r="L81" s="66">
        <f t="shared" si="132"/>
        <v>1</v>
      </c>
      <c r="M81" s="154">
        <f t="shared" si="133"/>
        <v>400000</v>
      </c>
      <c r="N81" s="66">
        <f t="shared" si="133"/>
        <v>400000</v>
      </c>
      <c r="O81" s="66">
        <f t="shared" si="134"/>
        <v>1</v>
      </c>
      <c r="P81" s="154">
        <f t="shared" si="135"/>
        <v>400000</v>
      </c>
      <c r="Q81" s="66">
        <f t="shared" si="135"/>
        <v>400000</v>
      </c>
      <c r="R81" s="66">
        <f t="shared" si="136"/>
        <v>1</v>
      </c>
      <c r="S81" s="154">
        <f t="shared" si="137"/>
        <v>400000</v>
      </c>
      <c r="T81" s="66">
        <f t="shared" si="137"/>
        <v>400000</v>
      </c>
      <c r="U81" s="66">
        <f t="shared" si="138"/>
        <v>1</v>
      </c>
      <c r="V81" s="154">
        <f t="shared" si="139"/>
        <v>400000</v>
      </c>
      <c r="W81" s="66">
        <f t="shared" si="139"/>
        <v>400000</v>
      </c>
      <c r="X81" s="66">
        <f t="shared" si="140"/>
        <v>1</v>
      </c>
      <c r="Y81" s="154">
        <f t="shared" si="141"/>
        <v>400000</v>
      </c>
      <c r="Z81" s="115"/>
      <c r="AA81" s="129">
        <f t="shared" ref="AA81" si="150">SUM(B81,E81,H81,K81,N81,Q81,T81,W81)</f>
        <v>3200000</v>
      </c>
      <c r="AB81" s="117">
        <f t="shared" ref="AB81" si="151">SUM(C81,F81,I81,L81,O81,R81,U81,X81)</f>
        <v>8</v>
      </c>
      <c r="AC81" s="102">
        <f t="shared" ref="AC81" si="152">SUM(D81,G81,J81,M81,P81,S81,V81,Y81)</f>
        <v>3200000</v>
      </c>
      <c r="AH81" s="34"/>
      <c r="AI81" s="34"/>
      <c r="AJ81" s="34"/>
      <c r="AK81" s="34"/>
      <c r="AL81" s="34"/>
    </row>
    <row r="82" spans="1:38" s="33" customFormat="1" ht="15" customHeight="1" x14ac:dyDescent="0.25">
      <c r="A82" s="8" t="str">
        <f>'Break Down Per Community'!G9</f>
        <v>Internet Routers and Subsription</v>
      </c>
      <c r="B82" s="72">
        <f>'Break Down Per Community'!H9</f>
        <v>30000</v>
      </c>
      <c r="C82" s="72">
        <f>'Break Down Per Community'!I9</f>
        <v>3</v>
      </c>
      <c r="D82" s="128">
        <f t="shared" si="142"/>
        <v>90000</v>
      </c>
      <c r="E82" s="66">
        <f t="shared" si="143"/>
        <v>30000</v>
      </c>
      <c r="F82" s="66">
        <f t="shared" si="144"/>
        <v>3</v>
      </c>
      <c r="G82" s="154">
        <f t="shared" si="145"/>
        <v>90000</v>
      </c>
      <c r="H82" s="66">
        <f t="shared" si="129"/>
        <v>30000</v>
      </c>
      <c r="I82" s="66">
        <f t="shared" si="130"/>
        <v>3</v>
      </c>
      <c r="J82" s="154">
        <f t="shared" si="131"/>
        <v>90000</v>
      </c>
      <c r="K82" s="66">
        <f t="shared" si="131"/>
        <v>30000</v>
      </c>
      <c r="L82" s="66">
        <f t="shared" si="132"/>
        <v>3</v>
      </c>
      <c r="M82" s="154">
        <f t="shared" si="133"/>
        <v>90000</v>
      </c>
      <c r="N82" s="66">
        <f t="shared" si="133"/>
        <v>30000</v>
      </c>
      <c r="O82" s="66">
        <f t="shared" si="134"/>
        <v>3</v>
      </c>
      <c r="P82" s="154">
        <f t="shared" si="135"/>
        <v>90000</v>
      </c>
      <c r="Q82" s="66">
        <f t="shared" si="135"/>
        <v>30000</v>
      </c>
      <c r="R82" s="66">
        <f t="shared" si="136"/>
        <v>3</v>
      </c>
      <c r="S82" s="154">
        <f t="shared" si="137"/>
        <v>90000</v>
      </c>
      <c r="T82" s="66">
        <f t="shared" si="137"/>
        <v>30000</v>
      </c>
      <c r="U82" s="66">
        <f t="shared" si="138"/>
        <v>3</v>
      </c>
      <c r="V82" s="154">
        <f t="shared" si="139"/>
        <v>90000</v>
      </c>
      <c r="W82" s="66">
        <f t="shared" si="139"/>
        <v>30000</v>
      </c>
      <c r="X82" s="66">
        <f t="shared" si="140"/>
        <v>3</v>
      </c>
      <c r="Y82" s="154">
        <f t="shared" si="141"/>
        <v>90000</v>
      </c>
      <c r="Z82" s="115"/>
      <c r="AA82" s="129">
        <f t="shared" si="146"/>
        <v>240000</v>
      </c>
      <c r="AB82" s="117">
        <f t="shared" si="147"/>
        <v>24</v>
      </c>
      <c r="AC82" s="102">
        <f t="shared" si="148"/>
        <v>720000</v>
      </c>
      <c r="AH82" s="34"/>
      <c r="AI82" s="34"/>
      <c r="AJ82" s="34"/>
      <c r="AK82" s="34"/>
      <c r="AL82" s="34"/>
    </row>
    <row r="83" spans="1:38" s="33" customFormat="1" ht="15" customHeight="1" thickBot="1" x14ac:dyDescent="0.3">
      <c r="A83" s="8" t="str">
        <f>'Break Down Per Community'!G10</f>
        <v>Back Up Power Supply and Mini Inverters</v>
      </c>
      <c r="B83" s="72">
        <f>'Break Down Per Community'!H10</f>
        <v>219000</v>
      </c>
      <c r="C83" s="72">
        <f>'Break Down Per Community'!I10</f>
        <v>3</v>
      </c>
      <c r="D83" s="128">
        <f t="shared" si="142"/>
        <v>657000</v>
      </c>
      <c r="E83" s="66">
        <f t="shared" si="143"/>
        <v>219000</v>
      </c>
      <c r="F83" s="66">
        <f t="shared" si="144"/>
        <v>3</v>
      </c>
      <c r="G83" s="154">
        <f t="shared" si="145"/>
        <v>657000</v>
      </c>
      <c r="H83" s="66">
        <f t="shared" si="129"/>
        <v>219000</v>
      </c>
      <c r="I83" s="66">
        <f t="shared" si="130"/>
        <v>3</v>
      </c>
      <c r="J83" s="154">
        <f t="shared" si="131"/>
        <v>657000</v>
      </c>
      <c r="K83" s="66">
        <f t="shared" si="131"/>
        <v>219000</v>
      </c>
      <c r="L83" s="66">
        <f t="shared" si="132"/>
        <v>3</v>
      </c>
      <c r="M83" s="154">
        <f t="shared" si="133"/>
        <v>657000</v>
      </c>
      <c r="N83" s="66">
        <f t="shared" si="133"/>
        <v>219000</v>
      </c>
      <c r="O83" s="66">
        <f t="shared" si="134"/>
        <v>3</v>
      </c>
      <c r="P83" s="154">
        <f t="shared" si="135"/>
        <v>657000</v>
      </c>
      <c r="Q83" s="66">
        <f t="shared" si="135"/>
        <v>219000</v>
      </c>
      <c r="R83" s="66">
        <f t="shared" si="136"/>
        <v>3</v>
      </c>
      <c r="S83" s="154">
        <f t="shared" si="137"/>
        <v>657000</v>
      </c>
      <c r="T83" s="66">
        <f t="shared" si="137"/>
        <v>219000</v>
      </c>
      <c r="U83" s="66">
        <f t="shared" si="138"/>
        <v>3</v>
      </c>
      <c r="V83" s="154">
        <f t="shared" si="139"/>
        <v>657000</v>
      </c>
      <c r="W83" s="66">
        <f t="shared" si="139"/>
        <v>219000</v>
      </c>
      <c r="X83" s="66">
        <f t="shared" si="140"/>
        <v>3</v>
      </c>
      <c r="Y83" s="154">
        <f t="shared" si="141"/>
        <v>657000</v>
      </c>
      <c r="Z83" s="115"/>
      <c r="AA83" s="129">
        <f t="shared" si="146"/>
        <v>1752000</v>
      </c>
      <c r="AB83" s="117">
        <f t="shared" si="147"/>
        <v>24</v>
      </c>
      <c r="AC83" s="102">
        <f t="shared" si="148"/>
        <v>5256000</v>
      </c>
      <c r="AH83" s="34"/>
      <c r="AI83" s="34"/>
      <c r="AJ83" s="34"/>
      <c r="AK83" s="34"/>
      <c r="AL83" s="34"/>
    </row>
    <row r="84" spans="1:38" s="33" customFormat="1" ht="15" customHeight="1" x14ac:dyDescent="0.25">
      <c r="A84" s="9" t="str">
        <f>"Total "&amp;A75</f>
        <v>Total Monitoring and Evaluation</v>
      </c>
      <c r="B84" s="69">
        <f>SUM(B76:B83)</f>
        <v>1149000</v>
      </c>
      <c r="C84" s="168">
        <f>SUM(C76:C83)</f>
        <v>13</v>
      </c>
      <c r="D84" s="130">
        <f>SUM(D76:D83)</f>
        <v>1847000</v>
      </c>
      <c r="E84" s="69">
        <f>SUM(E76:E83)</f>
        <v>1149000</v>
      </c>
      <c r="F84" s="168">
        <f>SUM(F76:F83)</f>
        <v>13</v>
      </c>
      <c r="G84" s="153">
        <f>SUM(G76:G83)</f>
        <v>1847000</v>
      </c>
      <c r="H84" s="69">
        <f>SUM(H76:H83)</f>
        <v>1149000</v>
      </c>
      <c r="I84" s="168">
        <f>SUM(I76:I83)</f>
        <v>13</v>
      </c>
      <c r="J84" s="153">
        <f>SUM(J76:J83)</f>
        <v>1847000</v>
      </c>
      <c r="K84" s="69">
        <f>SUM(K76:K83)</f>
        <v>1149000</v>
      </c>
      <c r="L84" s="168">
        <f>SUM(L76:L83)</f>
        <v>13</v>
      </c>
      <c r="M84" s="153">
        <f>SUM(M76:M83)</f>
        <v>1847000</v>
      </c>
      <c r="N84" s="69">
        <f t="shared" ref="N84:P84" si="153">SUM(N76:N83)</f>
        <v>1149000</v>
      </c>
      <c r="O84" s="168">
        <f t="shared" si="153"/>
        <v>13</v>
      </c>
      <c r="P84" s="153">
        <f t="shared" si="153"/>
        <v>1847000</v>
      </c>
      <c r="Q84" s="69">
        <f>SUM(Q76:Q83)</f>
        <v>1149000</v>
      </c>
      <c r="R84" s="168">
        <f>SUM(R76:R83)</f>
        <v>13</v>
      </c>
      <c r="S84" s="153">
        <f>SUM(S76:S83)</f>
        <v>1847000</v>
      </c>
      <c r="T84" s="69">
        <f>SUM(T76:T83)</f>
        <v>1149000</v>
      </c>
      <c r="U84" s="168">
        <f>SUM(U76:U83)</f>
        <v>13</v>
      </c>
      <c r="V84" s="153">
        <f>SUM(V76:V83)</f>
        <v>1847000</v>
      </c>
      <c r="W84" s="69">
        <f t="shared" ref="W84:Y84" si="154">SUM(W76:W83)</f>
        <v>1149000</v>
      </c>
      <c r="X84" s="168">
        <f t="shared" si="154"/>
        <v>13</v>
      </c>
      <c r="Y84" s="153">
        <f t="shared" si="154"/>
        <v>1847000</v>
      </c>
      <c r="Z84" s="123"/>
      <c r="AA84" s="69">
        <f>SUM(AA76:AA83)</f>
        <v>9192000</v>
      </c>
      <c r="AB84" s="168">
        <f>SUM(C84,F84,I84,L84,IF($J$7=5,O84,0))</f>
        <v>52</v>
      </c>
      <c r="AC84" s="130">
        <f>SUM(AC76:AC83)</f>
        <v>14776000</v>
      </c>
      <c r="AH84" s="34"/>
      <c r="AI84" s="34"/>
      <c r="AJ84" s="34"/>
      <c r="AK84" s="34"/>
      <c r="AL84" s="34"/>
    </row>
    <row r="85" spans="1:38" s="33" customFormat="1" ht="7" customHeight="1" x14ac:dyDescent="0.25">
      <c r="A85" s="38"/>
      <c r="B85" s="58"/>
      <c r="C85" s="58"/>
      <c r="D85" s="58"/>
      <c r="E85" s="58"/>
      <c r="F85" s="58"/>
      <c r="G85" s="157"/>
      <c r="H85" s="58"/>
      <c r="I85" s="58"/>
      <c r="J85" s="157"/>
      <c r="K85" s="58"/>
      <c r="L85" s="58"/>
      <c r="M85" s="157"/>
      <c r="N85" s="58"/>
      <c r="O85" s="58"/>
      <c r="P85" s="157"/>
      <c r="Q85" s="58"/>
      <c r="R85" s="58"/>
      <c r="S85" s="157"/>
      <c r="T85" s="58"/>
      <c r="U85" s="58"/>
      <c r="V85" s="157"/>
      <c r="W85" s="58"/>
      <c r="X85" s="58"/>
      <c r="Y85" s="157"/>
      <c r="Z85" s="58"/>
      <c r="AA85" s="58"/>
      <c r="AB85" s="58"/>
      <c r="AC85" s="58"/>
      <c r="AH85" s="34"/>
      <c r="AI85" s="34"/>
      <c r="AJ85" s="34"/>
      <c r="AK85" s="34"/>
      <c r="AL85" s="34"/>
    </row>
    <row r="86" spans="1:38" s="33" customFormat="1" ht="15" customHeight="1" thickBot="1" x14ac:dyDescent="0.3">
      <c r="A86" s="44" t="str">
        <f>'Total '!B13</f>
        <v>Administrative and Overhead Costs</v>
      </c>
      <c r="B86" s="65" t="str">
        <f>$B$11</f>
        <v>Cost</v>
      </c>
      <c r="C86" s="65" t="str">
        <f>$C$11</f>
        <v>Frequency</v>
      </c>
      <c r="D86" s="65" t="str">
        <f>$D$11</f>
        <v>Total</v>
      </c>
      <c r="E86" s="65" t="str">
        <f>$E$11</f>
        <v>Cost</v>
      </c>
      <c r="F86" s="65" t="str">
        <f>$F$11</f>
        <v>Frequency</v>
      </c>
      <c r="G86" s="65" t="str">
        <f>G75</f>
        <v>Total</v>
      </c>
      <c r="H86" s="65" t="str">
        <f>$H$11</f>
        <v>Cost</v>
      </c>
      <c r="I86" s="65" t="str">
        <f>$I$11</f>
        <v>Frequency</v>
      </c>
      <c r="J86" s="65" t="str">
        <f>J75</f>
        <v>Total</v>
      </c>
      <c r="K86" s="65" t="str">
        <f>$K$11</f>
        <v>Cost</v>
      </c>
      <c r="L86" s="65" t="str">
        <f>$L$11</f>
        <v>Frequency</v>
      </c>
      <c r="M86" s="65" t="str">
        <f>M75</f>
        <v>Total</v>
      </c>
      <c r="N86" s="65" t="str">
        <f>$K$11</f>
        <v>Cost</v>
      </c>
      <c r="O86" s="65" t="str">
        <f>$L$11</f>
        <v>Frequency</v>
      </c>
      <c r="P86" s="65" t="str">
        <f>P75</f>
        <v>Total</v>
      </c>
      <c r="Q86" s="65" t="str">
        <f>$H$11</f>
        <v>Cost</v>
      </c>
      <c r="R86" s="65" t="str">
        <f>$I$11</f>
        <v>Frequency</v>
      </c>
      <c r="S86" s="65" t="str">
        <f>S75</f>
        <v>Total</v>
      </c>
      <c r="T86" s="65" t="str">
        <f>$K$11</f>
        <v>Cost</v>
      </c>
      <c r="U86" s="65" t="str">
        <f>$L$11</f>
        <v>Frequency</v>
      </c>
      <c r="V86" s="65" t="str">
        <f>V75</f>
        <v>Total</v>
      </c>
      <c r="W86" s="65" t="str">
        <f>$K$11</f>
        <v>Cost</v>
      </c>
      <c r="X86" s="65" t="str">
        <f>$L$11</f>
        <v>Frequency</v>
      </c>
      <c r="Y86" s="65" t="str">
        <f>Y75</f>
        <v>Total</v>
      </c>
      <c r="Z86" s="92"/>
      <c r="AA86" s="125" t="str">
        <f>$AA$11</f>
        <v>Cost</v>
      </c>
      <c r="AB86" s="126" t="str">
        <f>$AB$11</f>
        <v>Frequency</v>
      </c>
      <c r="AC86" s="127" t="str">
        <f>$AC$11</f>
        <v>Total</v>
      </c>
      <c r="AH86" s="34"/>
      <c r="AI86" s="34"/>
      <c r="AJ86" s="34"/>
      <c r="AK86" s="34"/>
      <c r="AL86" s="34"/>
    </row>
    <row r="87" spans="1:38" s="33" customFormat="1" ht="15" customHeight="1" x14ac:dyDescent="0.25">
      <c r="A87" s="8" t="str">
        <f>'Break Down Per Community'!G14</f>
        <v>Rent</v>
      </c>
      <c r="B87" s="72">
        <f>'Break Down Per Community'!H14</f>
        <v>500000</v>
      </c>
      <c r="C87" s="72">
        <f>'Break Down Per Community'!I14</f>
        <v>1</v>
      </c>
      <c r="D87" s="128">
        <f>B87*C87</f>
        <v>500000</v>
      </c>
      <c r="E87" s="66">
        <f>B87</f>
        <v>500000</v>
      </c>
      <c r="F87" s="66">
        <f t="shared" ref="F87:H92" si="155">C87</f>
        <v>1</v>
      </c>
      <c r="G87" s="154">
        <f t="shared" si="155"/>
        <v>500000</v>
      </c>
      <c r="H87" s="66">
        <f t="shared" si="155"/>
        <v>500000</v>
      </c>
      <c r="I87" s="66">
        <f t="shared" ref="I87:I92" si="156">F87</f>
        <v>1</v>
      </c>
      <c r="J87" s="154">
        <f t="shared" ref="J87:K92" si="157">G87</f>
        <v>500000</v>
      </c>
      <c r="K87" s="66">
        <f t="shared" si="157"/>
        <v>500000</v>
      </c>
      <c r="L87" s="66">
        <f t="shared" ref="L87:L92" si="158">I87</f>
        <v>1</v>
      </c>
      <c r="M87" s="154">
        <f t="shared" ref="M87:N92" si="159">J87</f>
        <v>500000</v>
      </c>
      <c r="N87" s="66">
        <f t="shared" si="159"/>
        <v>500000</v>
      </c>
      <c r="O87" s="66">
        <f t="shared" ref="O87:O92" si="160">L87</f>
        <v>1</v>
      </c>
      <c r="P87" s="154">
        <f t="shared" ref="P87:Q92" si="161">M87</f>
        <v>500000</v>
      </c>
      <c r="Q87" s="66">
        <f t="shared" si="161"/>
        <v>500000</v>
      </c>
      <c r="R87" s="66">
        <f t="shared" ref="R87:R92" si="162">O87</f>
        <v>1</v>
      </c>
      <c r="S87" s="154">
        <f t="shared" ref="S87:T92" si="163">P87</f>
        <v>500000</v>
      </c>
      <c r="T87" s="66">
        <f t="shared" si="163"/>
        <v>500000</v>
      </c>
      <c r="U87" s="66">
        <f t="shared" ref="U87:U92" si="164">R87</f>
        <v>1</v>
      </c>
      <c r="V87" s="154">
        <f t="shared" ref="V87:W92" si="165">S87</f>
        <v>500000</v>
      </c>
      <c r="W87" s="66">
        <f t="shared" si="165"/>
        <v>500000</v>
      </c>
      <c r="X87" s="66">
        <f t="shared" ref="X87:X92" si="166">U87</f>
        <v>1</v>
      </c>
      <c r="Y87" s="154">
        <f t="shared" ref="Y87:Y92" si="167">V87</f>
        <v>500000</v>
      </c>
      <c r="Z87" s="115"/>
      <c r="AA87" s="129">
        <f>SUM(B87,E87,H87,K87,N87,Q87,T87,W87)</f>
        <v>4000000</v>
      </c>
      <c r="AB87" s="117">
        <f>SUM(C87,F87,I87,L87,O87,R87,U87,X87)</f>
        <v>8</v>
      </c>
      <c r="AC87" s="102">
        <f>SUM(D87,G87,J87,M87,P87,S87,V87,Y87)</f>
        <v>4000000</v>
      </c>
      <c r="AH87" s="34"/>
      <c r="AI87" s="34"/>
      <c r="AJ87" s="34"/>
      <c r="AK87" s="34"/>
      <c r="AL87" s="34"/>
    </row>
    <row r="88" spans="1:38" s="33" customFormat="1" ht="15" customHeight="1" x14ac:dyDescent="0.25">
      <c r="A88" s="8" t="str">
        <f>'Break Down Per Community'!G15</f>
        <v>Utilities</v>
      </c>
      <c r="B88" s="72">
        <f>'Break Down Per Community'!H15</f>
        <v>150000</v>
      </c>
      <c r="C88" s="72">
        <f>'Break Down Per Community'!I15</f>
        <v>1</v>
      </c>
      <c r="D88" s="128">
        <f t="shared" ref="D88:D90" si="168">B88*C88</f>
        <v>150000</v>
      </c>
      <c r="E88" s="66">
        <f t="shared" ref="E88:E92" si="169">B88</f>
        <v>150000</v>
      </c>
      <c r="F88" s="66">
        <f t="shared" ref="F88:F92" si="170">C88</f>
        <v>1</v>
      </c>
      <c r="G88" s="154">
        <f t="shared" ref="G88:G92" si="171">D88</f>
        <v>150000</v>
      </c>
      <c r="H88" s="66">
        <f t="shared" si="155"/>
        <v>150000</v>
      </c>
      <c r="I88" s="66">
        <f t="shared" si="156"/>
        <v>1</v>
      </c>
      <c r="J88" s="154">
        <f t="shared" si="157"/>
        <v>150000</v>
      </c>
      <c r="K88" s="66">
        <f t="shared" si="157"/>
        <v>150000</v>
      </c>
      <c r="L88" s="66">
        <f t="shared" si="158"/>
        <v>1</v>
      </c>
      <c r="M88" s="154">
        <f t="shared" si="159"/>
        <v>150000</v>
      </c>
      <c r="N88" s="66">
        <f t="shared" si="159"/>
        <v>150000</v>
      </c>
      <c r="O88" s="66">
        <f t="shared" si="160"/>
        <v>1</v>
      </c>
      <c r="P88" s="154">
        <f t="shared" si="161"/>
        <v>150000</v>
      </c>
      <c r="Q88" s="66">
        <f t="shared" si="161"/>
        <v>150000</v>
      </c>
      <c r="R88" s="66">
        <f t="shared" si="162"/>
        <v>1</v>
      </c>
      <c r="S88" s="154">
        <f t="shared" si="163"/>
        <v>150000</v>
      </c>
      <c r="T88" s="66">
        <f t="shared" si="163"/>
        <v>150000</v>
      </c>
      <c r="U88" s="66">
        <f t="shared" si="164"/>
        <v>1</v>
      </c>
      <c r="V88" s="154">
        <f t="shared" si="165"/>
        <v>150000</v>
      </c>
      <c r="W88" s="66">
        <f t="shared" si="165"/>
        <v>150000</v>
      </c>
      <c r="X88" s="66">
        <f t="shared" si="166"/>
        <v>1</v>
      </c>
      <c r="Y88" s="154">
        <f t="shared" si="167"/>
        <v>150000</v>
      </c>
      <c r="Z88" s="115"/>
      <c r="AA88" s="129">
        <f t="shared" ref="AA88:AA90" si="172">SUM(B88,E88,H88,K88,N88,Q88,T88,W88)</f>
        <v>1200000</v>
      </c>
      <c r="AB88" s="117">
        <f t="shared" ref="AB88:AB90" si="173">SUM(C88,F88,I88,L88,O88,R88,U88,X88)</f>
        <v>8</v>
      </c>
      <c r="AC88" s="102">
        <f t="shared" ref="AC88:AC90" si="174">SUM(D88,G88,J88,M88,P88,S88,V88,Y88)</f>
        <v>1200000</v>
      </c>
      <c r="AH88" s="34"/>
      <c r="AI88" s="34"/>
      <c r="AJ88" s="34"/>
      <c r="AK88" s="34"/>
      <c r="AL88" s="34"/>
    </row>
    <row r="89" spans="1:38" s="33" customFormat="1" ht="15" customHeight="1" x14ac:dyDescent="0.25">
      <c r="A89" s="8" t="str">
        <f>'Break Down Per Community'!G16</f>
        <v>Inverter Maintenance</v>
      </c>
      <c r="B89" s="72">
        <f>'Break Down Per Community'!H16</f>
        <v>0</v>
      </c>
      <c r="C89" s="72">
        <f>'Break Down Per Community'!I16</f>
        <v>1</v>
      </c>
      <c r="D89" s="128">
        <f t="shared" si="168"/>
        <v>0</v>
      </c>
      <c r="E89" s="66">
        <f t="shared" si="169"/>
        <v>0</v>
      </c>
      <c r="F89" s="66">
        <f t="shared" si="170"/>
        <v>1</v>
      </c>
      <c r="G89" s="154">
        <f t="shared" si="171"/>
        <v>0</v>
      </c>
      <c r="H89" s="66">
        <f t="shared" si="155"/>
        <v>0</v>
      </c>
      <c r="I89" s="66">
        <f t="shared" si="156"/>
        <v>1</v>
      </c>
      <c r="J89" s="154">
        <f t="shared" si="157"/>
        <v>0</v>
      </c>
      <c r="K89" s="66">
        <f t="shared" si="157"/>
        <v>0</v>
      </c>
      <c r="L89" s="66">
        <f t="shared" si="158"/>
        <v>1</v>
      </c>
      <c r="M89" s="154">
        <f t="shared" si="159"/>
        <v>0</v>
      </c>
      <c r="N89" s="66">
        <f t="shared" si="159"/>
        <v>0</v>
      </c>
      <c r="O89" s="66">
        <f t="shared" si="160"/>
        <v>1</v>
      </c>
      <c r="P89" s="154">
        <f t="shared" si="161"/>
        <v>0</v>
      </c>
      <c r="Q89" s="66">
        <f t="shared" si="161"/>
        <v>0</v>
      </c>
      <c r="R89" s="66">
        <f t="shared" si="162"/>
        <v>1</v>
      </c>
      <c r="S89" s="154">
        <f t="shared" si="163"/>
        <v>0</v>
      </c>
      <c r="T89" s="66">
        <f t="shared" si="163"/>
        <v>0</v>
      </c>
      <c r="U89" s="66">
        <f t="shared" si="164"/>
        <v>1</v>
      </c>
      <c r="V89" s="154">
        <f t="shared" si="165"/>
        <v>0</v>
      </c>
      <c r="W89" s="66">
        <f t="shared" si="165"/>
        <v>0</v>
      </c>
      <c r="X89" s="66">
        <f t="shared" si="166"/>
        <v>1</v>
      </c>
      <c r="Y89" s="154">
        <f t="shared" si="167"/>
        <v>0</v>
      </c>
      <c r="Z89" s="115"/>
      <c r="AA89" s="129">
        <f t="shared" si="172"/>
        <v>0</v>
      </c>
      <c r="AB89" s="117">
        <f t="shared" si="173"/>
        <v>8</v>
      </c>
      <c r="AC89" s="102">
        <f t="shared" si="174"/>
        <v>0</v>
      </c>
      <c r="AH89" s="34"/>
      <c r="AI89" s="34"/>
      <c r="AJ89" s="34"/>
      <c r="AK89" s="34"/>
      <c r="AL89" s="34"/>
    </row>
    <row r="90" spans="1:38" s="33" customFormat="1" ht="15" customHeight="1" x14ac:dyDescent="0.25">
      <c r="A90" s="8" t="str">
        <f>'Break Down Per Community'!G17</f>
        <v>Communication</v>
      </c>
      <c r="B90" s="72">
        <f>'Break Down Per Community'!H17</f>
        <v>150000</v>
      </c>
      <c r="C90" s="72">
        <f>'Break Down Per Community'!I17</f>
        <v>1</v>
      </c>
      <c r="D90" s="128">
        <f t="shared" si="168"/>
        <v>150000</v>
      </c>
      <c r="E90" s="66">
        <f t="shared" si="169"/>
        <v>150000</v>
      </c>
      <c r="F90" s="66">
        <f t="shared" si="170"/>
        <v>1</v>
      </c>
      <c r="G90" s="154">
        <f t="shared" si="171"/>
        <v>150000</v>
      </c>
      <c r="H90" s="66">
        <f t="shared" si="155"/>
        <v>150000</v>
      </c>
      <c r="I90" s="66">
        <f t="shared" si="156"/>
        <v>1</v>
      </c>
      <c r="J90" s="154">
        <f t="shared" si="157"/>
        <v>150000</v>
      </c>
      <c r="K90" s="66">
        <f t="shared" si="157"/>
        <v>150000</v>
      </c>
      <c r="L90" s="66">
        <f t="shared" si="158"/>
        <v>1</v>
      </c>
      <c r="M90" s="154">
        <f t="shared" si="159"/>
        <v>150000</v>
      </c>
      <c r="N90" s="66">
        <f t="shared" si="159"/>
        <v>150000</v>
      </c>
      <c r="O90" s="66">
        <f t="shared" si="160"/>
        <v>1</v>
      </c>
      <c r="P90" s="154">
        <f t="shared" si="161"/>
        <v>150000</v>
      </c>
      <c r="Q90" s="66">
        <f t="shared" si="161"/>
        <v>150000</v>
      </c>
      <c r="R90" s="66">
        <f t="shared" si="162"/>
        <v>1</v>
      </c>
      <c r="S90" s="154">
        <f t="shared" si="163"/>
        <v>150000</v>
      </c>
      <c r="T90" s="66">
        <f t="shared" si="163"/>
        <v>150000</v>
      </c>
      <c r="U90" s="66">
        <f t="shared" si="164"/>
        <v>1</v>
      </c>
      <c r="V90" s="154">
        <f t="shared" si="165"/>
        <v>150000</v>
      </c>
      <c r="W90" s="66">
        <f t="shared" si="165"/>
        <v>150000</v>
      </c>
      <c r="X90" s="66">
        <f t="shared" si="166"/>
        <v>1</v>
      </c>
      <c r="Y90" s="154">
        <f t="shared" si="167"/>
        <v>150000</v>
      </c>
      <c r="Z90" s="115"/>
      <c r="AA90" s="129">
        <f t="shared" si="172"/>
        <v>1200000</v>
      </c>
      <c r="AB90" s="117">
        <f t="shared" si="173"/>
        <v>8</v>
      </c>
      <c r="AC90" s="102">
        <f t="shared" si="174"/>
        <v>1200000</v>
      </c>
      <c r="AH90" s="34"/>
      <c r="AI90" s="34"/>
      <c r="AJ90" s="34"/>
      <c r="AK90" s="34"/>
      <c r="AL90" s="34"/>
    </row>
    <row r="91" spans="1:38" s="33" customFormat="1" ht="15" customHeight="1" x14ac:dyDescent="0.25">
      <c r="A91" s="8" t="str">
        <f>'Break Down Per Community'!G18</f>
        <v>Stationeries</v>
      </c>
      <c r="B91" s="72">
        <f>'Break Down Per Community'!H18</f>
        <v>500000</v>
      </c>
      <c r="C91" s="72">
        <f>'Break Down Per Community'!I18</f>
        <v>1</v>
      </c>
      <c r="D91" s="128">
        <f t="shared" ref="D91:D92" si="175">B91*C91</f>
        <v>500000</v>
      </c>
      <c r="E91" s="66">
        <f t="shared" si="169"/>
        <v>500000</v>
      </c>
      <c r="F91" s="66">
        <f t="shared" si="170"/>
        <v>1</v>
      </c>
      <c r="G91" s="154">
        <f t="shared" si="171"/>
        <v>500000</v>
      </c>
      <c r="H91" s="66">
        <f t="shared" si="155"/>
        <v>500000</v>
      </c>
      <c r="I91" s="66">
        <f t="shared" si="156"/>
        <v>1</v>
      </c>
      <c r="J91" s="154">
        <f t="shared" si="157"/>
        <v>500000</v>
      </c>
      <c r="K91" s="66">
        <f t="shared" si="157"/>
        <v>500000</v>
      </c>
      <c r="L91" s="66">
        <f t="shared" si="158"/>
        <v>1</v>
      </c>
      <c r="M91" s="154">
        <f t="shared" si="159"/>
        <v>500000</v>
      </c>
      <c r="N91" s="66">
        <f t="shared" si="159"/>
        <v>500000</v>
      </c>
      <c r="O91" s="66">
        <f t="shared" si="160"/>
        <v>1</v>
      </c>
      <c r="P91" s="154">
        <f t="shared" si="161"/>
        <v>500000</v>
      </c>
      <c r="Q91" s="66">
        <f t="shared" si="161"/>
        <v>500000</v>
      </c>
      <c r="R91" s="66">
        <f t="shared" si="162"/>
        <v>1</v>
      </c>
      <c r="S91" s="154">
        <f t="shared" si="163"/>
        <v>500000</v>
      </c>
      <c r="T91" s="66">
        <f t="shared" si="163"/>
        <v>500000</v>
      </c>
      <c r="U91" s="66">
        <f t="shared" si="164"/>
        <v>1</v>
      </c>
      <c r="V91" s="154">
        <f t="shared" si="165"/>
        <v>500000</v>
      </c>
      <c r="W91" s="66">
        <f t="shared" si="165"/>
        <v>500000</v>
      </c>
      <c r="X91" s="66">
        <f t="shared" si="166"/>
        <v>1</v>
      </c>
      <c r="Y91" s="154">
        <f t="shared" si="167"/>
        <v>500000</v>
      </c>
      <c r="Z91" s="115"/>
      <c r="AA91" s="129">
        <f t="shared" ref="AA91:AA92" si="176">SUM(B91,E91,H91,K91,N91,Q91,T91,W91)</f>
        <v>4000000</v>
      </c>
      <c r="AB91" s="117">
        <f t="shared" ref="AB91:AB92" si="177">SUM(C91,F91,I91,L91,O91,R91,U91,X91)</f>
        <v>8</v>
      </c>
      <c r="AC91" s="102">
        <f t="shared" ref="AC91:AC92" si="178">SUM(D91,G91,J91,M91,P91,S91,V91,Y91)</f>
        <v>4000000</v>
      </c>
      <c r="AH91" s="34"/>
      <c r="AI91" s="34"/>
      <c r="AJ91" s="34"/>
      <c r="AK91" s="34"/>
      <c r="AL91" s="34"/>
    </row>
    <row r="92" spans="1:38" s="33" customFormat="1" ht="15" customHeight="1" thickBot="1" x14ac:dyDescent="0.3">
      <c r="A92" s="8" t="str">
        <f>'Break Down Per Community'!G19</f>
        <v>Insurance and Legal Fees</v>
      </c>
      <c r="B92" s="72">
        <f>'Break Down Per Community'!H19</f>
        <v>37500</v>
      </c>
      <c r="C92" s="72">
        <f>'Break Down Per Community'!I19</f>
        <v>16</v>
      </c>
      <c r="D92" s="128">
        <f t="shared" si="175"/>
        <v>600000</v>
      </c>
      <c r="E92" s="66">
        <f t="shared" si="169"/>
        <v>37500</v>
      </c>
      <c r="F92" s="66">
        <f t="shared" si="170"/>
        <v>16</v>
      </c>
      <c r="G92" s="154">
        <f t="shared" si="171"/>
        <v>600000</v>
      </c>
      <c r="H92" s="66">
        <f t="shared" si="155"/>
        <v>37500</v>
      </c>
      <c r="I92" s="66">
        <f t="shared" si="156"/>
        <v>16</v>
      </c>
      <c r="J92" s="154">
        <f t="shared" si="157"/>
        <v>600000</v>
      </c>
      <c r="K92" s="66">
        <f t="shared" si="157"/>
        <v>37500</v>
      </c>
      <c r="L92" s="66">
        <f t="shared" si="158"/>
        <v>16</v>
      </c>
      <c r="M92" s="154">
        <f t="shared" si="159"/>
        <v>600000</v>
      </c>
      <c r="N92" s="66">
        <f t="shared" si="159"/>
        <v>37500</v>
      </c>
      <c r="O92" s="66">
        <f t="shared" si="160"/>
        <v>16</v>
      </c>
      <c r="P92" s="154">
        <f t="shared" si="161"/>
        <v>600000</v>
      </c>
      <c r="Q92" s="66">
        <f t="shared" si="161"/>
        <v>37500</v>
      </c>
      <c r="R92" s="66">
        <f t="shared" si="162"/>
        <v>16</v>
      </c>
      <c r="S92" s="154">
        <f t="shared" si="163"/>
        <v>600000</v>
      </c>
      <c r="T92" s="66">
        <f t="shared" si="163"/>
        <v>37500</v>
      </c>
      <c r="U92" s="66">
        <f t="shared" si="164"/>
        <v>16</v>
      </c>
      <c r="V92" s="154">
        <f t="shared" si="165"/>
        <v>600000</v>
      </c>
      <c r="W92" s="66">
        <f t="shared" si="165"/>
        <v>37500</v>
      </c>
      <c r="X92" s="66">
        <f t="shared" si="166"/>
        <v>16</v>
      </c>
      <c r="Y92" s="154">
        <f t="shared" si="167"/>
        <v>600000</v>
      </c>
      <c r="Z92" s="115"/>
      <c r="AA92" s="129">
        <f t="shared" si="176"/>
        <v>300000</v>
      </c>
      <c r="AB92" s="117">
        <f t="shared" si="177"/>
        <v>128</v>
      </c>
      <c r="AC92" s="102">
        <f t="shared" si="178"/>
        <v>4800000</v>
      </c>
      <c r="AH92" s="34"/>
      <c r="AI92" s="34"/>
      <c r="AJ92" s="34"/>
      <c r="AK92" s="34"/>
      <c r="AL92" s="34"/>
    </row>
    <row r="93" spans="1:38" s="33" customFormat="1" ht="15" customHeight="1" x14ac:dyDescent="0.25">
      <c r="A93" s="9" t="str">
        <f>"Total "&amp;A86</f>
        <v>Total Administrative and Overhead Costs</v>
      </c>
      <c r="B93" s="69">
        <f>SUM(B87:B92)</f>
        <v>1337500</v>
      </c>
      <c r="C93" s="168">
        <f>SUM(C87:C92)</f>
        <v>21</v>
      </c>
      <c r="D93" s="130">
        <f>SUM(D87:D92)</f>
        <v>1900000</v>
      </c>
      <c r="E93" s="69">
        <f>SUM(E87:E92)</f>
        <v>1337500</v>
      </c>
      <c r="F93" s="168">
        <f>SUM(F87:F92)</f>
        <v>21</v>
      </c>
      <c r="G93" s="153">
        <f>SUM(G87:G92)</f>
        <v>1900000</v>
      </c>
      <c r="H93" s="69">
        <f>SUM(H87:H92)</f>
        <v>1337500</v>
      </c>
      <c r="I93" s="168">
        <f>SUM(I87:I92)</f>
        <v>21</v>
      </c>
      <c r="J93" s="153">
        <f>SUM(J87:J92)</f>
        <v>1900000</v>
      </c>
      <c r="K93" s="69">
        <f>SUM(K87:K92)</f>
        <v>1337500</v>
      </c>
      <c r="L93" s="168">
        <f>SUM(L87:L92)</f>
        <v>21</v>
      </c>
      <c r="M93" s="153">
        <f>SUM(M87:M92)</f>
        <v>1900000</v>
      </c>
      <c r="N93" s="69">
        <f>SUM(N87:N92)</f>
        <v>1337500</v>
      </c>
      <c r="O93" s="168">
        <f>SUM(O87:O92)</f>
        <v>21</v>
      </c>
      <c r="P93" s="153">
        <f>SUM(P87:P92)</f>
        <v>1900000</v>
      </c>
      <c r="Q93" s="69">
        <f>SUM(Q87:Q92)</f>
        <v>1337500</v>
      </c>
      <c r="R93" s="168">
        <f>SUM(R87:R92)</f>
        <v>21</v>
      </c>
      <c r="S93" s="153">
        <f>SUM(S87:S92)</f>
        <v>1900000</v>
      </c>
      <c r="T93" s="69">
        <f>SUM(T87:T92)</f>
        <v>1337500</v>
      </c>
      <c r="U93" s="168">
        <f>SUM(U87:U92)</f>
        <v>21</v>
      </c>
      <c r="V93" s="153">
        <f>SUM(V87:V92)</f>
        <v>1900000</v>
      </c>
      <c r="W93" s="69">
        <f>SUM(W87:W92)</f>
        <v>1337500</v>
      </c>
      <c r="X93" s="168">
        <f>SUM(X87:X92)</f>
        <v>21</v>
      </c>
      <c r="Y93" s="153">
        <f>SUM(Y87:Y92)</f>
        <v>1900000</v>
      </c>
      <c r="Z93" s="123"/>
      <c r="AA93" s="69">
        <f>SUM(AA87:AA92)</f>
        <v>10700000</v>
      </c>
      <c r="AB93" s="168">
        <f>SUM(C93,F93,I93,L93,IF($J$7=5,O93,0))</f>
        <v>84</v>
      </c>
      <c r="AC93" s="130">
        <f>SUM(AC87:AC92)</f>
        <v>15200000</v>
      </c>
      <c r="AH93" s="34"/>
      <c r="AI93" s="34"/>
      <c r="AJ93" s="34"/>
      <c r="AK93" s="34"/>
      <c r="AL93" s="34"/>
    </row>
    <row r="94" spans="1:38" s="33" customFormat="1" ht="7" customHeight="1" x14ac:dyDescent="0.25">
      <c r="A94" s="38"/>
      <c r="B94" s="58"/>
      <c r="C94" s="58"/>
      <c r="D94" s="58"/>
      <c r="E94" s="58"/>
      <c r="F94" s="58"/>
      <c r="G94" s="157"/>
      <c r="H94" s="58"/>
      <c r="I94" s="58"/>
      <c r="J94" s="157"/>
      <c r="K94" s="58"/>
      <c r="L94" s="58"/>
      <c r="M94" s="157"/>
      <c r="N94" s="58"/>
      <c r="O94" s="58"/>
      <c r="P94" s="157"/>
      <c r="Q94" s="58"/>
      <c r="R94" s="58"/>
      <c r="S94" s="157"/>
      <c r="T94" s="58"/>
      <c r="U94" s="58"/>
      <c r="V94" s="157"/>
      <c r="W94" s="58"/>
      <c r="X94" s="58"/>
      <c r="Y94" s="157"/>
      <c r="Z94" s="58"/>
      <c r="AA94" s="58"/>
      <c r="AB94" s="58"/>
      <c r="AC94" s="58"/>
      <c r="AH94" s="34"/>
      <c r="AI94" s="34"/>
      <c r="AJ94" s="34"/>
      <c r="AK94" s="34"/>
      <c r="AL94" s="34"/>
    </row>
    <row r="95" spans="1:38" s="33" customFormat="1" ht="15" customHeight="1" thickBot="1" x14ac:dyDescent="0.3">
      <c r="A95" s="44" t="str">
        <f>'Total '!B14</f>
        <v>Security</v>
      </c>
      <c r="B95" s="65" t="str">
        <f>$B$11</f>
        <v>Cost</v>
      </c>
      <c r="C95" s="65" t="str">
        <f>$C$11</f>
        <v>Frequency</v>
      </c>
      <c r="D95" s="65" t="str">
        <f>$D$11</f>
        <v>Total</v>
      </c>
      <c r="E95" s="65" t="str">
        <f>$E$11</f>
        <v>Cost</v>
      </c>
      <c r="F95" s="65" t="str">
        <f>$F$11</f>
        <v>Frequency</v>
      </c>
      <c r="G95" s="65" t="str">
        <f>G86</f>
        <v>Total</v>
      </c>
      <c r="H95" s="65" t="str">
        <f>$H$11</f>
        <v>Cost</v>
      </c>
      <c r="I95" s="65" t="str">
        <f>$I$11</f>
        <v>Frequency</v>
      </c>
      <c r="J95" s="65" t="str">
        <f>J86</f>
        <v>Total</v>
      </c>
      <c r="K95" s="65" t="str">
        <f>$K$11</f>
        <v>Cost</v>
      </c>
      <c r="L95" s="65" t="str">
        <f>$L$11</f>
        <v>Frequency</v>
      </c>
      <c r="M95" s="65" t="str">
        <f>M86</f>
        <v>Total</v>
      </c>
      <c r="N95" s="65" t="str">
        <f>$K$11</f>
        <v>Cost</v>
      </c>
      <c r="O95" s="65" t="str">
        <f>$L$11</f>
        <v>Frequency</v>
      </c>
      <c r="P95" s="65" t="str">
        <f>P86</f>
        <v>Total</v>
      </c>
      <c r="Q95" s="65" t="str">
        <f>$H$11</f>
        <v>Cost</v>
      </c>
      <c r="R95" s="65" t="str">
        <f>$I$11</f>
        <v>Frequency</v>
      </c>
      <c r="S95" s="65" t="str">
        <f>S86</f>
        <v>Total</v>
      </c>
      <c r="T95" s="65" t="str">
        <f>$K$11</f>
        <v>Cost</v>
      </c>
      <c r="U95" s="65" t="str">
        <f>$L$11</f>
        <v>Frequency</v>
      </c>
      <c r="V95" s="65" t="str">
        <f>V86</f>
        <v>Total</v>
      </c>
      <c r="W95" s="65" t="str">
        <f>$K$11</f>
        <v>Cost</v>
      </c>
      <c r="X95" s="65" t="str">
        <f>$L$11</f>
        <v>Frequency</v>
      </c>
      <c r="Y95" s="65" t="str">
        <f>Y86</f>
        <v>Total</v>
      </c>
      <c r="Z95" s="92"/>
      <c r="AA95" s="125" t="str">
        <f>$AA$11</f>
        <v>Cost</v>
      </c>
      <c r="AB95" s="126" t="str">
        <f>$AB$11</f>
        <v>Frequency</v>
      </c>
      <c r="AC95" s="127" t="str">
        <f>$AC$11</f>
        <v>Total</v>
      </c>
      <c r="AH95" s="34"/>
      <c r="AI95" s="34"/>
      <c r="AJ95" s="34"/>
      <c r="AK95" s="34"/>
      <c r="AL95" s="34"/>
    </row>
    <row r="96" spans="1:38" s="33" customFormat="1" ht="15" customHeight="1" x14ac:dyDescent="0.25">
      <c r="A96" s="8" t="str">
        <f>'Break Down Per Community'!G23</f>
        <v>Security Personnel</v>
      </c>
      <c r="B96" s="72">
        <f>'Break Down Per Community'!H23</f>
        <v>50000</v>
      </c>
      <c r="C96" s="72">
        <f>'Break Down Per Community'!I23</f>
        <v>6</v>
      </c>
      <c r="D96" s="128">
        <f>B96*C96</f>
        <v>300000</v>
      </c>
      <c r="E96" s="66">
        <f>B96</f>
        <v>50000</v>
      </c>
      <c r="F96" s="66">
        <f t="shared" ref="F96:H100" si="179">C96</f>
        <v>6</v>
      </c>
      <c r="G96" s="154">
        <f t="shared" si="179"/>
        <v>300000</v>
      </c>
      <c r="H96" s="66">
        <f t="shared" si="179"/>
        <v>50000</v>
      </c>
      <c r="I96" s="66">
        <f t="shared" ref="I96:I100" si="180">F96</f>
        <v>6</v>
      </c>
      <c r="J96" s="154">
        <f t="shared" ref="J96:K100" si="181">G96</f>
        <v>300000</v>
      </c>
      <c r="K96" s="66">
        <f t="shared" si="181"/>
        <v>50000</v>
      </c>
      <c r="L96" s="66">
        <f t="shared" ref="L96:L100" si="182">I96</f>
        <v>6</v>
      </c>
      <c r="M96" s="154">
        <f t="shared" ref="M96:N100" si="183">J96</f>
        <v>300000</v>
      </c>
      <c r="N96" s="66">
        <f t="shared" si="183"/>
        <v>50000</v>
      </c>
      <c r="O96" s="66">
        <f t="shared" ref="O96:O100" si="184">L96</f>
        <v>6</v>
      </c>
      <c r="P96" s="154">
        <f t="shared" ref="P96:Q100" si="185">M96</f>
        <v>300000</v>
      </c>
      <c r="Q96" s="66">
        <f t="shared" si="185"/>
        <v>50000</v>
      </c>
      <c r="R96" s="66">
        <f t="shared" ref="R96:R100" si="186">O96</f>
        <v>6</v>
      </c>
      <c r="S96" s="154">
        <f t="shared" ref="S96:T100" si="187">P96</f>
        <v>300000</v>
      </c>
      <c r="T96" s="66">
        <f t="shared" si="187"/>
        <v>50000</v>
      </c>
      <c r="U96" s="66">
        <f t="shared" ref="U96:U100" si="188">R96</f>
        <v>6</v>
      </c>
      <c r="V96" s="154">
        <f t="shared" ref="V96:W100" si="189">S96</f>
        <v>300000</v>
      </c>
      <c r="W96" s="66">
        <f t="shared" si="189"/>
        <v>50000</v>
      </c>
      <c r="X96" s="66">
        <f t="shared" ref="X96:X100" si="190">U96</f>
        <v>6</v>
      </c>
      <c r="Y96" s="154">
        <f t="shared" ref="Y96:Y100" si="191">V96</f>
        <v>300000</v>
      </c>
      <c r="Z96" s="115"/>
      <c r="AA96" s="129">
        <f>SUM(B96,E96,H96,K96,N96,Q96,T96,W96)</f>
        <v>400000</v>
      </c>
      <c r="AB96" s="117">
        <f>SUM(C96,F96,I96,L96,O96,R96,U96,X96)</f>
        <v>48</v>
      </c>
      <c r="AC96" s="102">
        <f>SUM(D96,G96,J96,M96,P96,S96,V96,Y96)</f>
        <v>2400000</v>
      </c>
      <c r="AH96" s="34"/>
      <c r="AI96" s="34"/>
      <c r="AJ96" s="34"/>
      <c r="AK96" s="34"/>
      <c r="AL96" s="34"/>
    </row>
    <row r="97" spans="1:38" s="33" customFormat="1" ht="15" customHeight="1" x14ac:dyDescent="0.25">
      <c r="A97" s="8">
        <f>'Break Down Per Community'!G24</f>
        <v>0</v>
      </c>
      <c r="B97" s="72">
        <f>'Break Down Per Community'!H24</f>
        <v>0</v>
      </c>
      <c r="C97" s="72">
        <f>'Break Down Per Community'!I24</f>
        <v>0</v>
      </c>
      <c r="D97" s="128">
        <f t="shared" ref="D97:D100" si="192">B97*C97</f>
        <v>0</v>
      </c>
      <c r="E97" s="66">
        <f t="shared" ref="E97:E100" si="193">B97</f>
        <v>0</v>
      </c>
      <c r="F97" s="66">
        <f t="shared" ref="F97:F100" si="194">C97</f>
        <v>0</v>
      </c>
      <c r="G97" s="154">
        <f t="shared" ref="G97:G100" si="195">D97</f>
        <v>0</v>
      </c>
      <c r="H97" s="66">
        <f t="shared" si="179"/>
        <v>0</v>
      </c>
      <c r="I97" s="66">
        <f t="shared" si="180"/>
        <v>0</v>
      </c>
      <c r="J97" s="154">
        <f t="shared" si="181"/>
        <v>0</v>
      </c>
      <c r="K97" s="66">
        <f t="shared" si="181"/>
        <v>0</v>
      </c>
      <c r="L97" s="66">
        <f t="shared" si="182"/>
        <v>0</v>
      </c>
      <c r="M97" s="154">
        <f t="shared" si="183"/>
        <v>0</v>
      </c>
      <c r="N97" s="66">
        <f t="shared" si="183"/>
        <v>0</v>
      </c>
      <c r="O97" s="66">
        <f t="shared" si="184"/>
        <v>0</v>
      </c>
      <c r="P97" s="154">
        <f t="shared" si="185"/>
        <v>0</v>
      </c>
      <c r="Q97" s="66">
        <f t="shared" si="185"/>
        <v>0</v>
      </c>
      <c r="R97" s="66">
        <f t="shared" si="186"/>
        <v>0</v>
      </c>
      <c r="S97" s="154">
        <f t="shared" si="187"/>
        <v>0</v>
      </c>
      <c r="T97" s="66">
        <f t="shared" si="187"/>
        <v>0</v>
      </c>
      <c r="U97" s="66">
        <f t="shared" si="188"/>
        <v>0</v>
      </c>
      <c r="V97" s="154">
        <f t="shared" si="189"/>
        <v>0</v>
      </c>
      <c r="W97" s="66">
        <f t="shared" si="189"/>
        <v>0</v>
      </c>
      <c r="X97" s="66">
        <f t="shared" si="190"/>
        <v>0</v>
      </c>
      <c r="Y97" s="154">
        <f t="shared" si="191"/>
        <v>0</v>
      </c>
      <c r="Z97" s="115"/>
      <c r="AA97" s="129">
        <f t="shared" ref="AA97:AA100" si="196">SUM(B97,E97,H97,K97,N97,Q97,T97,W97)</f>
        <v>0</v>
      </c>
      <c r="AB97" s="117">
        <f t="shared" ref="AB97:AB100" si="197">SUM(C97,F97,I97,L97,O97,R97,U97,X97)</f>
        <v>0</v>
      </c>
      <c r="AC97" s="102">
        <f t="shared" ref="AC97:AC100" si="198">SUM(D97,G97,J97,M97,P97,S97,V97,Y97)</f>
        <v>0</v>
      </c>
      <c r="AH97" s="34"/>
      <c r="AI97" s="34"/>
      <c r="AJ97" s="34"/>
      <c r="AK97" s="34"/>
      <c r="AL97" s="34"/>
    </row>
    <row r="98" spans="1:38" s="33" customFormat="1" ht="15" customHeight="1" x14ac:dyDescent="0.25">
      <c r="A98" s="8">
        <f>'Break Down Per Community'!G25</f>
        <v>0</v>
      </c>
      <c r="B98" s="72">
        <f>'Break Down Per Community'!H25</f>
        <v>0</v>
      </c>
      <c r="C98" s="72">
        <f>'Break Down Per Community'!I25</f>
        <v>0</v>
      </c>
      <c r="D98" s="128">
        <f t="shared" si="192"/>
        <v>0</v>
      </c>
      <c r="E98" s="66">
        <f t="shared" si="193"/>
        <v>0</v>
      </c>
      <c r="F98" s="66">
        <f t="shared" si="194"/>
        <v>0</v>
      </c>
      <c r="G98" s="154">
        <f t="shared" si="195"/>
        <v>0</v>
      </c>
      <c r="H98" s="66">
        <f t="shared" si="179"/>
        <v>0</v>
      </c>
      <c r="I98" s="66">
        <f t="shared" si="180"/>
        <v>0</v>
      </c>
      <c r="J98" s="154">
        <f t="shared" si="181"/>
        <v>0</v>
      </c>
      <c r="K98" s="66">
        <f t="shared" si="181"/>
        <v>0</v>
      </c>
      <c r="L98" s="66">
        <f t="shared" si="182"/>
        <v>0</v>
      </c>
      <c r="M98" s="154">
        <f t="shared" si="183"/>
        <v>0</v>
      </c>
      <c r="N98" s="66">
        <f t="shared" si="183"/>
        <v>0</v>
      </c>
      <c r="O98" s="66">
        <f t="shared" si="184"/>
        <v>0</v>
      </c>
      <c r="P98" s="154">
        <f t="shared" si="185"/>
        <v>0</v>
      </c>
      <c r="Q98" s="66">
        <f t="shared" si="185"/>
        <v>0</v>
      </c>
      <c r="R98" s="66">
        <f t="shared" si="186"/>
        <v>0</v>
      </c>
      <c r="S98" s="154">
        <f t="shared" si="187"/>
        <v>0</v>
      </c>
      <c r="T98" s="66">
        <f t="shared" si="187"/>
        <v>0</v>
      </c>
      <c r="U98" s="66">
        <f t="shared" si="188"/>
        <v>0</v>
      </c>
      <c r="V98" s="154">
        <f t="shared" si="189"/>
        <v>0</v>
      </c>
      <c r="W98" s="66">
        <f t="shared" si="189"/>
        <v>0</v>
      </c>
      <c r="X98" s="66">
        <f t="shared" si="190"/>
        <v>0</v>
      </c>
      <c r="Y98" s="154">
        <f t="shared" si="191"/>
        <v>0</v>
      </c>
      <c r="Z98" s="115"/>
      <c r="AA98" s="129">
        <f t="shared" si="196"/>
        <v>0</v>
      </c>
      <c r="AB98" s="117">
        <f t="shared" si="197"/>
        <v>0</v>
      </c>
      <c r="AC98" s="102">
        <f t="shared" si="198"/>
        <v>0</v>
      </c>
      <c r="AH98" s="34"/>
      <c r="AI98" s="34"/>
      <c r="AJ98" s="34"/>
      <c r="AK98" s="34"/>
      <c r="AL98" s="34"/>
    </row>
    <row r="99" spans="1:38" s="33" customFormat="1" ht="15" customHeight="1" x14ac:dyDescent="0.25">
      <c r="A99" s="8">
        <f>'Break Down Per Community'!G26</f>
        <v>0</v>
      </c>
      <c r="B99" s="72">
        <f>'Break Down Per Community'!H26</f>
        <v>0</v>
      </c>
      <c r="C99" s="72">
        <f>'Break Down Per Community'!I26</f>
        <v>0</v>
      </c>
      <c r="D99" s="128">
        <f t="shared" si="192"/>
        <v>0</v>
      </c>
      <c r="E99" s="66">
        <f t="shared" si="193"/>
        <v>0</v>
      </c>
      <c r="F99" s="66">
        <f t="shared" si="194"/>
        <v>0</v>
      </c>
      <c r="G99" s="154">
        <f t="shared" si="195"/>
        <v>0</v>
      </c>
      <c r="H99" s="66">
        <f t="shared" si="179"/>
        <v>0</v>
      </c>
      <c r="I99" s="66">
        <f t="shared" si="180"/>
        <v>0</v>
      </c>
      <c r="J99" s="154">
        <f t="shared" si="181"/>
        <v>0</v>
      </c>
      <c r="K99" s="66">
        <f t="shared" si="181"/>
        <v>0</v>
      </c>
      <c r="L99" s="66">
        <f t="shared" si="182"/>
        <v>0</v>
      </c>
      <c r="M99" s="154">
        <f t="shared" si="183"/>
        <v>0</v>
      </c>
      <c r="N99" s="66">
        <f t="shared" si="183"/>
        <v>0</v>
      </c>
      <c r="O99" s="66">
        <f t="shared" si="184"/>
        <v>0</v>
      </c>
      <c r="P99" s="154">
        <f t="shared" si="185"/>
        <v>0</v>
      </c>
      <c r="Q99" s="66">
        <f t="shared" si="185"/>
        <v>0</v>
      </c>
      <c r="R99" s="66">
        <f t="shared" si="186"/>
        <v>0</v>
      </c>
      <c r="S99" s="154">
        <f t="shared" si="187"/>
        <v>0</v>
      </c>
      <c r="T99" s="66">
        <f t="shared" si="187"/>
        <v>0</v>
      </c>
      <c r="U99" s="66">
        <f t="shared" si="188"/>
        <v>0</v>
      </c>
      <c r="V99" s="154">
        <f t="shared" si="189"/>
        <v>0</v>
      </c>
      <c r="W99" s="66">
        <f t="shared" si="189"/>
        <v>0</v>
      </c>
      <c r="X99" s="66">
        <f t="shared" si="190"/>
        <v>0</v>
      </c>
      <c r="Y99" s="154">
        <f t="shared" si="191"/>
        <v>0</v>
      </c>
      <c r="Z99" s="115"/>
      <c r="AA99" s="129">
        <f t="shared" si="196"/>
        <v>0</v>
      </c>
      <c r="AB99" s="117">
        <f t="shared" si="197"/>
        <v>0</v>
      </c>
      <c r="AC99" s="102">
        <f t="shared" si="198"/>
        <v>0</v>
      </c>
      <c r="AH99" s="34"/>
      <c r="AI99" s="34"/>
      <c r="AJ99" s="34"/>
      <c r="AK99" s="34"/>
      <c r="AL99" s="34"/>
    </row>
    <row r="100" spans="1:38" s="33" customFormat="1" ht="15" customHeight="1" thickBot="1" x14ac:dyDescent="0.3">
      <c r="A100" s="8"/>
      <c r="B100" s="67"/>
      <c r="C100" s="81"/>
      <c r="D100" s="128">
        <f t="shared" si="192"/>
        <v>0</v>
      </c>
      <c r="E100" s="66">
        <f t="shared" si="193"/>
        <v>0</v>
      </c>
      <c r="F100" s="66">
        <f t="shared" si="194"/>
        <v>0</v>
      </c>
      <c r="G100" s="154">
        <f t="shared" si="195"/>
        <v>0</v>
      </c>
      <c r="H100" s="66">
        <f t="shared" si="179"/>
        <v>0</v>
      </c>
      <c r="I100" s="66">
        <f t="shared" si="180"/>
        <v>0</v>
      </c>
      <c r="J100" s="154">
        <f t="shared" si="181"/>
        <v>0</v>
      </c>
      <c r="K100" s="66">
        <f t="shared" si="181"/>
        <v>0</v>
      </c>
      <c r="L100" s="66">
        <f t="shared" si="182"/>
        <v>0</v>
      </c>
      <c r="M100" s="154">
        <f t="shared" si="183"/>
        <v>0</v>
      </c>
      <c r="N100" s="66">
        <f t="shared" si="183"/>
        <v>0</v>
      </c>
      <c r="O100" s="66">
        <f t="shared" si="184"/>
        <v>0</v>
      </c>
      <c r="P100" s="154">
        <f t="shared" si="185"/>
        <v>0</v>
      </c>
      <c r="Q100" s="66">
        <f t="shared" si="185"/>
        <v>0</v>
      </c>
      <c r="R100" s="66">
        <f t="shared" si="186"/>
        <v>0</v>
      </c>
      <c r="S100" s="154">
        <f t="shared" si="187"/>
        <v>0</v>
      </c>
      <c r="T100" s="66">
        <f t="shared" si="187"/>
        <v>0</v>
      </c>
      <c r="U100" s="66">
        <f t="shared" si="188"/>
        <v>0</v>
      </c>
      <c r="V100" s="154">
        <f t="shared" si="189"/>
        <v>0</v>
      </c>
      <c r="W100" s="66">
        <f t="shared" si="189"/>
        <v>0</v>
      </c>
      <c r="X100" s="66">
        <f t="shared" si="190"/>
        <v>0</v>
      </c>
      <c r="Y100" s="154">
        <f t="shared" si="191"/>
        <v>0</v>
      </c>
      <c r="Z100" s="115"/>
      <c r="AA100" s="129">
        <f t="shared" si="196"/>
        <v>0</v>
      </c>
      <c r="AB100" s="117">
        <f t="shared" si="197"/>
        <v>0</v>
      </c>
      <c r="AC100" s="102">
        <f t="shared" si="198"/>
        <v>0</v>
      </c>
      <c r="AH100" s="34"/>
      <c r="AI100" s="34"/>
      <c r="AJ100" s="34"/>
      <c r="AK100" s="34"/>
      <c r="AL100" s="34"/>
    </row>
    <row r="101" spans="1:38" s="33" customFormat="1" ht="15" customHeight="1" x14ac:dyDescent="0.25">
      <c r="A101" s="9" t="str">
        <f>"Total "&amp;A95</f>
        <v>Total Security</v>
      </c>
      <c r="B101" s="69">
        <f t="shared" ref="B101:V101" si="199">SUM(B96:B100)</f>
        <v>50000</v>
      </c>
      <c r="C101" s="168">
        <f t="shared" si="199"/>
        <v>6</v>
      </c>
      <c r="D101" s="130">
        <f t="shared" si="199"/>
        <v>300000</v>
      </c>
      <c r="E101" s="69">
        <f t="shared" si="199"/>
        <v>50000</v>
      </c>
      <c r="F101" s="168">
        <f t="shared" si="199"/>
        <v>6</v>
      </c>
      <c r="G101" s="153">
        <f t="shared" si="199"/>
        <v>300000</v>
      </c>
      <c r="H101" s="69">
        <f t="shared" si="199"/>
        <v>50000</v>
      </c>
      <c r="I101" s="168">
        <f t="shared" si="199"/>
        <v>6</v>
      </c>
      <c r="J101" s="153">
        <f t="shared" si="199"/>
        <v>300000</v>
      </c>
      <c r="K101" s="69">
        <f t="shared" si="199"/>
        <v>50000</v>
      </c>
      <c r="L101" s="168">
        <f t="shared" si="199"/>
        <v>6</v>
      </c>
      <c r="M101" s="153">
        <f t="shared" si="199"/>
        <v>300000</v>
      </c>
      <c r="N101" s="69">
        <f t="shared" ref="N101:P101" si="200">SUM(N96:N100)</f>
        <v>50000</v>
      </c>
      <c r="O101" s="168">
        <f t="shared" si="200"/>
        <v>6</v>
      </c>
      <c r="P101" s="153">
        <f t="shared" si="200"/>
        <v>300000</v>
      </c>
      <c r="Q101" s="69">
        <f t="shared" si="199"/>
        <v>50000</v>
      </c>
      <c r="R101" s="168">
        <f t="shared" si="199"/>
        <v>6</v>
      </c>
      <c r="S101" s="153">
        <f t="shared" si="199"/>
        <v>300000</v>
      </c>
      <c r="T101" s="69">
        <f t="shared" si="199"/>
        <v>50000</v>
      </c>
      <c r="U101" s="168">
        <f t="shared" si="199"/>
        <v>6</v>
      </c>
      <c r="V101" s="153">
        <f t="shared" si="199"/>
        <v>300000</v>
      </c>
      <c r="W101" s="69">
        <f t="shared" ref="W101:Y101" si="201">SUM(W96:W100)</f>
        <v>50000</v>
      </c>
      <c r="X101" s="168">
        <f t="shared" si="201"/>
        <v>6</v>
      </c>
      <c r="Y101" s="153">
        <f t="shared" si="201"/>
        <v>300000</v>
      </c>
      <c r="Z101" s="123"/>
      <c r="AA101" s="69">
        <f>SUM(AA96:AA100)</f>
        <v>400000</v>
      </c>
      <c r="AB101" s="168">
        <f>SUM(C101,F101,I101,L101,IF($J$7=5,O101,0))</f>
        <v>24</v>
      </c>
      <c r="AC101" s="130">
        <f>SUM(AC96:AC100)</f>
        <v>2400000</v>
      </c>
      <c r="AH101" s="34"/>
      <c r="AI101" s="34"/>
      <c r="AJ101" s="34"/>
      <c r="AK101" s="34"/>
      <c r="AL101" s="34"/>
    </row>
    <row r="102" spans="1:38" s="33" customFormat="1" ht="7" customHeight="1" x14ac:dyDescent="0.25">
      <c r="A102" s="38"/>
      <c r="B102" s="58"/>
      <c r="C102" s="58"/>
      <c r="D102" s="58"/>
      <c r="E102" s="58"/>
      <c r="F102" s="58"/>
      <c r="G102" s="157"/>
      <c r="H102" s="58"/>
      <c r="I102" s="58"/>
      <c r="J102" s="157"/>
      <c r="K102" s="58"/>
      <c r="L102" s="58"/>
      <c r="M102" s="157"/>
      <c r="N102" s="58"/>
      <c r="O102" s="58"/>
      <c r="P102" s="157"/>
      <c r="Q102" s="58"/>
      <c r="R102" s="58"/>
      <c r="S102" s="157"/>
      <c r="T102" s="58"/>
      <c r="U102" s="58"/>
      <c r="V102" s="157"/>
      <c r="W102" s="58"/>
      <c r="X102" s="58"/>
      <c r="Y102" s="157"/>
      <c r="Z102" s="58"/>
      <c r="AA102" s="58"/>
      <c r="AB102" s="58"/>
      <c r="AC102" s="58"/>
      <c r="AH102" s="34"/>
      <c r="AI102" s="34"/>
      <c r="AJ102" s="34"/>
      <c r="AK102" s="34"/>
      <c r="AL102" s="34"/>
    </row>
    <row r="103" spans="1:38" s="33" customFormat="1" ht="15" customHeight="1" thickBot="1" x14ac:dyDescent="0.3">
      <c r="A103" s="44" t="str">
        <f>'Total '!B15</f>
        <v>Contingency Funds</v>
      </c>
      <c r="B103" s="65" t="str">
        <f>$B$11</f>
        <v>Cost</v>
      </c>
      <c r="C103" s="65" t="str">
        <f>$C$11</f>
        <v>Frequency</v>
      </c>
      <c r="D103" s="65" t="str">
        <f>$D$11</f>
        <v>Total</v>
      </c>
      <c r="E103" s="65" t="str">
        <f>$E$11</f>
        <v>Cost</v>
      </c>
      <c r="F103" s="65" t="str">
        <f>$F$11</f>
        <v>Frequency</v>
      </c>
      <c r="G103" s="65" t="str">
        <f>G95</f>
        <v>Total</v>
      </c>
      <c r="H103" s="65" t="str">
        <f>$H$11</f>
        <v>Cost</v>
      </c>
      <c r="I103" s="65" t="str">
        <f>$I$11</f>
        <v>Frequency</v>
      </c>
      <c r="J103" s="65" t="str">
        <f>J95</f>
        <v>Total</v>
      </c>
      <c r="K103" s="65" t="str">
        <f>$K$11</f>
        <v>Cost</v>
      </c>
      <c r="L103" s="65" t="str">
        <f>$L$11</f>
        <v>Frequency</v>
      </c>
      <c r="M103" s="65" t="str">
        <f>M95</f>
        <v>Total</v>
      </c>
      <c r="N103" s="65" t="str">
        <f>$K$11</f>
        <v>Cost</v>
      </c>
      <c r="O103" s="65" t="str">
        <f>$L$11</f>
        <v>Frequency</v>
      </c>
      <c r="P103" s="65" t="str">
        <f>P95</f>
        <v>Total</v>
      </c>
      <c r="Q103" s="65" t="str">
        <f>$H$11</f>
        <v>Cost</v>
      </c>
      <c r="R103" s="65" t="str">
        <f>$I$11</f>
        <v>Frequency</v>
      </c>
      <c r="S103" s="65" t="str">
        <f>S95</f>
        <v>Total</v>
      </c>
      <c r="T103" s="65" t="str">
        <f>$K$11</f>
        <v>Cost</v>
      </c>
      <c r="U103" s="65" t="str">
        <f>$L$11</f>
        <v>Frequency</v>
      </c>
      <c r="V103" s="65" t="str">
        <f>V95</f>
        <v>Total</v>
      </c>
      <c r="W103" s="65" t="str">
        <f>$K$11</f>
        <v>Cost</v>
      </c>
      <c r="X103" s="65" t="str">
        <f>$L$11</f>
        <v>Frequency</v>
      </c>
      <c r="Y103" s="65" t="str">
        <f>Y95</f>
        <v>Total</v>
      </c>
      <c r="Z103" s="92"/>
      <c r="AA103" s="125" t="str">
        <f>$AA$11</f>
        <v>Cost</v>
      </c>
      <c r="AB103" s="126" t="str">
        <f>$AB$11</f>
        <v>Frequency</v>
      </c>
      <c r="AC103" s="127" t="str">
        <f>$AC$11</f>
        <v>Total</v>
      </c>
      <c r="AH103" s="34"/>
      <c r="AI103" s="34"/>
      <c r="AJ103" s="34"/>
      <c r="AK103" s="34"/>
      <c r="AL103" s="34"/>
    </row>
    <row r="104" spans="1:38" s="33" customFormat="1" ht="15" customHeight="1" x14ac:dyDescent="0.25">
      <c r="A104" s="8" t="str">
        <f>'Break Down Per Community'!G32</f>
        <v>Emergency  Funds</v>
      </c>
      <c r="B104" s="72">
        <f>'Break Down Per Community'!H32</f>
        <v>1000000</v>
      </c>
      <c r="C104" s="72">
        <f>'Break Down Per Community'!I32</f>
        <v>1</v>
      </c>
      <c r="D104" s="128">
        <f>B104*C104</f>
        <v>1000000</v>
      </c>
      <c r="E104" s="66">
        <f>B104</f>
        <v>1000000</v>
      </c>
      <c r="F104" s="66">
        <f t="shared" ref="F104:H107" si="202">C104</f>
        <v>1</v>
      </c>
      <c r="G104" s="154">
        <f t="shared" si="202"/>
        <v>1000000</v>
      </c>
      <c r="H104" s="66">
        <f t="shared" si="202"/>
        <v>1000000</v>
      </c>
      <c r="I104" s="66">
        <f t="shared" ref="I104:I107" si="203">F104</f>
        <v>1</v>
      </c>
      <c r="J104" s="154">
        <f t="shared" ref="J104:K107" si="204">G104</f>
        <v>1000000</v>
      </c>
      <c r="K104" s="66">
        <f t="shared" si="204"/>
        <v>1000000</v>
      </c>
      <c r="L104" s="66">
        <f t="shared" ref="L104:L107" si="205">I104</f>
        <v>1</v>
      </c>
      <c r="M104" s="154">
        <f t="shared" ref="M104:N107" si="206">J104</f>
        <v>1000000</v>
      </c>
      <c r="N104" s="66">
        <f t="shared" si="206"/>
        <v>1000000</v>
      </c>
      <c r="O104" s="66">
        <f t="shared" ref="O104:O107" si="207">L104</f>
        <v>1</v>
      </c>
      <c r="P104" s="154">
        <f t="shared" ref="P104:Q107" si="208">M104</f>
        <v>1000000</v>
      </c>
      <c r="Q104" s="66">
        <f t="shared" si="208"/>
        <v>1000000</v>
      </c>
      <c r="R104" s="66">
        <f t="shared" ref="R104:R107" si="209">O104</f>
        <v>1</v>
      </c>
      <c r="S104" s="154">
        <f t="shared" ref="S104:T107" si="210">P104</f>
        <v>1000000</v>
      </c>
      <c r="T104" s="66">
        <f t="shared" si="210"/>
        <v>1000000</v>
      </c>
      <c r="U104" s="66">
        <f t="shared" ref="U104:U107" si="211">R104</f>
        <v>1</v>
      </c>
      <c r="V104" s="154">
        <f t="shared" ref="V104:W107" si="212">S104</f>
        <v>1000000</v>
      </c>
      <c r="W104" s="66">
        <f t="shared" si="212"/>
        <v>1000000</v>
      </c>
      <c r="X104" s="66">
        <f t="shared" ref="X104:X107" si="213">U104</f>
        <v>1</v>
      </c>
      <c r="Y104" s="154">
        <f t="shared" ref="Y104:Y107" si="214">V104</f>
        <v>1000000</v>
      </c>
      <c r="Z104" s="115"/>
      <c r="AA104" s="129">
        <f>SUM(B104,E104,H104,K104,N104,Q104,T104,W104)</f>
        <v>8000000</v>
      </c>
      <c r="AB104" s="117">
        <f>SUM(C104,F104,I104,L104,O104,R104,U104,X104)</f>
        <v>8</v>
      </c>
      <c r="AC104" s="102">
        <f>SUM(D104,G104,J104,M104,P104,S104,V104,Y104)</f>
        <v>8000000</v>
      </c>
      <c r="AH104" s="34"/>
      <c r="AI104" s="34"/>
      <c r="AJ104" s="34"/>
      <c r="AK104" s="34"/>
      <c r="AL104" s="34"/>
    </row>
    <row r="105" spans="1:38" s="33" customFormat="1" ht="15" customHeight="1" x14ac:dyDescent="0.25">
      <c r="A105" s="8"/>
      <c r="B105" s="67"/>
      <c r="C105" s="81"/>
      <c r="D105" s="128">
        <f t="shared" ref="D105:D107" si="215">B105*C105</f>
        <v>0</v>
      </c>
      <c r="E105" s="66">
        <f t="shared" ref="E105:E107" si="216">B105</f>
        <v>0</v>
      </c>
      <c r="F105" s="66">
        <f t="shared" ref="F105:F107" si="217">C105</f>
        <v>0</v>
      </c>
      <c r="G105" s="154">
        <f t="shared" ref="G105:G107" si="218">D105</f>
        <v>0</v>
      </c>
      <c r="H105" s="66">
        <f t="shared" si="202"/>
        <v>0</v>
      </c>
      <c r="I105" s="66">
        <f t="shared" si="203"/>
        <v>0</v>
      </c>
      <c r="J105" s="154">
        <f t="shared" si="204"/>
        <v>0</v>
      </c>
      <c r="K105" s="66">
        <f t="shared" si="204"/>
        <v>0</v>
      </c>
      <c r="L105" s="66">
        <f t="shared" si="205"/>
        <v>0</v>
      </c>
      <c r="M105" s="154">
        <f t="shared" si="206"/>
        <v>0</v>
      </c>
      <c r="N105" s="66">
        <f t="shared" si="206"/>
        <v>0</v>
      </c>
      <c r="O105" s="66">
        <f t="shared" si="207"/>
        <v>0</v>
      </c>
      <c r="P105" s="154">
        <f t="shared" si="208"/>
        <v>0</v>
      </c>
      <c r="Q105" s="66">
        <f t="shared" si="208"/>
        <v>0</v>
      </c>
      <c r="R105" s="66">
        <f t="shared" si="209"/>
        <v>0</v>
      </c>
      <c r="S105" s="154">
        <f t="shared" si="210"/>
        <v>0</v>
      </c>
      <c r="T105" s="66">
        <f t="shared" si="210"/>
        <v>0</v>
      </c>
      <c r="U105" s="66">
        <f t="shared" si="211"/>
        <v>0</v>
      </c>
      <c r="V105" s="154">
        <f t="shared" si="212"/>
        <v>0</v>
      </c>
      <c r="W105" s="66">
        <f t="shared" si="212"/>
        <v>0</v>
      </c>
      <c r="X105" s="66">
        <f t="shared" si="213"/>
        <v>0</v>
      </c>
      <c r="Y105" s="154">
        <f t="shared" si="214"/>
        <v>0</v>
      </c>
      <c r="Z105" s="115"/>
      <c r="AA105" s="129">
        <f t="shared" ref="AA105:AA107" si="219">SUM(B105,E105,H105,K105,N105,Q105,T105,W105)</f>
        <v>0</v>
      </c>
      <c r="AB105" s="117">
        <f t="shared" ref="AB105:AB107" si="220">SUM(C105,F105,I105,L105,O105,R105,U105,X105)</f>
        <v>0</v>
      </c>
      <c r="AC105" s="102">
        <f t="shared" ref="AC105:AC107" si="221">SUM(D105,G105,J105,M105,P105,S105,V105,Y105)</f>
        <v>0</v>
      </c>
      <c r="AH105" s="34"/>
      <c r="AI105" s="34"/>
      <c r="AJ105" s="34"/>
      <c r="AK105" s="34"/>
      <c r="AL105" s="34"/>
    </row>
    <row r="106" spans="1:38" s="33" customFormat="1" ht="15" customHeight="1" x14ac:dyDescent="0.25">
      <c r="A106" s="8"/>
      <c r="B106" s="67"/>
      <c r="C106" s="81"/>
      <c r="D106" s="128">
        <f t="shared" si="215"/>
        <v>0</v>
      </c>
      <c r="E106" s="66">
        <f t="shared" si="216"/>
        <v>0</v>
      </c>
      <c r="F106" s="66">
        <f t="shared" si="217"/>
        <v>0</v>
      </c>
      <c r="G106" s="154">
        <f t="shared" si="218"/>
        <v>0</v>
      </c>
      <c r="H106" s="66">
        <f t="shared" si="202"/>
        <v>0</v>
      </c>
      <c r="I106" s="66">
        <f t="shared" si="203"/>
        <v>0</v>
      </c>
      <c r="J106" s="154">
        <f t="shared" si="204"/>
        <v>0</v>
      </c>
      <c r="K106" s="66">
        <f t="shared" si="204"/>
        <v>0</v>
      </c>
      <c r="L106" s="66">
        <f t="shared" si="205"/>
        <v>0</v>
      </c>
      <c r="M106" s="154">
        <f t="shared" si="206"/>
        <v>0</v>
      </c>
      <c r="N106" s="66">
        <f t="shared" si="206"/>
        <v>0</v>
      </c>
      <c r="O106" s="66">
        <f t="shared" si="207"/>
        <v>0</v>
      </c>
      <c r="P106" s="154">
        <f t="shared" si="208"/>
        <v>0</v>
      </c>
      <c r="Q106" s="66">
        <f t="shared" si="208"/>
        <v>0</v>
      </c>
      <c r="R106" s="66">
        <f t="shared" si="209"/>
        <v>0</v>
      </c>
      <c r="S106" s="154">
        <f t="shared" si="210"/>
        <v>0</v>
      </c>
      <c r="T106" s="66">
        <f t="shared" si="210"/>
        <v>0</v>
      </c>
      <c r="U106" s="66">
        <f t="shared" si="211"/>
        <v>0</v>
      </c>
      <c r="V106" s="154">
        <f t="shared" si="212"/>
        <v>0</v>
      </c>
      <c r="W106" s="66">
        <f t="shared" si="212"/>
        <v>0</v>
      </c>
      <c r="X106" s="66">
        <f t="shared" si="213"/>
        <v>0</v>
      </c>
      <c r="Y106" s="154">
        <f t="shared" si="214"/>
        <v>0</v>
      </c>
      <c r="Z106" s="115"/>
      <c r="AA106" s="129">
        <f t="shared" si="219"/>
        <v>0</v>
      </c>
      <c r="AB106" s="117">
        <f t="shared" si="220"/>
        <v>0</v>
      </c>
      <c r="AC106" s="102">
        <f t="shared" si="221"/>
        <v>0</v>
      </c>
      <c r="AH106" s="34"/>
      <c r="AI106" s="34"/>
      <c r="AJ106" s="34"/>
      <c r="AK106" s="34"/>
      <c r="AL106" s="34"/>
    </row>
    <row r="107" spans="1:38" s="33" customFormat="1" ht="15" customHeight="1" thickBot="1" x14ac:dyDescent="0.3">
      <c r="A107" s="8"/>
      <c r="B107" s="67"/>
      <c r="C107" s="81"/>
      <c r="D107" s="128">
        <f t="shared" si="215"/>
        <v>0</v>
      </c>
      <c r="E107" s="66">
        <f t="shared" si="216"/>
        <v>0</v>
      </c>
      <c r="F107" s="66">
        <f t="shared" si="217"/>
        <v>0</v>
      </c>
      <c r="G107" s="154">
        <f t="shared" si="218"/>
        <v>0</v>
      </c>
      <c r="H107" s="66">
        <f t="shared" si="202"/>
        <v>0</v>
      </c>
      <c r="I107" s="66">
        <f t="shared" si="203"/>
        <v>0</v>
      </c>
      <c r="J107" s="154">
        <f t="shared" si="204"/>
        <v>0</v>
      </c>
      <c r="K107" s="66">
        <f t="shared" si="204"/>
        <v>0</v>
      </c>
      <c r="L107" s="66">
        <f t="shared" si="205"/>
        <v>0</v>
      </c>
      <c r="M107" s="154">
        <f t="shared" si="206"/>
        <v>0</v>
      </c>
      <c r="N107" s="66">
        <f t="shared" si="206"/>
        <v>0</v>
      </c>
      <c r="O107" s="66">
        <f t="shared" si="207"/>
        <v>0</v>
      </c>
      <c r="P107" s="154">
        <f t="shared" si="208"/>
        <v>0</v>
      </c>
      <c r="Q107" s="66">
        <f t="shared" si="208"/>
        <v>0</v>
      </c>
      <c r="R107" s="66">
        <f t="shared" si="209"/>
        <v>0</v>
      </c>
      <c r="S107" s="154">
        <f t="shared" si="210"/>
        <v>0</v>
      </c>
      <c r="T107" s="66">
        <f t="shared" si="210"/>
        <v>0</v>
      </c>
      <c r="U107" s="66">
        <f t="shared" si="211"/>
        <v>0</v>
      </c>
      <c r="V107" s="154">
        <f t="shared" si="212"/>
        <v>0</v>
      </c>
      <c r="W107" s="66">
        <f t="shared" si="212"/>
        <v>0</v>
      </c>
      <c r="X107" s="66">
        <f t="shared" si="213"/>
        <v>0</v>
      </c>
      <c r="Y107" s="154">
        <f t="shared" si="214"/>
        <v>0</v>
      </c>
      <c r="Z107" s="115"/>
      <c r="AA107" s="129">
        <f t="shared" si="219"/>
        <v>0</v>
      </c>
      <c r="AB107" s="117">
        <f t="shared" si="220"/>
        <v>0</v>
      </c>
      <c r="AC107" s="102">
        <f t="shared" si="221"/>
        <v>0</v>
      </c>
      <c r="AH107" s="34"/>
      <c r="AI107" s="34"/>
      <c r="AJ107" s="34"/>
      <c r="AK107" s="34"/>
      <c r="AL107" s="34"/>
    </row>
    <row r="108" spans="1:38" s="33" customFormat="1" ht="15" customHeight="1" x14ac:dyDescent="0.25">
      <c r="A108" s="9" t="str">
        <f>"Total "&amp;A103</f>
        <v>Total Contingency Funds</v>
      </c>
      <c r="B108" s="69">
        <f t="shared" ref="B108:V108" si="222">SUM(B104:B107)</f>
        <v>1000000</v>
      </c>
      <c r="C108" s="168">
        <f t="shared" si="222"/>
        <v>1</v>
      </c>
      <c r="D108" s="130">
        <f>SUM(D104:D107)</f>
        <v>1000000</v>
      </c>
      <c r="E108" s="69">
        <f t="shared" si="222"/>
        <v>1000000</v>
      </c>
      <c r="F108" s="168">
        <f t="shared" si="222"/>
        <v>1</v>
      </c>
      <c r="G108" s="153">
        <f t="shared" si="222"/>
        <v>1000000</v>
      </c>
      <c r="H108" s="69">
        <f t="shared" si="222"/>
        <v>1000000</v>
      </c>
      <c r="I108" s="168">
        <f t="shared" si="222"/>
        <v>1</v>
      </c>
      <c r="J108" s="153">
        <f t="shared" si="222"/>
        <v>1000000</v>
      </c>
      <c r="K108" s="69">
        <f t="shared" si="222"/>
        <v>1000000</v>
      </c>
      <c r="L108" s="168">
        <f t="shared" si="222"/>
        <v>1</v>
      </c>
      <c r="M108" s="153">
        <f t="shared" si="222"/>
        <v>1000000</v>
      </c>
      <c r="N108" s="69">
        <f t="shared" ref="N108:P108" si="223">SUM(N104:N107)</f>
        <v>1000000</v>
      </c>
      <c r="O108" s="168">
        <f t="shared" si="223"/>
        <v>1</v>
      </c>
      <c r="P108" s="153">
        <f t="shared" si="223"/>
        <v>1000000</v>
      </c>
      <c r="Q108" s="69">
        <f t="shared" si="222"/>
        <v>1000000</v>
      </c>
      <c r="R108" s="168">
        <f t="shared" si="222"/>
        <v>1</v>
      </c>
      <c r="S108" s="153">
        <f t="shared" si="222"/>
        <v>1000000</v>
      </c>
      <c r="T108" s="69">
        <f t="shared" si="222"/>
        <v>1000000</v>
      </c>
      <c r="U108" s="168">
        <f t="shared" si="222"/>
        <v>1</v>
      </c>
      <c r="V108" s="153">
        <f t="shared" si="222"/>
        <v>1000000</v>
      </c>
      <c r="W108" s="69">
        <f t="shared" ref="W108:Y108" si="224">SUM(W104:W107)</f>
        <v>1000000</v>
      </c>
      <c r="X108" s="168">
        <f t="shared" si="224"/>
        <v>1</v>
      </c>
      <c r="Y108" s="153">
        <f t="shared" si="224"/>
        <v>1000000</v>
      </c>
      <c r="Z108" s="123"/>
      <c r="AA108" s="69">
        <f>SUM(AA104:AA107)</f>
        <v>8000000</v>
      </c>
      <c r="AB108" s="168">
        <f>SUM(C108,F108,I108,L108,IF($J$7=5,O108,0))</f>
        <v>4</v>
      </c>
      <c r="AC108" s="130">
        <f>SUM(AC104:AC107)</f>
        <v>8000000</v>
      </c>
      <c r="AH108" s="34"/>
      <c r="AI108" s="34"/>
      <c r="AJ108" s="34"/>
      <c r="AK108" s="34"/>
      <c r="AL108" s="34"/>
    </row>
    <row r="109" spans="1:38" s="33" customFormat="1" ht="7" customHeight="1" x14ac:dyDescent="0.25">
      <c r="A109" s="46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H109" s="34"/>
      <c r="AI109" s="34"/>
      <c r="AJ109" s="34"/>
      <c r="AK109" s="34"/>
      <c r="AL109" s="34"/>
    </row>
    <row r="110" spans="1:38" s="33" customFormat="1" ht="15" hidden="1" customHeight="1" thickBot="1" x14ac:dyDescent="0.3">
      <c r="A110" s="44" t="s">
        <v>63</v>
      </c>
      <c r="B110" s="65" t="str">
        <f>$B$11</f>
        <v>Cost</v>
      </c>
      <c r="C110" s="65" t="str">
        <f>$C$11</f>
        <v>Frequency</v>
      </c>
      <c r="D110" s="65" t="str">
        <f>$D$11</f>
        <v>Total</v>
      </c>
      <c r="E110" s="65" t="str">
        <f>$E$11</f>
        <v>Cost</v>
      </c>
      <c r="F110" s="65" t="str">
        <f>$F$11</f>
        <v>Frequency</v>
      </c>
      <c r="G110" s="65" t="str">
        <f>$G$11</f>
        <v>Total</v>
      </c>
      <c r="H110" s="65" t="str">
        <f>$H$11</f>
        <v>Cost</v>
      </c>
      <c r="I110" s="65" t="str">
        <f>$I$11</f>
        <v>Frequency</v>
      </c>
      <c r="J110" s="65" t="str">
        <f>$J$11</f>
        <v>Total</v>
      </c>
      <c r="K110" s="65" t="str">
        <f>$K$11</f>
        <v>Cost</v>
      </c>
      <c r="L110" s="65" t="str">
        <f>$L$11</f>
        <v>Frequency</v>
      </c>
      <c r="M110" s="65" t="str">
        <f>$M$11</f>
        <v>Total</v>
      </c>
      <c r="N110" s="65" t="str">
        <f>$N$11</f>
        <v>Cost</v>
      </c>
      <c r="O110" s="65" t="str">
        <f>$O$11</f>
        <v>Frequency</v>
      </c>
      <c r="P110" s="65" t="str">
        <f>$P$11</f>
        <v>Total</v>
      </c>
      <c r="Q110" s="65" t="str">
        <f>$H$11</f>
        <v>Cost</v>
      </c>
      <c r="R110" s="65" t="str">
        <f>$I$11</f>
        <v>Frequency</v>
      </c>
      <c r="S110" s="65" t="str">
        <f>$J$11</f>
        <v>Total</v>
      </c>
      <c r="T110" s="65" t="str">
        <f>$K$11</f>
        <v>Cost</v>
      </c>
      <c r="U110" s="65" t="str">
        <f>$L$11</f>
        <v>Frequency</v>
      </c>
      <c r="V110" s="65" t="str">
        <f>$M$11</f>
        <v>Total</v>
      </c>
      <c r="W110" s="65" t="str">
        <f>$N$11</f>
        <v>Cost</v>
      </c>
      <c r="X110" s="65" t="str">
        <f>$O$11</f>
        <v>Frequency</v>
      </c>
      <c r="Y110" s="65" t="str">
        <f>$P$11</f>
        <v>Total</v>
      </c>
      <c r="Z110" s="92"/>
      <c r="AA110" s="125" t="str">
        <f>$AA$11</f>
        <v>Cost</v>
      </c>
      <c r="AB110" s="126" t="str">
        <f>$AB$11</f>
        <v>Frequency</v>
      </c>
      <c r="AC110" s="127" t="str">
        <f>$AC$11</f>
        <v>Total</v>
      </c>
      <c r="AH110" s="34"/>
      <c r="AI110" s="34"/>
      <c r="AJ110" s="34"/>
      <c r="AK110" s="34"/>
      <c r="AL110" s="34"/>
    </row>
    <row r="111" spans="1:38" s="33" customFormat="1" ht="15" hidden="1" customHeight="1" x14ac:dyDescent="0.25">
      <c r="A111" s="8" t="s">
        <v>2</v>
      </c>
      <c r="B111" s="66"/>
      <c r="C111" s="80"/>
      <c r="D111" s="128">
        <f>B111-C111</f>
        <v>0</v>
      </c>
      <c r="E111" s="66"/>
      <c r="F111" s="80"/>
      <c r="G111" s="128">
        <f>E111-F111</f>
        <v>0</v>
      </c>
      <c r="H111" s="66"/>
      <c r="I111" s="80"/>
      <c r="J111" s="128">
        <f>H111-I111</f>
        <v>0</v>
      </c>
      <c r="K111" s="66"/>
      <c r="L111" s="80"/>
      <c r="M111" s="128">
        <f>K111-L111</f>
        <v>0</v>
      </c>
      <c r="N111" s="132"/>
      <c r="O111" s="80"/>
      <c r="P111" s="128">
        <f>IF($J$7=5,N111-O111,0)</f>
        <v>0</v>
      </c>
      <c r="Q111" s="66"/>
      <c r="R111" s="80"/>
      <c r="S111" s="128">
        <f>Q111-R111</f>
        <v>0</v>
      </c>
      <c r="T111" s="66"/>
      <c r="U111" s="80"/>
      <c r="V111" s="128">
        <f>T111-U111</f>
        <v>0</v>
      </c>
      <c r="W111" s="132"/>
      <c r="X111" s="80"/>
      <c r="Y111" s="128">
        <f>IF($J$7=5,W111-X111,0)</f>
        <v>0</v>
      </c>
      <c r="Z111" s="115"/>
      <c r="AA111" s="129">
        <f t="shared" ref="AA111:AB114" si="225">SUM(B111,E111,H111,K111,IF($J$7=5,N111,0))</f>
        <v>0</v>
      </c>
      <c r="AB111" s="117">
        <f t="shared" si="225"/>
        <v>0</v>
      </c>
      <c r="AC111" s="102">
        <f>SUM(B111,E111,H111,K111,IF($J$7=5,N111,0))-SUM(C111,F111,I111,L111,IF($J$7=5,O111,0))</f>
        <v>0</v>
      </c>
      <c r="AH111" s="34"/>
      <c r="AI111" s="34"/>
      <c r="AJ111" s="34"/>
      <c r="AK111" s="34"/>
      <c r="AL111" s="34"/>
    </row>
    <row r="112" spans="1:38" s="33" customFormat="1" ht="15" hidden="1" customHeight="1" x14ac:dyDescent="0.25">
      <c r="A112" s="8" t="s">
        <v>1</v>
      </c>
      <c r="B112" s="67"/>
      <c r="C112" s="81"/>
      <c r="D112" s="128">
        <f>B112-C112</f>
        <v>0</v>
      </c>
      <c r="E112" s="67"/>
      <c r="F112" s="81"/>
      <c r="G112" s="128">
        <f>E112-F112</f>
        <v>0</v>
      </c>
      <c r="H112" s="67"/>
      <c r="I112" s="81"/>
      <c r="J112" s="128">
        <f>H112-I112</f>
        <v>0</v>
      </c>
      <c r="K112" s="67"/>
      <c r="L112" s="81"/>
      <c r="M112" s="128">
        <f>K112-L112</f>
        <v>0</v>
      </c>
      <c r="N112" s="133"/>
      <c r="O112" s="81"/>
      <c r="P112" s="128">
        <f>IF($J$7=5,N112-O112,0)</f>
        <v>0</v>
      </c>
      <c r="Q112" s="67"/>
      <c r="R112" s="81"/>
      <c r="S112" s="128">
        <f>Q112-R112</f>
        <v>0</v>
      </c>
      <c r="T112" s="67"/>
      <c r="U112" s="81"/>
      <c r="V112" s="128">
        <f>T112-U112</f>
        <v>0</v>
      </c>
      <c r="W112" s="133"/>
      <c r="X112" s="81"/>
      <c r="Y112" s="128">
        <f>IF($J$7=5,W112-X112,0)</f>
        <v>0</v>
      </c>
      <c r="Z112" s="115"/>
      <c r="AA112" s="129">
        <f t="shared" si="225"/>
        <v>0</v>
      </c>
      <c r="AB112" s="117">
        <f t="shared" si="225"/>
        <v>0</v>
      </c>
      <c r="AC112" s="102">
        <f>SUM(B112,E112,H112,K112,IF($J$7=5,N112,0))-SUM(C112,F112,I112,L112,IF($J$7=5,O112,0))</f>
        <v>0</v>
      </c>
      <c r="AH112" s="34"/>
      <c r="AI112" s="34"/>
      <c r="AJ112" s="34"/>
      <c r="AK112" s="34"/>
      <c r="AL112" s="34"/>
    </row>
    <row r="113" spans="1:38" s="33" customFormat="1" ht="15" hidden="1" customHeight="1" x14ac:dyDescent="0.25">
      <c r="A113" s="8" t="s">
        <v>0</v>
      </c>
      <c r="B113" s="67"/>
      <c r="C113" s="81"/>
      <c r="D113" s="128">
        <f>B113-C113</f>
        <v>0</v>
      </c>
      <c r="E113" s="67"/>
      <c r="F113" s="81"/>
      <c r="G113" s="128">
        <f>E113-F113</f>
        <v>0</v>
      </c>
      <c r="H113" s="67"/>
      <c r="I113" s="81"/>
      <c r="J113" s="128">
        <f>H113-I113</f>
        <v>0</v>
      </c>
      <c r="K113" s="67"/>
      <c r="L113" s="81"/>
      <c r="M113" s="128">
        <f>K113-L113</f>
        <v>0</v>
      </c>
      <c r="N113" s="133"/>
      <c r="O113" s="81"/>
      <c r="P113" s="128">
        <f>IF($J$7=5,N113-O113,0)</f>
        <v>0</v>
      </c>
      <c r="Q113" s="67"/>
      <c r="R113" s="81"/>
      <c r="S113" s="128">
        <f>Q113-R113</f>
        <v>0</v>
      </c>
      <c r="T113" s="67"/>
      <c r="U113" s="81"/>
      <c r="V113" s="128">
        <f>T113-U113</f>
        <v>0</v>
      </c>
      <c r="W113" s="133"/>
      <c r="X113" s="81"/>
      <c r="Y113" s="128">
        <f>IF($J$7=5,W113-X113,0)</f>
        <v>0</v>
      </c>
      <c r="Z113" s="115"/>
      <c r="AA113" s="129">
        <f t="shared" si="225"/>
        <v>0</v>
      </c>
      <c r="AB113" s="117">
        <f t="shared" si="225"/>
        <v>0</v>
      </c>
      <c r="AC113" s="102">
        <f>SUM(B113,E113,H113,K113,IF($J$7=5,N113,0))-SUM(C113,F113,I113,L113,IF($J$7=5,O113,0))</f>
        <v>0</v>
      </c>
      <c r="AH113" s="34"/>
      <c r="AI113" s="34"/>
      <c r="AJ113" s="34"/>
      <c r="AK113" s="34"/>
      <c r="AL113" s="34"/>
    </row>
    <row r="114" spans="1:38" s="33" customFormat="1" ht="15" hidden="1" customHeight="1" thickBot="1" x14ac:dyDescent="0.3">
      <c r="A114" s="8" t="s">
        <v>5</v>
      </c>
      <c r="B114" s="68"/>
      <c r="C114" s="82"/>
      <c r="D114" s="134">
        <f>B114-C114</f>
        <v>0</v>
      </c>
      <c r="E114" s="68"/>
      <c r="F114" s="82"/>
      <c r="G114" s="134">
        <f>E114-F114</f>
        <v>0</v>
      </c>
      <c r="H114" s="68"/>
      <c r="I114" s="82"/>
      <c r="J114" s="134">
        <f>H114-I114</f>
        <v>0</v>
      </c>
      <c r="K114" s="68"/>
      <c r="L114" s="82"/>
      <c r="M114" s="134">
        <f>K114-L114</f>
        <v>0</v>
      </c>
      <c r="N114" s="135"/>
      <c r="O114" s="82"/>
      <c r="P114" s="134">
        <f>IF($J$7=5,N114-O114,0)</f>
        <v>0</v>
      </c>
      <c r="Q114" s="68"/>
      <c r="R114" s="82"/>
      <c r="S114" s="134">
        <f>Q114-R114</f>
        <v>0</v>
      </c>
      <c r="T114" s="68"/>
      <c r="U114" s="82"/>
      <c r="V114" s="134">
        <f>T114-U114</f>
        <v>0</v>
      </c>
      <c r="W114" s="135"/>
      <c r="X114" s="82"/>
      <c r="Y114" s="134">
        <f>IF($J$7=5,W114-X114,0)</f>
        <v>0</v>
      </c>
      <c r="Z114" s="115"/>
      <c r="AA114" s="129">
        <f t="shared" si="225"/>
        <v>0</v>
      </c>
      <c r="AB114" s="117">
        <f t="shared" si="225"/>
        <v>0</v>
      </c>
      <c r="AC114" s="102">
        <f>SUM(B114,E114,H114,K114,IF($J$7=5,N114,0))-SUM(C114,F114,I114,L114,IF($J$7=5,O114,0))</f>
        <v>0</v>
      </c>
      <c r="AH114" s="34"/>
      <c r="AI114" s="34"/>
      <c r="AJ114" s="34"/>
      <c r="AK114" s="34"/>
      <c r="AL114" s="34"/>
    </row>
    <row r="115" spans="1:38" s="33" customFormat="1" ht="15" hidden="1" customHeight="1" x14ac:dyDescent="0.25">
      <c r="A115" s="9" t="str">
        <f>"Total "&amp;A110</f>
        <v>Total RECREATION</v>
      </c>
      <c r="B115" s="69">
        <f t="shared" ref="B115:Y115" si="226">SUM(B111:B114)</f>
        <v>0</v>
      </c>
      <c r="C115" s="85">
        <f t="shared" si="226"/>
        <v>0</v>
      </c>
      <c r="D115" s="130">
        <f t="shared" si="226"/>
        <v>0</v>
      </c>
      <c r="E115" s="69">
        <f t="shared" si="226"/>
        <v>0</v>
      </c>
      <c r="F115" s="85">
        <f t="shared" si="226"/>
        <v>0</v>
      </c>
      <c r="G115" s="130">
        <f t="shared" si="226"/>
        <v>0</v>
      </c>
      <c r="H115" s="69">
        <f t="shared" si="226"/>
        <v>0</v>
      </c>
      <c r="I115" s="85">
        <f t="shared" si="226"/>
        <v>0</v>
      </c>
      <c r="J115" s="130">
        <f t="shared" si="226"/>
        <v>0</v>
      </c>
      <c r="K115" s="69">
        <f t="shared" si="226"/>
        <v>0</v>
      </c>
      <c r="L115" s="85">
        <f t="shared" si="226"/>
        <v>0</v>
      </c>
      <c r="M115" s="130">
        <f t="shared" si="226"/>
        <v>0</v>
      </c>
      <c r="N115" s="69">
        <f t="shared" si="226"/>
        <v>0</v>
      </c>
      <c r="O115" s="85">
        <f t="shared" si="226"/>
        <v>0</v>
      </c>
      <c r="P115" s="130">
        <f t="shared" si="226"/>
        <v>0</v>
      </c>
      <c r="Q115" s="69">
        <f t="shared" si="226"/>
        <v>0</v>
      </c>
      <c r="R115" s="85">
        <f t="shared" si="226"/>
        <v>0</v>
      </c>
      <c r="S115" s="130">
        <f t="shared" si="226"/>
        <v>0</v>
      </c>
      <c r="T115" s="69">
        <f t="shared" si="226"/>
        <v>0</v>
      </c>
      <c r="U115" s="85">
        <f t="shared" si="226"/>
        <v>0</v>
      </c>
      <c r="V115" s="130">
        <f t="shared" si="226"/>
        <v>0</v>
      </c>
      <c r="W115" s="69">
        <f t="shared" si="226"/>
        <v>0</v>
      </c>
      <c r="X115" s="85">
        <f t="shared" si="226"/>
        <v>0</v>
      </c>
      <c r="Y115" s="130">
        <f t="shared" si="226"/>
        <v>0</v>
      </c>
      <c r="Z115" s="123"/>
      <c r="AA115" s="69">
        <f>SUM(AA111:AA114)</f>
        <v>0</v>
      </c>
      <c r="AB115" s="85">
        <f>SUM(C115,F115,I115,L115,IF($J$7=5,O115,0))</f>
        <v>0</v>
      </c>
      <c r="AC115" s="130">
        <f>SUM(AC111:AC114)</f>
        <v>0</v>
      </c>
      <c r="AH115" s="34"/>
      <c r="AI115" s="34"/>
      <c r="AJ115" s="34"/>
      <c r="AK115" s="34"/>
      <c r="AL115" s="34"/>
    </row>
    <row r="116" spans="1:38" s="33" customFormat="1" ht="7" hidden="1" customHeight="1" x14ac:dyDescent="0.25">
      <c r="A116" s="3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H116" s="34"/>
      <c r="AI116" s="34"/>
      <c r="AJ116" s="34"/>
      <c r="AK116" s="34"/>
      <c r="AL116" s="34"/>
    </row>
    <row r="117" spans="1:38" s="33" customFormat="1" ht="15" hidden="1" customHeight="1" thickBot="1" x14ac:dyDescent="0.3">
      <c r="A117" s="44" t="s">
        <v>64</v>
      </c>
      <c r="B117" s="65" t="str">
        <f>$B$11</f>
        <v>Cost</v>
      </c>
      <c r="C117" s="65" t="str">
        <f>$C$11</f>
        <v>Frequency</v>
      </c>
      <c r="D117" s="65" t="str">
        <f>$D$11</f>
        <v>Total</v>
      </c>
      <c r="E117" s="65" t="str">
        <f>$E$11</f>
        <v>Cost</v>
      </c>
      <c r="F117" s="65" t="str">
        <f>$F$11</f>
        <v>Frequency</v>
      </c>
      <c r="G117" s="65" t="str">
        <f>$G$11</f>
        <v>Total</v>
      </c>
      <c r="H117" s="65" t="str">
        <f>$H$11</f>
        <v>Cost</v>
      </c>
      <c r="I117" s="65" t="str">
        <f>$I$11</f>
        <v>Frequency</v>
      </c>
      <c r="J117" s="65" t="str">
        <f>$J$11</f>
        <v>Total</v>
      </c>
      <c r="K117" s="65" t="str">
        <f>$K$11</f>
        <v>Cost</v>
      </c>
      <c r="L117" s="65" t="str">
        <f>$L$11</f>
        <v>Frequency</v>
      </c>
      <c r="M117" s="65" t="str">
        <f>$M$11</f>
        <v>Total</v>
      </c>
      <c r="N117" s="65" t="str">
        <f>$N$11</f>
        <v>Cost</v>
      </c>
      <c r="O117" s="65" t="str">
        <f>$O$11</f>
        <v>Frequency</v>
      </c>
      <c r="P117" s="65" t="str">
        <f>$P$11</f>
        <v>Total</v>
      </c>
      <c r="Q117" s="65" t="str">
        <f>$H$11</f>
        <v>Cost</v>
      </c>
      <c r="R117" s="65" t="str">
        <f>$I$11</f>
        <v>Frequency</v>
      </c>
      <c r="S117" s="65" t="str">
        <f>$J$11</f>
        <v>Total</v>
      </c>
      <c r="T117" s="65" t="str">
        <f>$K$11</f>
        <v>Cost</v>
      </c>
      <c r="U117" s="65" t="str">
        <f>$L$11</f>
        <v>Frequency</v>
      </c>
      <c r="V117" s="65" t="str">
        <f>$M$11</f>
        <v>Total</v>
      </c>
      <c r="W117" s="65" t="str">
        <f>$N$11</f>
        <v>Cost</v>
      </c>
      <c r="X117" s="65" t="str">
        <f>$O$11</f>
        <v>Frequency</v>
      </c>
      <c r="Y117" s="65" t="str">
        <f>$P$11</f>
        <v>Total</v>
      </c>
      <c r="Z117" s="92"/>
      <c r="AA117" s="125" t="str">
        <f>$AA$11</f>
        <v>Cost</v>
      </c>
      <c r="AB117" s="126" t="str">
        <f>$AB$11</f>
        <v>Frequency</v>
      </c>
      <c r="AC117" s="127" t="str">
        <f>$AC$11</f>
        <v>Total</v>
      </c>
      <c r="AH117" s="34"/>
      <c r="AI117" s="34"/>
      <c r="AJ117" s="34"/>
      <c r="AK117" s="34"/>
      <c r="AL117" s="34"/>
    </row>
    <row r="118" spans="1:38" s="33" customFormat="1" ht="15" hidden="1" customHeight="1" x14ac:dyDescent="0.25">
      <c r="A118" s="8" t="s">
        <v>65</v>
      </c>
      <c r="B118" s="66"/>
      <c r="C118" s="80"/>
      <c r="D118" s="128">
        <f>B118-C118</f>
        <v>0</v>
      </c>
      <c r="E118" s="66"/>
      <c r="F118" s="80"/>
      <c r="G118" s="128">
        <f>E118-F118</f>
        <v>0</v>
      </c>
      <c r="H118" s="66"/>
      <c r="I118" s="80"/>
      <c r="J118" s="128">
        <f>H118-I118</f>
        <v>0</v>
      </c>
      <c r="K118" s="66"/>
      <c r="L118" s="80"/>
      <c r="M118" s="128">
        <f>K118-L118</f>
        <v>0</v>
      </c>
      <c r="N118" s="132"/>
      <c r="O118" s="80"/>
      <c r="P118" s="128">
        <f>IF($J$7=5,N118-O118,0)</f>
        <v>0</v>
      </c>
      <c r="Q118" s="66"/>
      <c r="R118" s="80"/>
      <c r="S118" s="128">
        <f>Q118-R118</f>
        <v>0</v>
      </c>
      <c r="T118" s="66"/>
      <c r="U118" s="80"/>
      <c r="V118" s="128">
        <f>T118-U118</f>
        <v>0</v>
      </c>
      <c r="W118" s="132"/>
      <c r="X118" s="80"/>
      <c r="Y118" s="128">
        <f>IF($J$7=5,W118-X118,0)</f>
        <v>0</v>
      </c>
      <c r="Z118" s="115"/>
      <c r="AA118" s="129">
        <f t="shared" ref="AA118:AB122" si="227">SUM(B118,E118,H118,K118,IF($J$7=5,N118,0))</f>
        <v>0</v>
      </c>
      <c r="AB118" s="117">
        <f t="shared" si="227"/>
        <v>0</v>
      </c>
      <c r="AC118" s="102">
        <f>SUM(B118,E118,H118,K118,IF($J$7=5,N118,0))-SUM(C118,F118,I118,L118,IF($J$7=5,O118,0))</f>
        <v>0</v>
      </c>
      <c r="AH118" s="34"/>
      <c r="AI118" s="34"/>
      <c r="AJ118" s="34"/>
      <c r="AK118" s="34"/>
      <c r="AL118" s="34"/>
    </row>
    <row r="119" spans="1:38" s="33" customFormat="1" ht="15" hidden="1" customHeight="1" x14ac:dyDescent="0.25">
      <c r="A119" s="8" t="s">
        <v>65</v>
      </c>
      <c r="B119" s="67"/>
      <c r="C119" s="81"/>
      <c r="D119" s="128">
        <f>B119-C119</f>
        <v>0</v>
      </c>
      <c r="E119" s="67"/>
      <c r="F119" s="81"/>
      <c r="G119" s="128">
        <f>E119-F119</f>
        <v>0</v>
      </c>
      <c r="H119" s="67"/>
      <c r="I119" s="81"/>
      <c r="J119" s="128">
        <f>H119-I119</f>
        <v>0</v>
      </c>
      <c r="K119" s="67"/>
      <c r="L119" s="81"/>
      <c r="M119" s="128">
        <f>K119-L119</f>
        <v>0</v>
      </c>
      <c r="N119" s="133"/>
      <c r="O119" s="81"/>
      <c r="P119" s="128">
        <f>IF($J$7=5,N119-O119,0)</f>
        <v>0</v>
      </c>
      <c r="Q119" s="67"/>
      <c r="R119" s="81"/>
      <c r="S119" s="128">
        <f>Q119-R119</f>
        <v>0</v>
      </c>
      <c r="T119" s="67"/>
      <c r="U119" s="81"/>
      <c r="V119" s="128">
        <f>T119-U119</f>
        <v>0</v>
      </c>
      <c r="W119" s="133"/>
      <c r="X119" s="81"/>
      <c r="Y119" s="128">
        <f>IF($J$7=5,W119-X119,0)</f>
        <v>0</v>
      </c>
      <c r="Z119" s="115"/>
      <c r="AA119" s="129">
        <f t="shared" si="227"/>
        <v>0</v>
      </c>
      <c r="AB119" s="117">
        <f t="shared" si="227"/>
        <v>0</v>
      </c>
      <c r="AC119" s="102">
        <f>SUM(B119,E119,H119,K119,IF($J$7=5,N119,0))-SUM(C119,F119,I119,L119,IF($J$7=5,O119,0))</f>
        <v>0</v>
      </c>
      <c r="AH119" s="34"/>
      <c r="AI119" s="34"/>
      <c r="AJ119" s="34"/>
      <c r="AK119" s="34"/>
      <c r="AL119" s="34"/>
    </row>
    <row r="120" spans="1:38" s="33" customFormat="1" ht="15" hidden="1" customHeight="1" x14ac:dyDescent="0.25">
      <c r="A120" s="8" t="s">
        <v>65</v>
      </c>
      <c r="B120" s="67"/>
      <c r="C120" s="81"/>
      <c r="D120" s="128">
        <f>B120-C120</f>
        <v>0</v>
      </c>
      <c r="E120" s="67"/>
      <c r="F120" s="81"/>
      <c r="G120" s="128">
        <f>E120-F120</f>
        <v>0</v>
      </c>
      <c r="H120" s="67"/>
      <c r="I120" s="81"/>
      <c r="J120" s="128">
        <f>H120-I120</f>
        <v>0</v>
      </c>
      <c r="K120" s="67"/>
      <c r="L120" s="81"/>
      <c r="M120" s="128">
        <f>K120-L120</f>
        <v>0</v>
      </c>
      <c r="N120" s="133"/>
      <c r="O120" s="81"/>
      <c r="P120" s="128">
        <f>IF($J$7=5,N120-O120,0)</f>
        <v>0</v>
      </c>
      <c r="Q120" s="67"/>
      <c r="R120" s="81"/>
      <c r="S120" s="128">
        <f>Q120-R120</f>
        <v>0</v>
      </c>
      <c r="T120" s="67"/>
      <c r="U120" s="81"/>
      <c r="V120" s="128">
        <f>T120-U120</f>
        <v>0</v>
      </c>
      <c r="W120" s="133"/>
      <c r="X120" s="81"/>
      <c r="Y120" s="128">
        <f>IF($J$7=5,W120-X120,0)</f>
        <v>0</v>
      </c>
      <c r="Z120" s="115"/>
      <c r="AA120" s="129">
        <f t="shared" si="227"/>
        <v>0</v>
      </c>
      <c r="AB120" s="117">
        <f t="shared" si="227"/>
        <v>0</v>
      </c>
      <c r="AC120" s="102">
        <f>SUM(B120,E120,H120,K120,IF($J$7=5,N120,0))-SUM(C120,F120,I120,L120,IF($J$7=5,O120,0))</f>
        <v>0</v>
      </c>
      <c r="AH120" s="34"/>
      <c r="AI120" s="34"/>
      <c r="AJ120" s="34"/>
      <c r="AK120" s="34"/>
      <c r="AL120" s="34"/>
    </row>
    <row r="121" spans="1:38" s="33" customFormat="1" ht="15" hidden="1" customHeight="1" x14ac:dyDescent="0.25">
      <c r="A121" s="8" t="s">
        <v>65</v>
      </c>
      <c r="B121" s="67"/>
      <c r="C121" s="81"/>
      <c r="D121" s="128">
        <f>B121-C121</f>
        <v>0</v>
      </c>
      <c r="E121" s="67"/>
      <c r="F121" s="81"/>
      <c r="G121" s="128">
        <f>E121-F121</f>
        <v>0</v>
      </c>
      <c r="H121" s="67"/>
      <c r="I121" s="81"/>
      <c r="J121" s="128">
        <f>H121-I121</f>
        <v>0</v>
      </c>
      <c r="K121" s="67"/>
      <c r="L121" s="81"/>
      <c r="M121" s="128">
        <f>K121-L121</f>
        <v>0</v>
      </c>
      <c r="N121" s="133"/>
      <c r="O121" s="81"/>
      <c r="P121" s="128">
        <f>IF($J$7=5,N121-O121,0)</f>
        <v>0</v>
      </c>
      <c r="Q121" s="67"/>
      <c r="R121" s="81"/>
      <c r="S121" s="128">
        <f>Q121-R121</f>
        <v>0</v>
      </c>
      <c r="T121" s="67"/>
      <c r="U121" s="81"/>
      <c r="V121" s="128">
        <f>T121-U121</f>
        <v>0</v>
      </c>
      <c r="W121" s="133"/>
      <c r="X121" s="81"/>
      <c r="Y121" s="128">
        <f>IF($J$7=5,W121-X121,0)</f>
        <v>0</v>
      </c>
      <c r="Z121" s="115"/>
      <c r="AA121" s="129">
        <f t="shared" si="227"/>
        <v>0</v>
      </c>
      <c r="AB121" s="117">
        <f t="shared" si="227"/>
        <v>0</v>
      </c>
      <c r="AC121" s="102">
        <f>SUM(B121,E121,H121,K121,IF($J$7=5,N121,0))-SUM(C121,F121,I121,L121,IF($J$7=5,O121,0))</f>
        <v>0</v>
      </c>
      <c r="AH121" s="34"/>
      <c r="AI121" s="34"/>
      <c r="AJ121" s="34"/>
      <c r="AK121" s="34"/>
      <c r="AL121" s="34"/>
    </row>
    <row r="122" spans="1:38" s="33" customFormat="1" ht="15" hidden="1" customHeight="1" thickBot="1" x14ac:dyDescent="0.3">
      <c r="A122" s="8" t="s">
        <v>65</v>
      </c>
      <c r="B122" s="68"/>
      <c r="C122" s="82"/>
      <c r="D122" s="134">
        <f>B122-C122</f>
        <v>0</v>
      </c>
      <c r="E122" s="68"/>
      <c r="F122" s="82"/>
      <c r="G122" s="134">
        <f>E122-F122</f>
        <v>0</v>
      </c>
      <c r="H122" s="68"/>
      <c r="I122" s="82"/>
      <c r="J122" s="134">
        <f>H122-I122</f>
        <v>0</v>
      </c>
      <c r="K122" s="68"/>
      <c r="L122" s="82"/>
      <c r="M122" s="134">
        <f>K122-L122</f>
        <v>0</v>
      </c>
      <c r="N122" s="135"/>
      <c r="O122" s="82"/>
      <c r="P122" s="134">
        <f>IF($J$7=5,N122-O122,0)</f>
        <v>0</v>
      </c>
      <c r="Q122" s="68"/>
      <c r="R122" s="82"/>
      <c r="S122" s="134">
        <f>Q122-R122</f>
        <v>0</v>
      </c>
      <c r="T122" s="68"/>
      <c r="U122" s="82"/>
      <c r="V122" s="134">
        <f>T122-U122</f>
        <v>0</v>
      </c>
      <c r="W122" s="135"/>
      <c r="X122" s="82"/>
      <c r="Y122" s="134">
        <f>IF($J$7=5,W122-X122,0)</f>
        <v>0</v>
      </c>
      <c r="Z122" s="115"/>
      <c r="AA122" s="129">
        <f t="shared" si="227"/>
        <v>0</v>
      </c>
      <c r="AB122" s="117">
        <f t="shared" si="227"/>
        <v>0</v>
      </c>
      <c r="AC122" s="102">
        <f>SUM(B122,E122,H122,K122,IF($J$7=5,N122,0))-SUM(C122,F122,I122,L122,IF($J$7=5,O122,0))</f>
        <v>0</v>
      </c>
      <c r="AH122" s="34"/>
      <c r="AI122" s="34"/>
      <c r="AJ122" s="34"/>
      <c r="AK122" s="34"/>
      <c r="AL122" s="34"/>
    </row>
    <row r="123" spans="1:38" s="33" customFormat="1" ht="15" hidden="1" customHeight="1" x14ac:dyDescent="0.25">
      <c r="A123" s="9" t="str">
        <f>"Total "&amp;A117</f>
        <v>Total MISCELLANEOUS</v>
      </c>
      <c r="B123" s="69">
        <f t="shared" ref="B123:Y123" si="228">SUM(B118:B122)</f>
        <v>0</v>
      </c>
      <c r="C123" s="85">
        <f t="shared" si="228"/>
        <v>0</v>
      </c>
      <c r="D123" s="130">
        <f t="shared" si="228"/>
        <v>0</v>
      </c>
      <c r="E123" s="69">
        <f t="shared" si="228"/>
        <v>0</v>
      </c>
      <c r="F123" s="85">
        <f t="shared" si="228"/>
        <v>0</v>
      </c>
      <c r="G123" s="130">
        <f t="shared" si="228"/>
        <v>0</v>
      </c>
      <c r="H123" s="69">
        <f t="shared" si="228"/>
        <v>0</v>
      </c>
      <c r="I123" s="85">
        <f t="shared" si="228"/>
        <v>0</v>
      </c>
      <c r="J123" s="130">
        <f t="shared" si="228"/>
        <v>0</v>
      </c>
      <c r="K123" s="69">
        <f t="shared" si="228"/>
        <v>0</v>
      </c>
      <c r="L123" s="85">
        <f t="shared" si="228"/>
        <v>0</v>
      </c>
      <c r="M123" s="130">
        <f t="shared" si="228"/>
        <v>0</v>
      </c>
      <c r="N123" s="69">
        <f t="shared" si="228"/>
        <v>0</v>
      </c>
      <c r="O123" s="85">
        <f t="shared" si="228"/>
        <v>0</v>
      </c>
      <c r="P123" s="130">
        <f t="shared" si="228"/>
        <v>0</v>
      </c>
      <c r="Q123" s="69">
        <f t="shared" si="228"/>
        <v>0</v>
      </c>
      <c r="R123" s="85">
        <f t="shared" si="228"/>
        <v>0</v>
      </c>
      <c r="S123" s="130">
        <f t="shared" si="228"/>
        <v>0</v>
      </c>
      <c r="T123" s="69">
        <f t="shared" si="228"/>
        <v>0</v>
      </c>
      <c r="U123" s="85">
        <f t="shared" si="228"/>
        <v>0</v>
      </c>
      <c r="V123" s="130">
        <f t="shared" si="228"/>
        <v>0</v>
      </c>
      <c r="W123" s="69">
        <f t="shared" si="228"/>
        <v>0</v>
      </c>
      <c r="X123" s="85">
        <f t="shared" si="228"/>
        <v>0</v>
      </c>
      <c r="Y123" s="130">
        <f t="shared" si="228"/>
        <v>0</v>
      </c>
      <c r="Z123" s="123"/>
      <c r="AA123" s="69">
        <f>SUM(AA118:AA122)</f>
        <v>0</v>
      </c>
      <c r="AB123" s="85">
        <f>SUM(C123,F123,I123,L123,IF($J$7=5,O123,0))</f>
        <v>0</v>
      </c>
      <c r="AC123" s="130">
        <f>SUM(AC118:AC122)</f>
        <v>0</v>
      </c>
      <c r="AH123" s="34"/>
      <c r="AI123" s="34"/>
      <c r="AJ123" s="34"/>
      <c r="AK123" s="34"/>
      <c r="AL123" s="34"/>
    </row>
  </sheetData>
  <mergeCells count="11">
    <mergeCell ref="N9:P9"/>
    <mergeCell ref="Q9:S9"/>
    <mergeCell ref="T9:V9"/>
    <mergeCell ref="W9:Y9"/>
    <mergeCell ref="AA9:AC9"/>
    <mergeCell ref="B7:D7"/>
    <mergeCell ref="G7:I7"/>
    <mergeCell ref="B9:D9"/>
    <mergeCell ref="E9:G9"/>
    <mergeCell ref="H9:J9"/>
    <mergeCell ref="K9:M9"/>
  </mergeCells>
  <dataValidations count="4">
    <dataValidation allowBlank="1" showInputMessage="1" showErrorMessage="1" prompt="This amount should be transfered as an actual Starting Balance to the following week" sqref="AC16"/>
    <dataValidation allowBlank="1" showInputMessage="1" showErrorMessage="1" prompt="Enter a Current Month" sqref="B7:D7"/>
    <dataValidation allowBlank="1" showErrorMessage="1" prompt="Starting Balance the Current Week is usually considered as a closing balance of the previous. Enter the balance here or leave cell blank if you prefer to begin from zero." sqref="B12"/>
    <dataValidation allowBlank="1" showInputMessage="1" showErrorMessage="1" prompt="Starting Balance the Current Week is usually considered as a closing balance of the previous. Enter the balance here or leave cell blank if you prefer to begin from zero." sqref="C12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</vt:lpstr>
      <vt:lpstr>Break Down Per Community</vt:lpstr>
      <vt:lpstr>Total Breakdown</vt:lpstr>
      <vt:lpstr>'Break Down Per Community'!Print_Area</vt:lpstr>
    </vt:vector>
  </TitlesOfParts>
  <Company>Spreadsheet123 LTD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Budget Planner</dc:title>
  <dc:creator>Spreadsheet123.com</dc:creator>
  <dc:description>© 2013 Spreadsheet123 LTD. All rights reserved</dc:description>
  <cp:lastModifiedBy>USER</cp:lastModifiedBy>
  <cp:lastPrinted>2013-11-01T00:27:19Z</cp:lastPrinted>
  <dcterms:created xsi:type="dcterms:W3CDTF">2001-05-18T00:29:33Z</dcterms:created>
  <dcterms:modified xsi:type="dcterms:W3CDTF">2023-06-22T16:15:01Z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1.0.4</vt:lpwstr>
  </property>
  <property fmtid="{D5CDD505-2E9C-101B-9397-08002B2CF9AE}" pid="3" name="Copyright">
    <vt:lpwstr>© 2013 Spreadsheet123 LTD</vt:lpwstr>
  </property>
</Properties>
</file>