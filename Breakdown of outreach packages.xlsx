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BFBE2CE-CE20-4E5C-A16F-DCBDA32CE7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ier 1 - Testing and Screening" sheetId="5" r:id="rId1"/>
    <sheet name="Tier 1 - Screening" sheetId="8" r:id="rId2"/>
    <sheet name="Tier 2 - Testing and Screening" sheetId="6" r:id="rId3"/>
    <sheet name="Tier 2 - Screening" sheetId="9" r:id="rId4"/>
    <sheet name="Tier 3 - Testing and Screening" sheetId="7" r:id="rId5"/>
    <sheet name="Tier 3 - Screening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7" l="1"/>
  <c r="F10" i="9"/>
  <c r="F10" i="6"/>
  <c r="E35" i="8"/>
  <c r="E36" i="8"/>
  <c r="E37" i="8"/>
  <c r="E34" i="8"/>
  <c r="E29" i="8"/>
  <c r="E30" i="8"/>
  <c r="E28" i="8"/>
  <c r="E18" i="8"/>
  <c r="E17" i="8"/>
  <c r="E8" i="8"/>
  <c r="E9" i="8"/>
  <c r="E10" i="8"/>
  <c r="E11" i="8"/>
  <c r="E7" i="8"/>
  <c r="F35" i="5"/>
  <c r="D9" i="8"/>
  <c r="D7" i="8"/>
  <c r="F8" i="5"/>
  <c r="F10" i="5"/>
  <c r="F11" i="5"/>
  <c r="F28" i="5"/>
  <c r="F29" i="5"/>
  <c r="F30" i="5"/>
  <c r="D7" i="5"/>
  <c r="D9" i="5" l="1"/>
  <c r="F9" i="5" s="1"/>
  <c r="F7" i="5"/>
  <c r="F29" i="8"/>
  <c r="F28" i="8"/>
  <c r="F30" i="8"/>
  <c r="G6" i="10" l="1"/>
  <c r="G11" i="6" l="1"/>
  <c r="E19" i="10"/>
  <c r="F18" i="10"/>
  <c r="F17" i="10"/>
  <c r="E14" i="10"/>
  <c r="F12" i="10"/>
  <c r="D12" i="10"/>
  <c r="D13" i="10" s="1"/>
  <c r="F13" i="10" s="1"/>
  <c r="E9" i="10"/>
  <c r="F8" i="10"/>
  <c r="F9" i="10" s="1"/>
  <c r="G6" i="9"/>
  <c r="E17" i="9"/>
  <c r="F16" i="9"/>
  <c r="F15" i="9"/>
  <c r="E12" i="9"/>
  <c r="F11" i="9"/>
  <c r="F9" i="9"/>
  <c r="F8" i="9"/>
  <c r="F41" i="8"/>
  <c r="F43" i="8" s="1"/>
  <c r="F37" i="8"/>
  <c r="F36" i="8"/>
  <c r="F35" i="8"/>
  <c r="F34" i="8"/>
  <c r="F31" i="8"/>
  <c r="I24" i="8"/>
  <c r="I25" i="8" s="1"/>
  <c r="F24" i="8"/>
  <c r="F23" i="8"/>
  <c r="F22" i="8"/>
  <c r="F18" i="8"/>
  <c r="F17" i="8"/>
  <c r="F16" i="8"/>
  <c r="F11" i="8"/>
  <c r="F10" i="8"/>
  <c r="F9" i="8"/>
  <c r="F8" i="8"/>
  <c r="F7" i="8"/>
  <c r="F19" i="8" l="1"/>
  <c r="F45" i="8" s="1"/>
  <c r="F49" i="8" s="1"/>
  <c r="F12" i="8"/>
  <c r="F25" i="8"/>
  <c r="F17" i="9"/>
  <c r="E20" i="9"/>
  <c r="F19" i="10"/>
  <c r="E22" i="10"/>
  <c r="F14" i="10"/>
  <c r="F22" i="10" s="1"/>
  <c r="G22" i="10" s="1"/>
  <c r="F12" i="9"/>
  <c r="F38" i="8"/>
  <c r="G49" i="8" s="1"/>
  <c r="D12" i="7"/>
  <c r="I24" i="5"/>
  <c r="I25" i="5" s="1"/>
  <c r="I26" i="5" s="1"/>
  <c r="E17" i="6"/>
  <c r="E12" i="6"/>
  <c r="E9" i="7"/>
  <c r="E20" i="7"/>
  <c r="E15" i="7"/>
  <c r="F8" i="7"/>
  <c r="F9" i="7" s="1"/>
  <c r="F19" i="7"/>
  <c r="F18" i="7"/>
  <c r="F11" i="6"/>
  <c r="F8" i="6"/>
  <c r="F12" i="6" s="1"/>
  <c r="F20" i="6" s="1"/>
  <c r="F16" i="6"/>
  <c r="F15" i="6"/>
  <c r="F24" i="5"/>
  <c r="F23" i="5"/>
  <c r="F22" i="5"/>
  <c r="F20" i="9" l="1"/>
  <c r="G20" i="9" s="1"/>
  <c r="F12" i="7"/>
  <c r="D13" i="7"/>
  <c r="F13" i="7" s="1"/>
  <c r="E23" i="7"/>
  <c r="E20" i="6"/>
  <c r="F20" i="7"/>
  <c r="F17" i="6"/>
  <c r="F25" i="5"/>
  <c r="F15" i="7" l="1"/>
  <c r="F23" i="7"/>
  <c r="G23" i="7" s="1"/>
  <c r="F9" i="6"/>
  <c r="G20" i="6" s="1"/>
  <c r="F41" i="5" l="1"/>
  <c r="F43" i="5" s="1"/>
  <c r="F37" i="5"/>
  <c r="F36" i="5"/>
  <c r="F34" i="5"/>
  <c r="F18" i="5"/>
  <c r="F16" i="5"/>
  <c r="F17" i="5"/>
  <c r="F12" i="5"/>
  <c r="F19" i="5" l="1"/>
  <c r="F45" i="5" s="1"/>
  <c r="F49" i="5" s="1"/>
  <c r="F31" i="5"/>
  <c r="F38" i="5"/>
  <c r="G49" i="5" l="1"/>
</calcChain>
</file>

<file path=xl/sharedStrings.xml><?xml version="1.0" encoding="utf-8"?>
<sst xmlns="http://schemas.openxmlformats.org/spreadsheetml/2006/main" count="204" uniqueCount="66">
  <si>
    <t>S/N</t>
  </si>
  <si>
    <t>ITEM</t>
  </si>
  <si>
    <t>NUMBER</t>
  </si>
  <si>
    <t>COST PER UNIT</t>
  </si>
  <si>
    <t>TOTAL COST</t>
  </si>
  <si>
    <t>NOTES</t>
  </si>
  <si>
    <t>PERSONNEL EXPENSES</t>
  </si>
  <si>
    <t>Doctors (Medical Officers)</t>
  </si>
  <si>
    <t>N20,000 per person per day</t>
  </si>
  <si>
    <t>Laboratory Scientist</t>
  </si>
  <si>
    <t>Nurses</t>
  </si>
  <si>
    <t>Support Staff</t>
  </si>
  <si>
    <t>For triage, post counseling</t>
  </si>
  <si>
    <t>Sub Total</t>
  </si>
  <si>
    <t>SCREENING &amp; TESTING</t>
  </si>
  <si>
    <t>Cervical Screening Test using the Gynescope</t>
  </si>
  <si>
    <t>HPV Tests</t>
  </si>
  <si>
    <t>Consumables</t>
  </si>
  <si>
    <t xml:space="preserve">Surgical Gloves,Gauze, Sanitizers, cotton swab,iodine, Savlon, KY Gel, Kidney dish, Underpads, Latex Gloves, Couch Roll, Dust-bin/bags, </t>
  </si>
  <si>
    <t>EQUIPMENTS &amp; TOOLS</t>
  </si>
  <si>
    <t>Internet  services</t>
  </si>
  <si>
    <t>Back up Power/Inverters</t>
  </si>
  <si>
    <t>Gyne Bed</t>
  </si>
  <si>
    <t>LOGISTICS AND ACCOMODATION</t>
  </si>
  <si>
    <t>Travel</t>
  </si>
  <si>
    <t>Roundtrip</t>
  </si>
  <si>
    <t>Accommodation</t>
  </si>
  <si>
    <t>Shipping</t>
  </si>
  <si>
    <t>Transportation</t>
  </si>
  <si>
    <t>OTHER EXPENSES</t>
  </si>
  <si>
    <t>Administrative Costs</t>
  </si>
  <si>
    <t>TOTAL</t>
  </si>
  <si>
    <t>Contingency Funds</t>
  </si>
  <si>
    <t>GRAND TOTAL</t>
  </si>
  <si>
    <t>COST FOR COMPREHENSIVE SCREENING 1000 WOMEN (One Month Outreach Program)</t>
  </si>
  <si>
    <t>Tier 2</t>
  </si>
  <si>
    <t>Awareness</t>
  </si>
  <si>
    <t>Consultation</t>
  </si>
  <si>
    <t>Training workshops</t>
  </si>
  <si>
    <t>CAPACITY BUILDING</t>
  </si>
  <si>
    <t>SENSITIZATION</t>
  </si>
  <si>
    <t>Educational Materials</t>
  </si>
  <si>
    <t>COST FOR COMPREHENSIVE SCREENING - MINI SPONSORSHIP</t>
  </si>
  <si>
    <t>ADMINISTRATIVE COST</t>
  </si>
  <si>
    <t>Giftcards</t>
  </si>
  <si>
    <t>RADIO</t>
  </si>
  <si>
    <t>SOCIAL MEDIA</t>
  </si>
  <si>
    <t>Commmunity Engagement, Local Markets, Radio, Social Media</t>
  </si>
  <si>
    <t>Seminar</t>
  </si>
  <si>
    <t xml:space="preserve">Educative Materials </t>
  </si>
  <si>
    <t>Security Personnel</t>
  </si>
  <si>
    <t>8 devices</t>
  </si>
  <si>
    <t>Promotion and Awareness</t>
  </si>
  <si>
    <t>The total Cost Per head is</t>
  </si>
  <si>
    <t>Awareness and Promotion</t>
  </si>
  <si>
    <t xml:space="preserve">The Total Cost per head is </t>
  </si>
  <si>
    <t>COST FOR COMPREHENSIVE SCREENING 500 WOMEN Employee CSR</t>
  </si>
  <si>
    <t>x</t>
  </si>
  <si>
    <t>Minimum number of women: 1,000</t>
  </si>
  <si>
    <t>This is just for emergencies</t>
  </si>
  <si>
    <t>Minimum Number of tests: 500</t>
  </si>
  <si>
    <t xml:space="preserve">This is for the women that have tested positive | We projected an average of 20% chance just to be sure </t>
  </si>
  <si>
    <t>This is what will give the patients access to screening and testing</t>
  </si>
  <si>
    <t>Minimum Number of tests: 100</t>
  </si>
  <si>
    <r>
      <rPr>
        <b/>
        <sz val="11"/>
        <color indexed="8"/>
        <rFont val="Calibri"/>
        <family val="2"/>
      </rPr>
      <t>Accomodation and equipments</t>
    </r>
    <r>
      <rPr>
        <sz val="11"/>
        <color indexed="8"/>
        <rFont val="Calibri"/>
        <family val="2"/>
      </rPr>
      <t xml:space="preserve"> are calculated for a 7-day peroid but iys subject to review depending on the nature of outreach we get</t>
    </r>
  </si>
  <si>
    <t>Surgical Gloves,Gauze, Sanitizers, cotton swab,iodine, Savlon, KY Gel, Kidney dish, Underpads, Latex Gloves, Couch Roll, Dust-bin/bags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</si>
</sst>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 &quot;* #,##0&quot; &quot;;&quot; &quot;* \(#,##0\);&quot; &quot;* &quot;-&quot;??&quot; &quot;"/>
    <numFmt numFmtId="165" formatCode="&quot; &quot;* #,##0.00&quot; &quot;;&quot;-&quot;* #,##0.00&quot; &quot;;&quot; &quot;* &quot;-&quot;??&quot; &quot;"/>
    <numFmt numFmtId="166" formatCode="&quot; &quot;* #,##0&quot; &quot;;&quot;-&quot;* #,##0&quot; &quot;;&quot; &quot;* &quot;-&quot;??&quot; &quot;"/>
  </numFmts>
  <fonts count="15" x14ac:knownFonts="1">
    <font>
      <sz val="11"/>
      <color indexed="8"/>
      <name val="Calibri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theme="2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/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/>
      <diagonal/>
    </border>
    <border>
      <left style="thin">
        <color indexed="8"/>
      </left>
      <right style="thin">
        <color indexed="12"/>
      </right>
      <top/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/>
      <diagonal/>
    </border>
  </borders>
  <cellStyleXfs count="2">
    <xf numFmtId="0" fontId="0" fillId="0" borderId="0" applyNumberFormat="0" applyFill="0" applyBorder="0" applyProtection="0"/>
    <xf numFmtId="43" fontId="4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49" fontId="0" fillId="0" borderId="1" xfId="0" applyNumberFormat="1" applyBorder="1"/>
    <xf numFmtId="49" fontId="0" fillId="0" borderId="2" xfId="0" applyNumberFormat="1" applyBorder="1"/>
    <xf numFmtId="49" fontId="1" fillId="0" borderId="1" xfId="0" applyNumberFormat="1" applyFont="1" applyBorder="1"/>
    <xf numFmtId="0" fontId="0" fillId="0" borderId="1" xfId="0" applyNumberFormat="1" applyBorder="1"/>
    <xf numFmtId="3" fontId="0" fillId="0" borderId="1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3" xfId="0" applyBorder="1"/>
    <xf numFmtId="0" fontId="0" fillId="0" borderId="4" xfId="0" applyBorder="1"/>
    <xf numFmtId="3" fontId="1" fillId="3" borderId="1" xfId="0" applyNumberFormat="1" applyFont="1" applyFill="1" applyBorder="1"/>
    <xf numFmtId="0" fontId="0" fillId="0" borderId="5" xfId="0" applyBorder="1"/>
    <xf numFmtId="3" fontId="0" fillId="0" borderId="5" xfId="0" applyNumberFormat="1" applyBorder="1"/>
    <xf numFmtId="0" fontId="2" fillId="0" borderId="0" xfId="0" applyNumberFormat="1" applyFont="1"/>
    <xf numFmtId="0" fontId="3" fillId="0" borderId="0" xfId="0" applyNumberFormat="1" applyFont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9" fontId="0" fillId="0" borderId="6" xfId="0" applyNumberFormat="1" applyBorder="1"/>
    <xf numFmtId="165" fontId="0" fillId="0" borderId="6" xfId="0" applyNumberFormat="1" applyBorder="1" applyAlignment="1">
      <alignment horizontal="right"/>
    </xf>
    <xf numFmtId="166" fontId="0" fillId="0" borderId="6" xfId="0" applyNumberFormat="1" applyBorder="1" applyAlignment="1">
      <alignment horizontal="right"/>
    </xf>
    <xf numFmtId="3" fontId="0" fillId="0" borderId="6" xfId="0" applyNumberFormat="1" applyBorder="1"/>
    <xf numFmtId="0" fontId="3" fillId="0" borderId="9" xfId="0" applyFont="1" applyBorder="1"/>
    <xf numFmtId="0" fontId="0" fillId="0" borderId="10" xfId="0" applyBorder="1"/>
    <xf numFmtId="3" fontId="0" fillId="0" borderId="10" xfId="0" applyNumberFormat="1" applyBorder="1"/>
    <xf numFmtId="49" fontId="2" fillId="0" borderId="2" xfId="0" applyNumberFormat="1" applyFont="1" applyBorder="1" applyAlignment="1">
      <alignment horizontal="center"/>
    </xf>
    <xf numFmtId="3" fontId="5" fillId="0" borderId="1" xfId="0" applyNumberFormat="1" applyFont="1" applyBorder="1"/>
    <xf numFmtId="0" fontId="3" fillId="4" borderId="8" xfId="0" applyFont="1" applyFill="1" applyBorder="1"/>
    <xf numFmtId="3" fontId="3" fillId="4" borderId="8" xfId="0" applyNumberFormat="1" applyFont="1" applyFill="1" applyBorder="1"/>
    <xf numFmtId="0" fontId="0" fillId="0" borderId="0" xfId="0" applyNumberFormat="1" applyAlignment="1">
      <alignment horizontal="center"/>
    </xf>
    <xf numFmtId="0" fontId="7" fillId="0" borderId="0" xfId="0" applyNumberFormat="1" applyFont="1"/>
    <xf numFmtId="0" fontId="7" fillId="0" borderId="1" xfId="0" applyNumberFormat="1" applyFont="1" applyBorder="1"/>
    <xf numFmtId="49" fontId="7" fillId="0" borderId="1" xfId="0" applyNumberFormat="1" applyFont="1" applyBorder="1"/>
    <xf numFmtId="3" fontId="7" fillId="0" borderId="1" xfId="0" applyNumberFormat="1" applyFont="1" applyBorder="1"/>
    <xf numFmtId="0" fontId="7" fillId="0" borderId="2" xfId="0" applyFont="1" applyBorder="1"/>
    <xf numFmtId="0" fontId="7" fillId="0" borderId="1" xfId="0" applyFont="1" applyBorder="1"/>
    <xf numFmtId="49" fontId="9" fillId="0" borderId="1" xfId="0" applyNumberFormat="1" applyFont="1" applyBorder="1"/>
    <xf numFmtId="3" fontId="10" fillId="0" borderId="1" xfId="0" applyNumberFormat="1" applyFont="1" applyBorder="1"/>
    <xf numFmtId="49" fontId="6" fillId="0" borderId="1" xfId="0" applyNumberFormat="1" applyFont="1" applyBorder="1"/>
    <xf numFmtId="0" fontId="0" fillId="0" borderId="11" xfId="0" applyBorder="1"/>
    <xf numFmtId="0" fontId="11" fillId="0" borderId="0" xfId="0" applyNumberFormat="1" applyFont="1"/>
    <xf numFmtId="0" fontId="11" fillId="0" borderId="1" xfId="0" applyFont="1" applyBorder="1"/>
    <xf numFmtId="49" fontId="12" fillId="0" borderId="1" xfId="0" applyNumberFormat="1" applyFont="1" applyBorder="1"/>
    <xf numFmtId="0" fontId="11" fillId="0" borderId="2" xfId="0" applyFont="1" applyBorder="1"/>
    <xf numFmtId="0" fontId="11" fillId="0" borderId="1" xfId="0" applyNumberFormat="1" applyFont="1" applyBorder="1"/>
    <xf numFmtId="49" fontId="11" fillId="0" borderId="1" xfId="0" applyNumberFormat="1" applyFont="1" applyBorder="1"/>
    <xf numFmtId="3" fontId="11" fillId="0" borderId="1" xfId="0" applyNumberFormat="1" applyFont="1" applyBorder="1"/>
    <xf numFmtId="3" fontId="13" fillId="0" borderId="1" xfId="0" applyNumberFormat="1" applyFont="1" applyBorder="1"/>
    <xf numFmtId="49" fontId="6" fillId="0" borderId="2" xfId="0" applyNumberFormat="1" applyFont="1" applyBorder="1"/>
    <xf numFmtId="0" fontId="0" fillId="0" borderId="2" xfId="0" applyBorder="1" applyAlignment="1">
      <alignment horizontal="left"/>
    </xf>
    <xf numFmtId="164" fontId="6" fillId="0" borderId="2" xfId="0" applyNumberFormat="1" applyFont="1" applyBorder="1"/>
    <xf numFmtId="0" fontId="6" fillId="0" borderId="7" xfId="0" applyFont="1" applyBorder="1"/>
    <xf numFmtId="43" fontId="3" fillId="0" borderId="7" xfId="1" applyFont="1" applyBorder="1"/>
    <xf numFmtId="0" fontId="6" fillId="0" borderId="0" xfId="0" applyNumberFormat="1" applyFont="1"/>
    <xf numFmtId="3" fontId="5" fillId="4" borderId="1" xfId="0" applyNumberFormat="1" applyFont="1" applyFill="1" applyBorder="1"/>
    <xf numFmtId="0" fontId="6" fillId="0" borderId="2" xfId="0" applyFont="1" applyBorder="1"/>
    <xf numFmtId="165" fontId="7" fillId="0" borderId="2" xfId="0" applyNumberFormat="1" applyFont="1" applyBorder="1"/>
    <xf numFmtId="0" fontId="5" fillId="0" borderId="2" xfId="0" applyFont="1" applyBorder="1"/>
    <xf numFmtId="165" fontId="13" fillId="0" borderId="2" xfId="0" applyNumberFormat="1" applyFont="1" applyBorder="1"/>
    <xf numFmtId="0" fontId="13" fillId="0" borderId="2" xfId="0" applyFont="1" applyBorder="1"/>
    <xf numFmtId="0" fontId="14" fillId="0" borderId="0" xfId="0" applyFont="1" applyAlignment="1">
      <alignment horizontal="left" vertical="center" indent="4"/>
    </xf>
    <xf numFmtId="49" fontId="0" fillId="2" borderId="14" xfId="0" applyNumberFormat="1" applyFill="1" applyBorder="1" applyAlignment="1">
      <alignment horizontal="center" wrapText="1"/>
    </xf>
    <xf numFmtId="49" fontId="0" fillId="2" borderId="15" xfId="0" applyNumberForma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9" fontId="13" fillId="0" borderId="12" xfId="0" applyNumberFormat="1" applyFont="1" applyBorder="1" applyAlignment="1">
      <alignment horizontal="center"/>
    </xf>
    <xf numFmtId="49" fontId="13" fillId="0" borderId="13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5" xfId="0" applyNumberFormat="1" applyBorder="1" applyAlignment="1">
      <alignment horizontal="center" wrapText="1"/>
    </xf>
    <xf numFmtId="165" fontId="6" fillId="0" borderId="14" xfId="0" applyNumberFormat="1" applyFont="1" applyBorder="1" applyAlignment="1">
      <alignment horizontal="center" wrapText="1"/>
    </xf>
    <xf numFmtId="165" fontId="6" fillId="0" borderId="15" xfId="0" applyNumberFormat="1" applyFont="1" applyBorder="1" applyAlignment="1">
      <alignment horizontal="center" wrapText="1"/>
    </xf>
    <xf numFmtId="49" fontId="4" fillId="2" borderId="14" xfId="0" applyNumberFormat="1" applyFont="1" applyFill="1" applyBorder="1" applyAlignment="1">
      <alignment horizontal="center" wrapText="1"/>
    </xf>
    <xf numFmtId="164" fontId="4" fillId="0" borderId="14" xfId="0" applyNumberFormat="1" applyFont="1" applyBorder="1" applyAlignment="1">
      <alignment wrapText="1"/>
    </xf>
    <xf numFmtId="164" fontId="4" fillId="0" borderId="14" xfId="0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D8D8D8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57"/>
  <sheetViews>
    <sheetView showGridLines="0" tabSelected="1" topLeftCell="A10" zoomScale="70" zoomScaleNormal="60" workbookViewId="0">
      <selection activeCell="E33" sqref="E33"/>
    </sheetView>
  </sheetViews>
  <sheetFormatPr defaultColWidth="12" defaultRowHeight="15" customHeight="1" x14ac:dyDescent="0.35"/>
  <cols>
    <col min="1" max="1" width="9.36328125" style="1" customWidth="1"/>
    <col min="2" max="2" width="5.7265625" style="1" customWidth="1"/>
    <col min="3" max="3" width="53.54296875" style="1" customWidth="1"/>
    <col min="4" max="4" width="9" style="1" customWidth="1"/>
    <col min="5" max="5" width="22" style="1" customWidth="1"/>
    <col min="6" max="6" width="14.7265625" style="1" customWidth="1"/>
    <col min="7" max="7" width="57.81640625" style="1" customWidth="1"/>
    <col min="8" max="8" width="12" style="1" customWidth="1"/>
    <col min="9" max="16384" width="12" style="1"/>
  </cols>
  <sheetData>
    <row r="2" spans="2:7" ht="15.75" customHeight="1" x14ac:dyDescent="0.35">
      <c r="B2" s="2"/>
      <c r="C2" s="73" t="s">
        <v>34</v>
      </c>
      <c r="D2" s="74"/>
      <c r="E2" s="74"/>
      <c r="F2" s="2"/>
      <c r="G2" s="3"/>
    </row>
    <row r="3" spans="2:7" ht="13.5" customHeight="1" x14ac:dyDescent="0.35">
      <c r="B3" s="2"/>
      <c r="C3" s="2"/>
      <c r="D3" s="2"/>
      <c r="E3" s="2"/>
      <c r="F3" s="2"/>
      <c r="G3" s="3"/>
    </row>
    <row r="4" spans="2:7" s="19" customFormat="1" ht="15.75" customHeight="1" x14ac:dyDescent="0.35">
      <c r="B4" s="21" t="s">
        <v>0</v>
      </c>
      <c r="C4" s="21" t="s">
        <v>1</v>
      </c>
      <c r="D4" s="21" t="s">
        <v>2</v>
      </c>
      <c r="E4" s="21" t="s">
        <v>3</v>
      </c>
      <c r="F4" s="21" t="s">
        <v>4</v>
      </c>
      <c r="G4" s="31" t="s">
        <v>5</v>
      </c>
    </row>
    <row r="5" spans="2:7" ht="15.75" customHeight="1" x14ac:dyDescent="0.35">
      <c r="B5" s="2"/>
      <c r="C5" s="2"/>
      <c r="D5" s="2"/>
      <c r="E5" s="2"/>
      <c r="F5" s="2"/>
      <c r="G5" s="63" t="s">
        <v>58</v>
      </c>
    </row>
    <row r="6" spans="2:7" ht="15.75" customHeight="1" x14ac:dyDescent="0.35">
      <c r="B6" s="2"/>
      <c r="C6" s="6" t="s">
        <v>6</v>
      </c>
      <c r="D6" s="2"/>
      <c r="E6" s="2"/>
      <c r="F6" s="2"/>
      <c r="G6" s="3"/>
    </row>
    <row r="7" spans="2:7" ht="13.5" customHeight="1" x14ac:dyDescent="0.35">
      <c r="B7" s="7">
        <v>1</v>
      </c>
      <c r="C7" s="4" t="s">
        <v>7</v>
      </c>
      <c r="D7" s="7">
        <f>D30</f>
        <v>8</v>
      </c>
      <c r="E7" s="8">
        <v>50000</v>
      </c>
      <c r="F7" s="8">
        <f>E7*D7*7</f>
        <v>2800000</v>
      </c>
      <c r="G7" s="5" t="s">
        <v>8</v>
      </c>
    </row>
    <row r="8" spans="2:7" ht="13.5" customHeight="1" x14ac:dyDescent="0.35">
      <c r="B8" s="7">
        <v>2</v>
      </c>
      <c r="C8" s="4" t="s">
        <v>9</v>
      </c>
      <c r="D8" s="7">
        <v>1</v>
      </c>
      <c r="E8" s="8">
        <v>30000</v>
      </c>
      <c r="F8" s="8">
        <f t="shared" ref="F8:F11" si="0">E8*D8*7</f>
        <v>210000</v>
      </c>
      <c r="G8" s="3"/>
    </row>
    <row r="9" spans="2:7" ht="13.5" customHeight="1" x14ac:dyDescent="0.35">
      <c r="B9" s="7">
        <v>3</v>
      </c>
      <c r="C9" s="4" t="s">
        <v>10</v>
      </c>
      <c r="D9" s="7">
        <f>D7</f>
        <v>8</v>
      </c>
      <c r="E9" s="8">
        <v>30000</v>
      </c>
      <c r="F9" s="8">
        <f t="shared" si="0"/>
        <v>1680000</v>
      </c>
      <c r="G9" s="3"/>
    </row>
    <row r="10" spans="2:7" ht="13.5" customHeight="1" x14ac:dyDescent="0.35">
      <c r="B10" s="7">
        <v>4</v>
      </c>
      <c r="C10" s="4" t="s">
        <v>11</v>
      </c>
      <c r="D10" s="7">
        <v>2</v>
      </c>
      <c r="E10" s="8">
        <v>30000</v>
      </c>
      <c r="F10" s="8">
        <f t="shared" si="0"/>
        <v>420000</v>
      </c>
      <c r="G10" s="5" t="s">
        <v>12</v>
      </c>
    </row>
    <row r="11" spans="2:7" ht="13.5" customHeight="1" x14ac:dyDescent="0.35">
      <c r="B11" s="7">
        <v>5</v>
      </c>
      <c r="C11" s="44" t="s">
        <v>50</v>
      </c>
      <c r="D11" s="7">
        <v>3</v>
      </c>
      <c r="E11" s="8">
        <v>30000</v>
      </c>
      <c r="F11" s="8">
        <f t="shared" si="0"/>
        <v>630000</v>
      </c>
      <c r="G11" s="5"/>
    </row>
    <row r="12" spans="2:7" ht="13.5" customHeight="1" x14ac:dyDescent="0.35">
      <c r="B12" s="2"/>
      <c r="C12" s="69" t="s">
        <v>13</v>
      </c>
      <c r="D12" s="70"/>
      <c r="E12" s="70"/>
      <c r="F12" s="60">
        <f>SUM(F7:F11)</f>
        <v>5740000</v>
      </c>
      <c r="G12" s="3"/>
    </row>
    <row r="13" spans="2:7" ht="13.5" customHeight="1" x14ac:dyDescent="0.35">
      <c r="B13" s="3"/>
      <c r="C13" s="3"/>
      <c r="D13" s="3"/>
      <c r="E13" s="3"/>
      <c r="F13" s="3"/>
      <c r="G13" s="3"/>
    </row>
    <row r="14" spans="2:7" ht="13.5" customHeight="1" x14ac:dyDescent="0.35">
      <c r="B14" s="3"/>
      <c r="C14" s="3"/>
      <c r="D14" s="3"/>
      <c r="E14" s="3"/>
      <c r="F14" s="3"/>
      <c r="G14" s="3"/>
    </row>
    <row r="15" spans="2:7" ht="15.4" customHeight="1" x14ac:dyDescent="0.35">
      <c r="B15" s="2"/>
      <c r="C15" s="6" t="s">
        <v>14</v>
      </c>
      <c r="D15" s="2"/>
      <c r="E15" s="2"/>
      <c r="F15" s="2"/>
      <c r="G15" s="3"/>
    </row>
    <row r="16" spans="2:7" s="36" customFormat="1" ht="13.5" customHeight="1" x14ac:dyDescent="0.35">
      <c r="B16" s="37">
        <v>1</v>
      </c>
      <c r="C16" s="38" t="s">
        <v>16</v>
      </c>
      <c r="D16" s="37">
        <v>1000</v>
      </c>
      <c r="E16" s="39">
        <v>10000</v>
      </c>
      <c r="F16" s="39">
        <f>E16*D16</f>
        <v>10000000</v>
      </c>
      <c r="G16" s="62"/>
    </row>
    <row r="17" spans="1:9" ht="15.75" customHeight="1" x14ac:dyDescent="0.35">
      <c r="B17" s="7">
        <v>2</v>
      </c>
      <c r="C17" s="4" t="s">
        <v>15</v>
      </c>
      <c r="D17" s="7">
        <v>1000</v>
      </c>
      <c r="E17" s="8">
        <v>3500</v>
      </c>
      <c r="F17" s="8">
        <f>E17*D17</f>
        <v>3500000</v>
      </c>
      <c r="G17" s="56" t="s">
        <v>51</v>
      </c>
    </row>
    <row r="18" spans="1:9" ht="16" customHeight="1" x14ac:dyDescent="0.35">
      <c r="B18" s="7">
        <v>3</v>
      </c>
      <c r="C18" s="4" t="s">
        <v>17</v>
      </c>
      <c r="D18" s="7">
        <v>1000</v>
      </c>
      <c r="E18" s="8">
        <v>10000</v>
      </c>
      <c r="F18" s="8">
        <f>E18*D18</f>
        <v>10000000</v>
      </c>
      <c r="G18" s="67" t="s">
        <v>18</v>
      </c>
    </row>
    <row r="19" spans="1:9" ht="21.75" customHeight="1" x14ac:dyDescent="0.35">
      <c r="B19" s="2"/>
      <c r="C19" s="69" t="s">
        <v>13</v>
      </c>
      <c r="D19" s="75"/>
      <c r="E19" s="75"/>
      <c r="F19" s="60">
        <f>SUM(F16:F18)</f>
        <v>23500000</v>
      </c>
      <c r="G19" s="68"/>
    </row>
    <row r="20" spans="1:9" ht="21.75" customHeight="1" x14ac:dyDescent="0.35">
      <c r="B20" s="2"/>
      <c r="C20" s="21"/>
      <c r="D20" s="23"/>
      <c r="E20" s="23"/>
      <c r="F20" s="32"/>
      <c r="G20" s="3"/>
    </row>
    <row r="21" spans="1:9" s="36" customFormat="1" ht="15.4" hidden="1" customHeight="1" x14ac:dyDescent="0.35">
      <c r="B21" s="41"/>
      <c r="C21" s="42" t="s">
        <v>39</v>
      </c>
      <c r="D21" s="41"/>
      <c r="E21" s="41"/>
      <c r="F21" s="41"/>
      <c r="G21" s="40"/>
    </row>
    <row r="22" spans="1:9" s="36" customFormat="1" ht="15.75" hidden="1" customHeight="1" x14ac:dyDescent="0.35">
      <c r="B22" s="37">
        <v>1</v>
      </c>
      <c r="C22" s="38" t="s">
        <v>38</v>
      </c>
      <c r="D22" s="37">
        <v>1</v>
      </c>
      <c r="E22" s="39">
        <v>0</v>
      </c>
      <c r="F22" s="39">
        <f>E22*D22</f>
        <v>0</v>
      </c>
      <c r="G22" s="40"/>
    </row>
    <row r="23" spans="1:9" s="36" customFormat="1" ht="13.5" hidden="1" customHeight="1" x14ac:dyDescent="0.35">
      <c r="B23" s="37"/>
      <c r="C23" s="38"/>
      <c r="D23" s="37"/>
      <c r="E23" s="39"/>
      <c r="F23" s="39">
        <f>E23*D23</f>
        <v>0</v>
      </c>
      <c r="G23" s="40"/>
    </row>
    <row r="24" spans="1:9" s="36" customFormat="1" ht="13.5" hidden="1" customHeight="1" x14ac:dyDescent="0.35">
      <c r="B24" s="37"/>
      <c r="C24" s="38"/>
      <c r="D24" s="37"/>
      <c r="E24" s="39"/>
      <c r="F24" s="39">
        <f>E24*D24</f>
        <v>0</v>
      </c>
      <c r="G24" s="40"/>
      <c r="I24" s="36">
        <f>3*6</f>
        <v>18</v>
      </c>
    </row>
    <row r="25" spans="1:9" s="36" customFormat="1" ht="13.5" hidden="1" customHeight="1" x14ac:dyDescent="0.35">
      <c r="B25" s="41"/>
      <c r="C25" s="76" t="s">
        <v>13</v>
      </c>
      <c r="D25" s="77"/>
      <c r="E25" s="77"/>
      <c r="F25" s="43">
        <f>SUM(F22:F24)</f>
        <v>0</v>
      </c>
      <c r="G25" s="40"/>
      <c r="I25" s="36">
        <f>I24*8</f>
        <v>144</v>
      </c>
    </row>
    <row r="26" spans="1:9" ht="13.5" customHeight="1" x14ac:dyDescent="0.35">
      <c r="B26" s="2"/>
      <c r="C26" s="2"/>
      <c r="D26" s="2"/>
      <c r="E26" s="8"/>
      <c r="F26" s="8"/>
      <c r="G26" s="3"/>
      <c r="I26" s="1">
        <f>I25*7</f>
        <v>1008</v>
      </c>
    </row>
    <row r="27" spans="1:9" ht="15.4" customHeight="1" x14ac:dyDescent="0.35">
      <c r="B27" s="2"/>
      <c r="C27" s="6" t="s">
        <v>19</v>
      </c>
      <c r="D27" s="2"/>
      <c r="E27" s="2"/>
      <c r="F27" s="2"/>
      <c r="G27" s="3"/>
    </row>
    <row r="28" spans="1:9" ht="15.75" customHeight="1" x14ac:dyDescent="0.35">
      <c r="A28" s="59" t="s">
        <v>57</v>
      </c>
      <c r="B28" s="7">
        <v>1</v>
      </c>
      <c r="C28" s="4" t="s">
        <v>20</v>
      </c>
      <c r="D28" s="7">
        <v>3</v>
      </c>
      <c r="E28" s="8">
        <v>15000</v>
      </c>
      <c r="F28" s="8">
        <f t="shared" ref="F28:F29" si="1">E28*D28*7</f>
        <v>315000</v>
      </c>
      <c r="G28" s="61"/>
    </row>
    <row r="29" spans="1:9" ht="13.5" customHeight="1" x14ac:dyDescent="0.35">
      <c r="A29" s="59" t="s">
        <v>57</v>
      </c>
      <c r="B29" s="7">
        <v>2</v>
      </c>
      <c r="C29" s="4" t="s">
        <v>21</v>
      </c>
      <c r="D29" s="7">
        <v>8</v>
      </c>
      <c r="E29" s="8">
        <v>30000</v>
      </c>
      <c r="F29" s="8">
        <f t="shared" si="1"/>
        <v>1680000</v>
      </c>
      <c r="G29" s="78" t="s">
        <v>64</v>
      </c>
    </row>
    <row r="30" spans="1:9" s="36" customFormat="1" ht="13.5" customHeight="1" x14ac:dyDescent="0.35">
      <c r="A30" s="36" t="s">
        <v>57</v>
      </c>
      <c r="B30" s="37">
        <v>3</v>
      </c>
      <c r="C30" s="38" t="s">
        <v>22</v>
      </c>
      <c r="D30" s="37">
        <v>8</v>
      </c>
      <c r="E30" s="39">
        <v>30000</v>
      </c>
      <c r="F30" s="39">
        <f>E30*D30*7</f>
        <v>1680000</v>
      </c>
      <c r="G30" s="79"/>
    </row>
    <row r="31" spans="1:9" ht="13.5" customHeight="1" x14ac:dyDescent="0.35">
      <c r="B31" s="2"/>
      <c r="C31" s="69" t="s">
        <v>13</v>
      </c>
      <c r="D31" s="70"/>
      <c r="E31" s="70"/>
      <c r="F31" s="60">
        <f>SUM(F28:F30)</f>
        <v>3675000</v>
      </c>
      <c r="G31" s="79"/>
    </row>
    <row r="32" spans="1:9" ht="13.5" customHeight="1" x14ac:dyDescent="0.35">
      <c r="B32" s="2"/>
      <c r="C32" s="2"/>
      <c r="D32" s="2"/>
      <c r="E32" s="2"/>
      <c r="F32" s="2"/>
      <c r="G32" s="79"/>
    </row>
    <row r="33" spans="2:7" ht="15.4" customHeight="1" x14ac:dyDescent="0.35">
      <c r="B33" s="2"/>
      <c r="C33" s="6" t="s">
        <v>23</v>
      </c>
      <c r="D33" s="2"/>
      <c r="E33" s="2"/>
      <c r="F33" s="2"/>
      <c r="G33" s="80"/>
    </row>
    <row r="34" spans="2:7" ht="15.75" customHeight="1" x14ac:dyDescent="0.35">
      <c r="B34" s="7">
        <v>1</v>
      </c>
      <c r="C34" s="4" t="s">
        <v>24</v>
      </c>
      <c r="D34" s="7">
        <v>2</v>
      </c>
      <c r="E34" s="8">
        <v>400000</v>
      </c>
      <c r="F34" s="8">
        <f>E34*D34</f>
        <v>800000</v>
      </c>
      <c r="G34" s="5" t="s">
        <v>25</v>
      </c>
    </row>
    <row r="35" spans="2:7" ht="13.5" customHeight="1" x14ac:dyDescent="0.35">
      <c r="B35" s="7">
        <v>2</v>
      </c>
      <c r="C35" s="4" t="s">
        <v>26</v>
      </c>
      <c r="D35" s="7">
        <v>3</v>
      </c>
      <c r="E35" s="8">
        <v>50000</v>
      </c>
      <c r="F35" s="8">
        <f>D35*E35*G35</f>
        <v>1050000</v>
      </c>
      <c r="G35" s="55">
        <v>7</v>
      </c>
    </row>
    <row r="36" spans="2:7" s="46" customFormat="1" ht="13.5" customHeight="1" x14ac:dyDescent="0.35">
      <c r="B36" s="50">
        <v>3</v>
      </c>
      <c r="C36" s="51" t="s">
        <v>27</v>
      </c>
      <c r="D36" s="50">
        <v>1</v>
      </c>
      <c r="E36" s="52">
        <v>1500000</v>
      </c>
      <c r="F36" s="52">
        <f>E36*D36</f>
        <v>1500000</v>
      </c>
      <c r="G36" s="49"/>
    </row>
    <row r="37" spans="2:7" ht="13.5" customHeight="1" x14ac:dyDescent="0.35">
      <c r="B37" s="7">
        <v>4</v>
      </c>
      <c r="C37" s="4" t="s">
        <v>28</v>
      </c>
      <c r="D37" s="7">
        <v>3</v>
      </c>
      <c r="E37" s="8">
        <v>90000</v>
      </c>
      <c r="F37" s="8">
        <f>E37*D37</f>
        <v>270000</v>
      </c>
      <c r="G37" s="3"/>
    </row>
    <row r="38" spans="2:7" ht="13.5" customHeight="1" x14ac:dyDescent="0.35">
      <c r="B38" s="2"/>
      <c r="C38" s="69" t="s">
        <v>13</v>
      </c>
      <c r="D38" s="70"/>
      <c r="E38" s="70"/>
      <c r="F38" s="60">
        <f>SUM(F34:F37)</f>
        <v>3620000</v>
      </c>
      <c r="G38" s="3"/>
    </row>
    <row r="39" spans="2:7" ht="13.5" customHeight="1" x14ac:dyDescent="0.35">
      <c r="B39" s="2"/>
      <c r="C39" s="2"/>
      <c r="D39" s="11"/>
      <c r="E39" s="12"/>
      <c r="F39" s="8"/>
      <c r="G39" s="3"/>
    </row>
    <row r="40" spans="2:7" ht="15.4" customHeight="1" x14ac:dyDescent="0.35">
      <c r="B40" s="2"/>
      <c r="C40" s="6" t="s">
        <v>29</v>
      </c>
      <c r="D40" s="11"/>
      <c r="E40" s="11"/>
      <c r="F40" s="8"/>
      <c r="G40" s="3"/>
    </row>
    <row r="41" spans="2:7" ht="18.75" customHeight="1" x14ac:dyDescent="0.35">
      <c r="B41" s="2"/>
      <c r="C41" s="44" t="s">
        <v>52</v>
      </c>
      <c r="D41" s="13">
        <v>1</v>
      </c>
      <c r="E41" s="11">
        <v>2500000</v>
      </c>
      <c r="F41" s="8">
        <f>E41*D41</f>
        <v>2500000</v>
      </c>
      <c r="G41" s="54" t="s">
        <v>47</v>
      </c>
    </row>
    <row r="42" spans="2:7" ht="13.5" customHeight="1" x14ac:dyDescent="0.35">
      <c r="B42" s="2"/>
      <c r="C42" s="4" t="s">
        <v>30</v>
      </c>
      <c r="D42" s="13">
        <v>1</v>
      </c>
      <c r="E42" s="12">
        <v>1000000</v>
      </c>
      <c r="F42" s="8">
        <v>1000000</v>
      </c>
      <c r="G42" s="3"/>
    </row>
    <row r="43" spans="2:7" ht="18.75" customHeight="1" x14ac:dyDescent="0.35">
      <c r="B43" s="2"/>
      <c r="C43" s="69" t="s">
        <v>13</v>
      </c>
      <c r="D43" s="70"/>
      <c r="E43" s="70"/>
      <c r="F43" s="60">
        <f>SUM(F41:F42)</f>
        <v>3500000</v>
      </c>
      <c r="G43" s="14"/>
    </row>
    <row r="44" spans="2:7" ht="13.5" customHeight="1" x14ac:dyDescent="0.35">
      <c r="B44" s="2"/>
      <c r="C44" s="2"/>
      <c r="D44" s="11"/>
      <c r="E44" s="12"/>
      <c r="F44" s="8"/>
      <c r="G44" s="15"/>
    </row>
    <row r="45" spans="2:7" ht="17.899999999999999" customHeight="1" x14ac:dyDescent="0.45">
      <c r="B45" s="2"/>
      <c r="C45" s="71" t="s">
        <v>31</v>
      </c>
      <c r="D45" s="72"/>
      <c r="E45" s="72"/>
      <c r="F45" s="16">
        <f>SUM(F12,F19,F31,F38,F43,F25)</f>
        <v>40035000</v>
      </c>
      <c r="G45" s="3"/>
    </row>
    <row r="46" spans="2:7" ht="13.5" customHeight="1" x14ac:dyDescent="0.35">
      <c r="B46" s="2"/>
      <c r="C46" s="2"/>
      <c r="D46" s="11"/>
      <c r="E46" s="12"/>
      <c r="F46" s="8"/>
      <c r="G46" s="3"/>
    </row>
    <row r="47" spans="2:7" ht="17.5" customHeight="1" x14ac:dyDescent="0.35">
      <c r="B47" s="2"/>
      <c r="C47" s="4" t="s">
        <v>32</v>
      </c>
      <c r="D47" s="11"/>
      <c r="E47" s="12">
        <v>0.05</v>
      </c>
      <c r="F47" s="8">
        <v>1000000</v>
      </c>
      <c r="G47" s="61" t="s">
        <v>59</v>
      </c>
    </row>
    <row r="48" spans="2:7" ht="17.5" customHeight="1" x14ac:dyDescent="0.45">
      <c r="B48" s="28"/>
      <c r="C48" s="24"/>
      <c r="D48" s="25"/>
      <c r="E48" s="26"/>
      <c r="F48" s="27"/>
      <c r="G48" s="57" t="s">
        <v>53</v>
      </c>
    </row>
    <row r="49" spans="2:7" s="20" customFormat="1" ht="17.5" customHeight="1" x14ac:dyDescent="0.45">
      <c r="B49" s="28"/>
      <c r="C49" s="33" t="s">
        <v>33</v>
      </c>
      <c r="D49" s="34"/>
      <c r="E49" s="33"/>
      <c r="F49" s="34">
        <f xml:space="preserve"> SUM(F45:F47)</f>
        <v>41035000</v>
      </c>
      <c r="G49" s="58">
        <f>F49/1000</f>
        <v>41035</v>
      </c>
    </row>
    <row r="50" spans="2:7" ht="13.5" customHeight="1" x14ac:dyDescent="0.35">
      <c r="B50" s="17"/>
      <c r="C50" s="29"/>
      <c r="D50" s="30"/>
      <c r="E50" s="29"/>
      <c r="F50" s="29"/>
      <c r="G50" s="17"/>
    </row>
    <row r="51" spans="2:7" ht="13.5" customHeight="1" x14ac:dyDescent="0.35">
      <c r="B51" s="17"/>
      <c r="C51" s="17"/>
      <c r="D51" s="18"/>
      <c r="E51" s="17"/>
      <c r="F51" s="17"/>
      <c r="G51" s="17"/>
    </row>
    <row r="52" spans="2:7" ht="13.5" customHeight="1" x14ac:dyDescent="0.35">
      <c r="B52" s="17"/>
      <c r="C52" s="17"/>
      <c r="D52" s="18"/>
      <c r="E52" s="17"/>
      <c r="F52" s="17"/>
      <c r="G52" s="17"/>
    </row>
    <row r="53" spans="2:7" ht="13.5" customHeight="1" x14ac:dyDescent="0.35">
      <c r="B53" s="17"/>
      <c r="C53" s="17"/>
      <c r="D53" s="18"/>
      <c r="E53" s="17"/>
      <c r="F53" s="17"/>
      <c r="G53" s="17"/>
    </row>
    <row r="54" spans="2:7" ht="13.5" customHeight="1" x14ac:dyDescent="0.35">
      <c r="B54" s="17"/>
      <c r="C54" s="17"/>
      <c r="D54" s="18"/>
      <c r="E54" s="17"/>
      <c r="F54" s="17"/>
      <c r="G54" s="17"/>
    </row>
    <row r="55" spans="2:7" ht="13.5" customHeight="1" x14ac:dyDescent="0.35">
      <c r="B55" s="17"/>
      <c r="C55" s="17"/>
      <c r="D55" s="18"/>
      <c r="E55" s="17"/>
      <c r="F55" s="17"/>
      <c r="G55" s="17"/>
    </row>
    <row r="56" spans="2:7" ht="13.5" customHeight="1" x14ac:dyDescent="0.35">
      <c r="B56" s="17"/>
      <c r="C56" s="17"/>
      <c r="D56" s="18"/>
      <c r="E56" s="17"/>
      <c r="F56" s="17"/>
      <c r="G56" s="17"/>
    </row>
    <row r="57" spans="2:7" ht="13.5" customHeight="1" x14ac:dyDescent="0.35">
      <c r="B57" s="17"/>
      <c r="C57" s="17"/>
      <c r="D57" s="18"/>
      <c r="E57" s="17"/>
      <c r="F57" s="17"/>
      <c r="G57" s="17"/>
    </row>
  </sheetData>
  <mergeCells count="10">
    <mergeCell ref="G18:G19"/>
    <mergeCell ref="C43:E43"/>
    <mergeCell ref="C45:E45"/>
    <mergeCell ref="C2:E2"/>
    <mergeCell ref="C12:E12"/>
    <mergeCell ref="C19:E19"/>
    <mergeCell ref="C31:E31"/>
    <mergeCell ref="C38:E38"/>
    <mergeCell ref="C25:E25"/>
    <mergeCell ref="G29:G33"/>
  </mergeCells>
  <pageMargins left="0.25" right="0.25" top="0.75" bottom="0.75" header="0.3" footer="0.3"/>
  <pageSetup orientation="landscape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7"/>
  <sheetViews>
    <sheetView topLeftCell="A12" zoomScale="70" zoomScaleNormal="70" workbookViewId="0">
      <selection activeCell="A16" sqref="A16:XFD16"/>
    </sheetView>
  </sheetViews>
  <sheetFormatPr defaultColWidth="12" defaultRowHeight="14.5" x14ac:dyDescent="0.35"/>
  <cols>
    <col min="1" max="1" width="9.36328125" style="1" customWidth="1"/>
    <col min="2" max="2" width="5.7265625" style="1" customWidth="1"/>
    <col min="3" max="3" width="53.54296875" style="1" customWidth="1"/>
    <col min="4" max="4" width="9" style="1" customWidth="1"/>
    <col min="5" max="5" width="17.08984375" style="1" customWidth="1"/>
    <col min="6" max="6" width="14.7265625" style="1" customWidth="1"/>
    <col min="7" max="7" width="57.81640625" style="1" customWidth="1"/>
    <col min="8" max="8" width="12" style="1" customWidth="1"/>
    <col min="9" max="16384" width="12" style="1"/>
  </cols>
  <sheetData>
    <row r="2" spans="2:7" ht="15.5" x14ac:dyDescent="0.35">
      <c r="B2" s="2"/>
      <c r="C2" s="73" t="s">
        <v>34</v>
      </c>
      <c r="D2" s="74"/>
      <c r="E2" s="74"/>
      <c r="F2" s="2"/>
      <c r="G2" s="3"/>
    </row>
    <row r="3" spans="2:7" x14ac:dyDescent="0.35">
      <c r="B3" s="2"/>
      <c r="C3" s="2"/>
      <c r="D3" s="2"/>
      <c r="E3" s="2"/>
      <c r="F3" s="2"/>
      <c r="G3" s="3"/>
    </row>
    <row r="4" spans="2:7" s="19" customFormat="1" x14ac:dyDescent="0.35">
      <c r="B4" s="21" t="s">
        <v>0</v>
      </c>
      <c r="C4" s="21" t="s">
        <v>1</v>
      </c>
      <c r="D4" s="21" t="s">
        <v>2</v>
      </c>
      <c r="E4" s="21" t="s">
        <v>3</v>
      </c>
      <c r="F4" s="21" t="s">
        <v>4</v>
      </c>
      <c r="G4" s="31" t="s">
        <v>5</v>
      </c>
    </row>
    <row r="5" spans="2:7" x14ac:dyDescent="0.35">
      <c r="B5" s="2"/>
      <c r="C5" s="2"/>
      <c r="D5" s="2"/>
      <c r="E5" s="2"/>
      <c r="F5" s="2"/>
      <c r="G5" s="63" t="s">
        <v>58</v>
      </c>
    </row>
    <row r="6" spans="2:7" ht="15.5" x14ac:dyDescent="0.35">
      <c r="B6" s="2"/>
      <c r="C6" s="6" t="s">
        <v>6</v>
      </c>
      <c r="D6" s="2"/>
      <c r="E6" s="2"/>
      <c r="F6" s="2"/>
      <c r="G6" s="3"/>
    </row>
    <row r="7" spans="2:7" x14ac:dyDescent="0.35">
      <c r="B7" s="7">
        <v>1</v>
      </c>
      <c r="C7" s="4" t="s">
        <v>7</v>
      </c>
      <c r="D7" s="7">
        <f>D30</f>
        <v>8</v>
      </c>
      <c r="E7" s="8">
        <f>'Tier 1 - Testing and Screening'!E7</f>
        <v>50000</v>
      </c>
      <c r="F7" s="8">
        <f>E7*D7*7</f>
        <v>2800000</v>
      </c>
      <c r="G7" s="5" t="s">
        <v>8</v>
      </c>
    </row>
    <row r="8" spans="2:7" x14ac:dyDescent="0.35">
      <c r="B8" s="7">
        <v>2</v>
      </c>
      <c r="C8" s="4" t="s">
        <v>9</v>
      </c>
      <c r="D8" s="7">
        <v>1</v>
      </c>
      <c r="E8" s="8">
        <f>'Tier 1 - Testing and Screening'!E8</f>
        <v>30000</v>
      </c>
      <c r="F8" s="8">
        <f t="shared" ref="F8:F11" si="0">E8*D8*7</f>
        <v>210000</v>
      </c>
      <c r="G8" s="3"/>
    </row>
    <row r="9" spans="2:7" x14ac:dyDescent="0.35">
      <c r="B9" s="7">
        <v>3</v>
      </c>
      <c r="C9" s="4" t="s">
        <v>10</v>
      </c>
      <c r="D9" s="7">
        <f>D7</f>
        <v>8</v>
      </c>
      <c r="E9" s="8">
        <f>'Tier 1 - Testing and Screening'!E9</f>
        <v>30000</v>
      </c>
      <c r="F9" s="8">
        <f t="shared" si="0"/>
        <v>1680000</v>
      </c>
      <c r="G9" s="3"/>
    </row>
    <row r="10" spans="2:7" x14ac:dyDescent="0.35">
      <c r="B10" s="7">
        <v>4</v>
      </c>
      <c r="C10" s="4" t="s">
        <v>11</v>
      </c>
      <c r="D10" s="7">
        <v>2</v>
      </c>
      <c r="E10" s="8">
        <f>'Tier 1 - Testing and Screening'!E10</f>
        <v>30000</v>
      </c>
      <c r="F10" s="8">
        <f t="shared" si="0"/>
        <v>420000</v>
      </c>
      <c r="G10" s="5" t="s">
        <v>12</v>
      </c>
    </row>
    <row r="11" spans="2:7" x14ac:dyDescent="0.35">
      <c r="B11" s="7">
        <v>5</v>
      </c>
      <c r="C11" s="44" t="s">
        <v>50</v>
      </c>
      <c r="D11" s="7">
        <v>3</v>
      </c>
      <c r="E11" s="8">
        <f>'Tier 1 - Testing and Screening'!E11</f>
        <v>30000</v>
      </c>
      <c r="F11" s="8">
        <f t="shared" si="0"/>
        <v>630000</v>
      </c>
      <c r="G11" s="5"/>
    </row>
    <row r="12" spans="2:7" x14ac:dyDescent="0.35">
      <c r="B12" s="2"/>
      <c r="C12" s="69" t="s">
        <v>13</v>
      </c>
      <c r="D12" s="70"/>
      <c r="E12" s="70"/>
      <c r="F12" s="60">
        <f>SUM(F7:F11)</f>
        <v>5740000</v>
      </c>
      <c r="G12" s="3"/>
    </row>
    <row r="13" spans="2:7" x14ac:dyDescent="0.35">
      <c r="B13" s="3"/>
      <c r="C13" s="3"/>
      <c r="D13" s="3"/>
      <c r="E13" s="3"/>
      <c r="F13" s="3"/>
      <c r="G13" s="3"/>
    </row>
    <row r="14" spans="2:7" x14ac:dyDescent="0.35">
      <c r="B14" s="3"/>
      <c r="C14" s="3"/>
      <c r="D14" s="3"/>
      <c r="E14" s="3"/>
      <c r="F14" s="3"/>
      <c r="G14" s="3"/>
    </row>
    <row r="15" spans="2:7" ht="15.5" x14ac:dyDescent="0.35">
      <c r="B15" s="2"/>
      <c r="C15" s="6" t="s">
        <v>14</v>
      </c>
      <c r="D15" s="2"/>
      <c r="E15" s="2"/>
      <c r="F15" s="2"/>
      <c r="G15" s="3"/>
    </row>
    <row r="16" spans="2:7" s="36" customFormat="1" x14ac:dyDescent="0.35">
      <c r="B16" s="37">
        <v>1</v>
      </c>
      <c r="C16" s="38" t="s">
        <v>16</v>
      </c>
      <c r="D16" s="37">
        <v>1000</v>
      </c>
      <c r="E16" s="39">
        <v>0</v>
      </c>
      <c r="F16" s="39">
        <f>E16*D16</f>
        <v>0</v>
      </c>
      <c r="G16" s="62"/>
    </row>
    <row r="17" spans="1:9" ht="15.75" customHeight="1" x14ac:dyDescent="0.35">
      <c r="B17" s="7">
        <v>2</v>
      </c>
      <c r="C17" s="4" t="s">
        <v>15</v>
      </c>
      <c r="D17" s="7">
        <v>1000</v>
      </c>
      <c r="E17" s="8">
        <f>'Tier 1 - Testing and Screening'!E17</f>
        <v>3500</v>
      </c>
      <c r="F17" s="8">
        <f>E17*D17</f>
        <v>3500000</v>
      </c>
      <c r="G17" s="56" t="s">
        <v>51</v>
      </c>
    </row>
    <row r="18" spans="1:9" ht="16" customHeight="1" x14ac:dyDescent="0.35">
      <c r="B18" s="7">
        <v>3</v>
      </c>
      <c r="C18" s="4" t="s">
        <v>17</v>
      </c>
      <c r="D18" s="7">
        <v>1000</v>
      </c>
      <c r="E18" s="8">
        <f>'Tier 1 - Testing and Screening'!E18</f>
        <v>10000</v>
      </c>
      <c r="F18" s="8">
        <f>E18*D18</f>
        <v>10000000</v>
      </c>
      <c r="G18" s="90" t="s">
        <v>18</v>
      </c>
    </row>
    <row r="19" spans="1:9" ht="21.75" customHeight="1" x14ac:dyDescent="0.35">
      <c r="B19" s="2"/>
      <c r="C19" s="69" t="s">
        <v>13</v>
      </c>
      <c r="D19" s="75"/>
      <c r="E19" s="75"/>
      <c r="F19" s="60">
        <f>SUM(F16:F18)</f>
        <v>13500000</v>
      </c>
      <c r="G19" s="68"/>
    </row>
    <row r="20" spans="1:9" ht="21.75" customHeight="1" x14ac:dyDescent="0.35">
      <c r="B20" s="2"/>
      <c r="C20" s="21"/>
      <c r="D20" s="23"/>
      <c r="E20" s="23"/>
      <c r="F20" s="32"/>
      <c r="G20" s="3"/>
    </row>
    <row r="21" spans="1:9" s="36" customFormat="1" ht="15.4" hidden="1" customHeight="1" x14ac:dyDescent="0.35">
      <c r="B21" s="41"/>
      <c r="C21" s="42" t="s">
        <v>39</v>
      </c>
      <c r="D21" s="41"/>
      <c r="E21" s="41"/>
      <c r="F21" s="41"/>
      <c r="G21" s="40"/>
    </row>
    <row r="22" spans="1:9" s="36" customFormat="1" ht="15.75" hidden="1" customHeight="1" x14ac:dyDescent="0.35">
      <c r="B22" s="37">
        <v>1</v>
      </c>
      <c r="C22" s="38" t="s">
        <v>38</v>
      </c>
      <c r="D22" s="37">
        <v>1</v>
      </c>
      <c r="E22" s="39">
        <v>0</v>
      </c>
      <c r="F22" s="39">
        <f>E22*D22</f>
        <v>0</v>
      </c>
      <c r="G22" s="40"/>
    </row>
    <row r="23" spans="1:9" s="36" customFormat="1" ht="13.5" hidden="1" customHeight="1" x14ac:dyDescent="0.35">
      <c r="B23" s="37"/>
      <c r="C23" s="38"/>
      <c r="D23" s="37"/>
      <c r="E23" s="39"/>
      <c r="F23" s="39">
        <f>E23*D23</f>
        <v>0</v>
      </c>
      <c r="G23" s="40"/>
    </row>
    <row r="24" spans="1:9" s="36" customFormat="1" ht="13.5" hidden="1" customHeight="1" x14ac:dyDescent="0.35">
      <c r="B24" s="37"/>
      <c r="C24" s="38"/>
      <c r="D24" s="37"/>
      <c r="E24" s="39"/>
      <c r="F24" s="39">
        <f>E24*D24</f>
        <v>0</v>
      </c>
      <c r="G24" s="40"/>
      <c r="I24" s="36">
        <f>3*6</f>
        <v>18</v>
      </c>
    </row>
    <row r="25" spans="1:9" s="36" customFormat="1" ht="13.5" hidden="1" customHeight="1" x14ac:dyDescent="0.35">
      <c r="B25" s="41"/>
      <c r="C25" s="76" t="s">
        <v>13</v>
      </c>
      <c r="D25" s="77"/>
      <c r="E25" s="77"/>
      <c r="F25" s="43">
        <f>SUM(F22:F24)</f>
        <v>0</v>
      </c>
      <c r="G25" s="40"/>
      <c r="I25" s="36">
        <f>I24*8</f>
        <v>144</v>
      </c>
    </row>
    <row r="26" spans="1:9" ht="13.5" customHeight="1" x14ac:dyDescent="0.35">
      <c r="B26" s="2"/>
      <c r="C26" s="2"/>
      <c r="D26" s="2"/>
      <c r="E26" s="8"/>
      <c r="F26" s="8"/>
      <c r="G26" s="3"/>
    </row>
    <row r="27" spans="1:9" ht="15.4" customHeight="1" x14ac:dyDescent="0.35">
      <c r="B27" s="2"/>
      <c r="C27" s="6" t="s">
        <v>19</v>
      </c>
      <c r="D27" s="2"/>
      <c r="E27" s="2"/>
      <c r="F27" s="2"/>
      <c r="G27" s="3"/>
    </row>
    <row r="28" spans="1:9" ht="15.75" customHeight="1" x14ac:dyDescent="0.35">
      <c r="A28" s="59" t="s">
        <v>57</v>
      </c>
      <c r="B28" s="7">
        <v>1</v>
      </c>
      <c r="C28" s="4" t="s">
        <v>20</v>
      </c>
      <c r="D28" s="7">
        <v>2</v>
      </c>
      <c r="E28" s="8">
        <f>'Tier 1 - Testing and Screening'!E28</f>
        <v>15000</v>
      </c>
      <c r="F28" s="8">
        <f>'Tier 1 - Testing and Screening'!F28</f>
        <v>315000</v>
      </c>
      <c r="G28" s="78" t="s">
        <v>64</v>
      </c>
    </row>
    <row r="29" spans="1:9" ht="13.5" customHeight="1" x14ac:dyDescent="0.35">
      <c r="A29" s="59" t="s">
        <v>57</v>
      </c>
      <c r="B29" s="7">
        <v>2</v>
      </c>
      <c r="C29" s="4" t="s">
        <v>21</v>
      </c>
      <c r="D29" s="7">
        <v>8</v>
      </c>
      <c r="E29" s="8">
        <f>'Tier 1 - Testing and Screening'!E29</f>
        <v>30000</v>
      </c>
      <c r="F29" s="8">
        <f>'Tier 1 - Testing and Screening'!F29</f>
        <v>1680000</v>
      </c>
      <c r="G29" s="79"/>
    </row>
    <row r="30" spans="1:9" s="36" customFormat="1" ht="13.5" customHeight="1" x14ac:dyDescent="0.35">
      <c r="A30" s="36" t="s">
        <v>57</v>
      </c>
      <c r="B30" s="37">
        <v>3</v>
      </c>
      <c r="C30" s="38" t="s">
        <v>22</v>
      </c>
      <c r="D30" s="37">
        <v>8</v>
      </c>
      <c r="E30" s="39">
        <f>'Tier 1 - Testing and Screening'!E30</f>
        <v>30000</v>
      </c>
      <c r="F30" s="39">
        <f>'Tier 1 - Testing and Screening'!F30</f>
        <v>1680000</v>
      </c>
      <c r="G30" s="79"/>
    </row>
    <row r="31" spans="1:9" ht="13.5" customHeight="1" x14ac:dyDescent="0.35">
      <c r="B31" s="2"/>
      <c r="C31" s="69" t="s">
        <v>13</v>
      </c>
      <c r="D31" s="70"/>
      <c r="E31" s="70"/>
      <c r="F31" s="60">
        <f>SUM(F28:F30)</f>
        <v>3675000</v>
      </c>
      <c r="G31" s="79"/>
    </row>
    <row r="32" spans="1:9" ht="13.5" customHeight="1" x14ac:dyDescent="0.35">
      <c r="B32" s="2"/>
      <c r="C32" s="2"/>
      <c r="D32" s="2"/>
      <c r="E32" s="2"/>
      <c r="F32" s="2"/>
      <c r="G32" s="79"/>
    </row>
    <row r="33" spans="2:7" ht="15.5" x14ac:dyDescent="0.35">
      <c r="B33" s="2"/>
      <c r="C33" s="6" t="s">
        <v>23</v>
      </c>
      <c r="D33" s="2"/>
      <c r="E33" s="2"/>
      <c r="F33" s="2"/>
      <c r="G33" s="80"/>
    </row>
    <row r="34" spans="2:7" x14ac:dyDescent="0.35">
      <c r="B34" s="7">
        <v>1</v>
      </c>
      <c r="C34" s="4" t="s">
        <v>24</v>
      </c>
      <c r="D34" s="7">
        <v>2</v>
      </c>
      <c r="E34" s="8">
        <f>'Tier 1 - Testing and Screening'!E34</f>
        <v>400000</v>
      </c>
      <c r="F34" s="8">
        <f>E34*D34</f>
        <v>800000</v>
      </c>
      <c r="G34" s="5" t="s">
        <v>25</v>
      </c>
    </row>
    <row r="35" spans="2:7" x14ac:dyDescent="0.35">
      <c r="B35" s="7">
        <v>2</v>
      </c>
      <c r="C35" s="4" t="s">
        <v>26</v>
      </c>
      <c r="D35" s="7">
        <v>3</v>
      </c>
      <c r="E35" s="8">
        <f>'Tier 1 - Testing and Screening'!E35</f>
        <v>50000</v>
      </c>
      <c r="F35" s="8">
        <f>D35*E35*G35</f>
        <v>1050000</v>
      </c>
      <c r="G35" s="55">
        <v>7</v>
      </c>
    </row>
    <row r="36" spans="2:7" s="46" customFormat="1" x14ac:dyDescent="0.35">
      <c r="B36" s="50">
        <v>3</v>
      </c>
      <c r="C36" s="51" t="s">
        <v>27</v>
      </c>
      <c r="D36" s="50">
        <v>1</v>
      </c>
      <c r="E36" s="8">
        <f>'Tier 1 - Testing and Screening'!E36</f>
        <v>1500000</v>
      </c>
      <c r="F36" s="52">
        <f>E36*D36</f>
        <v>1500000</v>
      </c>
      <c r="G36" s="49"/>
    </row>
    <row r="37" spans="2:7" x14ac:dyDescent="0.35">
      <c r="B37" s="7">
        <v>4</v>
      </c>
      <c r="C37" s="4" t="s">
        <v>28</v>
      </c>
      <c r="D37" s="7">
        <v>3</v>
      </c>
      <c r="E37" s="8">
        <f>'Tier 1 - Testing and Screening'!E37</f>
        <v>90000</v>
      </c>
      <c r="F37" s="8">
        <f>E37*D37</f>
        <v>270000</v>
      </c>
      <c r="G37" s="3"/>
    </row>
    <row r="38" spans="2:7" x14ac:dyDescent="0.35">
      <c r="B38" s="2"/>
      <c r="C38" s="69" t="s">
        <v>13</v>
      </c>
      <c r="D38" s="70"/>
      <c r="E38" s="70"/>
      <c r="F38" s="60">
        <f>SUM(F34:F37)</f>
        <v>3620000</v>
      </c>
      <c r="G38" s="3"/>
    </row>
    <row r="39" spans="2:7" x14ac:dyDescent="0.35">
      <c r="B39" s="2"/>
      <c r="C39" s="2"/>
      <c r="D39" s="11"/>
      <c r="E39" s="12"/>
      <c r="F39" s="8"/>
      <c r="G39" s="3"/>
    </row>
    <row r="40" spans="2:7" ht="15.5" x14ac:dyDescent="0.35">
      <c r="B40" s="2"/>
      <c r="C40" s="6" t="s">
        <v>29</v>
      </c>
      <c r="D40" s="11"/>
      <c r="E40" s="11"/>
      <c r="F40" s="8"/>
      <c r="G40" s="3"/>
    </row>
    <row r="41" spans="2:7" x14ac:dyDescent="0.35">
      <c r="B41" s="2"/>
      <c r="C41" s="44" t="s">
        <v>52</v>
      </c>
      <c r="D41" s="13">
        <v>1</v>
      </c>
      <c r="E41" s="11">
        <v>2500000</v>
      </c>
      <c r="F41" s="8">
        <f>E41*D41</f>
        <v>2500000</v>
      </c>
      <c r="G41" s="54" t="s">
        <v>47</v>
      </c>
    </row>
    <row r="42" spans="2:7" x14ac:dyDescent="0.35">
      <c r="B42" s="2"/>
      <c r="C42" s="4" t="s">
        <v>30</v>
      </c>
      <c r="D42" s="13">
        <v>1</v>
      </c>
      <c r="E42" s="12"/>
      <c r="F42" s="8">
        <v>1000000</v>
      </c>
      <c r="G42" s="3"/>
    </row>
    <row r="43" spans="2:7" x14ac:dyDescent="0.35">
      <c r="B43" s="2"/>
      <c r="C43" s="69" t="s">
        <v>13</v>
      </c>
      <c r="D43" s="70"/>
      <c r="E43" s="70"/>
      <c r="F43" s="60">
        <f>SUM(F41:F42)</f>
        <v>3500000</v>
      </c>
      <c r="G43" s="14"/>
    </row>
    <row r="44" spans="2:7" x14ac:dyDescent="0.35">
      <c r="B44" s="2"/>
      <c r="C44" s="2"/>
      <c r="D44" s="11"/>
      <c r="E44" s="12"/>
      <c r="F44" s="8"/>
      <c r="G44" s="15"/>
    </row>
    <row r="45" spans="2:7" ht="18.5" x14ac:dyDescent="0.45">
      <c r="B45" s="2"/>
      <c r="C45" s="71" t="s">
        <v>31</v>
      </c>
      <c r="D45" s="72"/>
      <c r="E45" s="72"/>
      <c r="F45" s="16">
        <f>SUM(F12,F19,F31,F38,F43,F25)</f>
        <v>30035000</v>
      </c>
      <c r="G45" s="3"/>
    </row>
    <row r="46" spans="2:7" x14ac:dyDescent="0.35">
      <c r="B46" s="2"/>
      <c r="C46" s="2"/>
      <c r="D46" s="11"/>
      <c r="E46" s="12"/>
      <c r="F46" s="8"/>
      <c r="G46" s="3"/>
    </row>
    <row r="47" spans="2:7" x14ac:dyDescent="0.35">
      <c r="B47" s="2"/>
      <c r="C47" s="4" t="s">
        <v>32</v>
      </c>
      <c r="D47" s="11"/>
      <c r="E47" s="12">
        <v>0.05</v>
      </c>
      <c r="F47" s="8">
        <v>1000000</v>
      </c>
      <c r="G47" s="61" t="s">
        <v>59</v>
      </c>
    </row>
    <row r="48" spans="2:7" ht="18.5" x14ac:dyDescent="0.45">
      <c r="B48" s="28"/>
      <c r="C48" s="24"/>
      <c r="D48" s="25"/>
      <c r="E48" s="26"/>
      <c r="F48" s="27"/>
      <c r="G48" s="57" t="s">
        <v>53</v>
      </c>
    </row>
    <row r="49" spans="2:7" s="20" customFormat="1" ht="18.5" x14ac:dyDescent="0.45">
      <c r="B49" s="28"/>
      <c r="C49" s="33" t="s">
        <v>33</v>
      </c>
      <c r="D49" s="34"/>
      <c r="E49" s="33"/>
      <c r="F49" s="34">
        <f xml:space="preserve"> SUM(F45:F47)</f>
        <v>31035000</v>
      </c>
      <c r="G49" s="58">
        <f>F49/1000</f>
        <v>31035</v>
      </c>
    </row>
    <row r="50" spans="2:7" x14ac:dyDescent="0.35">
      <c r="B50" s="17"/>
      <c r="C50" s="29"/>
      <c r="D50" s="30"/>
      <c r="E50" s="29"/>
      <c r="F50" s="29"/>
      <c r="G50" s="17"/>
    </row>
    <row r="51" spans="2:7" x14ac:dyDescent="0.35">
      <c r="B51" s="17"/>
      <c r="C51" s="17"/>
      <c r="D51" s="18"/>
      <c r="E51" s="17"/>
      <c r="F51" s="17"/>
      <c r="G51" s="17"/>
    </row>
    <row r="52" spans="2:7" x14ac:dyDescent="0.35">
      <c r="B52" s="17"/>
      <c r="C52" s="17"/>
      <c r="D52" s="18"/>
      <c r="E52" s="17"/>
      <c r="F52" s="17"/>
      <c r="G52" s="17"/>
    </row>
    <row r="53" spans="2:7" x14ac:dyDescent="0.35">
      <c r="B53" s="17"/>
      <c r="C53" s="17"/>
      <c r="D53" s="18"/>
      <c r="E53" s="17"/>
      <c r="F53" s="17"/>
      <c r="G53" s="17"/>
    </row>
    <row r="54" spans="2:7" x14ac:dyDescent="0.35">
      <c r="B54" s="17"/>
      <c r="C54" s="17"/>
      <c r="D54" s="18"/>
      <c r="E54" s="17"/>
      <c r="F54" s="17"/>
      <c r="G54" s="17"/>
    </row>
    <row r="55" spans="2:7" x14ac:dyDescent="0.35">
      <c r="B55" s="17"/>
      <c r="C55" s="17"/>
      <c r="D55" s="18"/>
      <c r="E55" s="17"/>
      <c r="F55" s="17"/>
      <c r="G55" s="17"/>
    </row>
    <row r="56" spans="2:7" x14ac:dyDescent="0.35">
      <c r="B56" s="17"/>
      <c r="C56" s="17"/>
      <c r="D56" s="18"/>
      <c r="E56" s="17"/>
      <c r="F56" s="17"/>
      <c r="G56" s="17"/>
    </row>
    <row r="57" spans="2:7" x14ac:dyDescent="0.35">
      <c r="B57" s="17"/>
      <c r="C57" s="17"/>
      <c r="D57" s="18"/>
      <c r="E57" s="17"/>
      <c r="F57" s="17"/>
      <c r="G57" s="17"/>
    </row>
  </sheetData>
  <mergeCells count="10">
    <mergeCell ref="C43:E43"/>
    <mergeCell ref="C45:E45"/>
    <mergeCell ref="G18:G19"/>
    <mergeCell ref="C2:E2"/>
    <mergeCell ref="C12:E12"/>
    <mergeCell ref="C19:E19"/>
    <mergeCell ref="C25:E25"/>
    <mergeCell ref="C31:E31"/>
    <mergeCell ref="C38:E38"/>
    <mergeCell ref="G28:G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28"/>
  <sheetViews>
    <sheetView topLeftCell="B1" zoomScale="80" zoomScaleNormal="80" workbookViewId="0">
      <selection activeCell="G10" sqref="G10"/>
    </sheetView>
  </sheetViews>
  <sheetFormatPr defaultColWidth="12" defaultRowHeight="14.5" x14ac:dyDescent="0.35"/>
  <cols>
    <col min="1" max="1" width="12" style="1"/>
    <col min="2" max="2" width="5.7265625" style="1" customWidth="1"/>
    <col min="3" max="3" width="53.54296875" style="1" customWidth="1"/>
    <col min="4" max="4" width="9" style="1" customWidth="1"/>
    <col min="5" max="5" width="17.08984375" style="1" customWidth="1"/>
    <col min="6" max="6" width="14.7265625" style="1" customWidth="1"/>
    <col min="7" max="7" width="62.7265625" style="1" customWidth="1"/>
    <col min="8" max="8" width="12" style="1" customWidth="1"/>
    <col min="9" max="9" width="14" style="1" bestFit="1" customWidth="1"/>
    <col min="10" max="10" width="12" style="1"/>
    <col min="11" max="11" width="14.6328125" style="1" bestFit="1" customWidth="1"/>
    <col min="12" max="16384" width="12" style="1"/>
  </cols>
  <sheetData>
    <row r="2" spans="2:7" ht="15" customHeight="1" x14ac:dyDescent="0.35">
      <c r="C2" s="35" t="s">
        <v>35</v>
      </c>
    </row>
    <row r="3" spans="2:7" ht="15.75" customHeight="1" x14ac:dyDescent="0.35">
      <c r="B3" s="2"/>
      <c r="C3" s="85" t="s">
        <v>56</v>
      </c>
      <c r="D3" s="74"/>
      <c r="E3" s="74"/>
      <c r="F3" s="2"/>
      <c r="G3" s="3"/>
    </row>
    <row r="4" spans="2:7" ht="13.5" customHeight="1" x14ac:dyDescent="0.35">
      <c r="B4" s="2"/>
      <c r="C4" s="2"/>
      <c r="D4" s="2"/>
      <c r="E4" s="2"/>
      <c r="F4" s="2"/>
      <c r="G4" s="3"/>
    </row>
    <row r="5" spans="2:7" s="19" customFormat="1" ht="15.75" customHeight="1" x14ac:dyDescent="0.35">
      <c r="B5" s="21" t="s">
        <v>0</v>
      </c>
      <c r="C5" s="21" t="s">
        <v>1</v>
      </c>
      <c r="D5" s="21" t="s">
        <v>2</v>
      </c>
      <c r="E5" s="21" t="s">
        <v>3</v>
      </c>
      <c r="F5" s="21" t="s">
        <v>4</v>
      </c>
      <c r="G5" s="31" t="s">
        <v>5</v>
      </c>
    </row>
    <row r="6" spans="2:7" ht="13.5" customHeight="1" x14ac:dyDescent="0.35">
      <c r="B6" s="3"/>
      <c r="C6" s="3"/>
      <c r="D6" s="3"/>
      <c r="E6" s="3"/>
      <c r="F6" s="3"/>
      <c r="G6" s="64" t="s">
        <v>60</v>
      </c>
    </row>
    <row r="7" spans="2:7" ht="15.4" customHeight="1" x14ac:dyDescent="0.35">
      <c r="B7" s="2"/>
      <c r="C7" s="6" t="s">
        <v>14</v>
      </c>
      <c r="D7" s="2"/>
      <c r="E7" s="2"/>
      <c r="F7" s="2"/>
      <c r="G7" s="3"/>
    </row>
    <row r="8" spans="2:7" s="36" customFormat="1" ht="13.5" customHeight="1" x14ac:dyDescent="0.35">
      <c r="B8" s="37">
        <v>1</v>
      </c>
      <c r="C8" s="38" t="s">
        <v>16</v>
      </c>
      <c r="D8" s="37">
        <v>500</v>
      </c>
      <c r="E8" s="39">
        <v>10000</v>
      </c>
      <c r="F8" s="39">
        <f>E8*D8</f>
        <v>5000000</v>
      </c>
    </row>
    <row r="9" spans="2:7" ht="15.75" customHeight="1" x14ac:dyDescent="0.35">
      <c r="B9" s="7">
        <v>2</v>
      </c>
      <c r="C9" s="4" t="s">
        <v>15</v>
      </c>
      <c r="D9" s="7">
        <v>500</v>
      </c>
      <c r="E9" s="8">
        <v>3500</v>
      </c>
      <c r="F9" s="8">
        <f>E9*D9</f>
        <v>1750000</v>
      </c>
      <c r="G9" s="9"/>
    </row>
    <row r="10" spans="2:7" ht="29" customHeight="1" x14ac:dyDescent="0.35">
      <c r="B10" s="7">
        <v>3</v>
      </c>
      <c r="C10" s="4" t="s">
        <v>17</v>
      </c>
      <c r="D10" s="7">
        <v>500</v>
      </c>
      <c r="E10" s="8">
        <v>10000</v>
      </c>
      <c r="F10" s="8">
        <f>E10*D10</f>
        <v>5000000</v>
      </c>
      <c r="G10" s="92" t="s">
        <v>18</v>
      </c>
    </row>
    <row r="11" spans="2:7" ht="13.5" customHeight="1" x14ac:dyDescent="0.35">
      <c r="B11" s="7">
        <v>4</v>
      </c>
      <c r="C11" s="4" t="s">
        <v>37</v>
      </c>
      <c r="D11" s="7">
        <v>100</v>
      </c>
      <c r="E11" s="8">
        <v>10000</v>
      </c>
      <c r="F11" s="8">
        <f>E11*D11</f>
        <v>1000000</v>
      </c>
      <c r="G11" s="86" t="str">
        <f>'Tier 2 - Screening'!G11:G12</f>
        <v xml:space="preserve">This is for the women that have tested positive | We projected an average of 20% chance just to be sure </v>
      </c>
    </row>
    <row r="12" spans="2:7" ht="21.75" customHeight="1" x14ac:dyDescent="0.35">
      <c r="B12" s="2"/>
      <c r="C12" s="81" t="s">
        <v>13</v>
      </c>
      <c r="D12" s="82"/>
      <c r="E12" s="32">
        <f>SUM(E8:E11)</f>
        <v>33500</v>
      </c>
      <c r="F12" s="32">
        <f>SUM(F8:F11)</f>
        <v>12750000</v>
      </c>
      <c r="G12" s="87"/>
    </row>
    <row r="13" spans="2:7" ht="21.75" customHeight="1" x14ac:dyDescent="0.35">
      <c r="B13" s="3"/>
      <c r="C13" s="3"/>
      <c r="D13" s="3"/>
      <c r="E13" s="3"/>
      <c r="F13" s="3"/>
      <c r="G13" s="3"/>
    </row>
    <row r="14" spans="2:7" s="46" customFormat="1" ht="15.4" customHeight="1" x14ac:dyDescent="0.35">
      <c r="B14" s="47"/>
      <c r="C14" s="48" t="s">
        <v>40</v>
      </c>
      <c r="D14" s="47"/>
      <c r="E14" s="47"/>
      <c r="F14" s="47"/>
      <c r="G14" s="49"/>
    </row>
    <row r="15" spans="2:7" s="46" customFormat="1" ht="15.75" customHeight="1" x14ac:dyDescent="0.35">
      <c r="B15" s="50">
        <v>1</v>
      </c>
      <c r="C15" s="51" t="s">
        <v>36</v>
      </c>
      <c r="D15" s="50">
        <v>1</v>
      </c>
      <c r="E15" s="52">
        <v>300000</v>
      </c>
      <c r="F15" s="52">
        <f>E15*D15</f>
        <v>300000</v>
      </c>
      <c r="G15" s="49" t="s">
        <v>48</v>
      </c>
    </row>
    <row r="16" spans="2:7" s="46" customFormat="1" ht="13.5" customHeight="1" x14ac:dyDescent="0.35">
      <c r="B16" s="50">
        <v>2</v>
      </c>
      <c r="C16" s="51" t="s">
        <v>41</v>
      </c>
      <c r="D16" s="50">
        <v>1</v>
      </c>
      <c r="E16" s="52">
        <v>385000</v>
      </c>
      <c r="F16" s="52">
        <f>E16*D16</f>
        <v>385000</v>
      </c>
      <c r="G16" s="49" t="s">
        <v>49</v>
      </c>
    </row>
    <row r="17" spans="2:11" s="46" customFormat="1" ht="13.5" customHeight="1" x14ac:dyDescent="0.35">
      <c r="B17" s="47"/>
      <c r="C17" s="83" t="s">
        <v>13</v>
      </c>
      <c r="D17" s="84"/>
      <c r="E17" s="53">
        <f>SUM(E15:E16)</f>
        <v>685000</v>
      </c>
      <c r="F17" s="53">
        <f>SUM(F15:F16)</f>
        <v>685000</v>
      </c>
      <c r="G17" s="49"/>
    </row>
    <row r="18" spans="2:11" ht="13.5" customHeight="1" x14ac:dyDescent="0.35">
      <c r="B18" s="2"/>
      <c r="C18" s="21"/>
      <c r="D18" s="22"/>
      <c r="E18" s="22"/>
      <c r="F18" s="32"/>
      <c r="G18" s="3"/>
    </row>
    <row r="19" spans="2:11" ht="17.5" customHeight="1" x14ac:dyDescent="0.45">
      <c r="B19" s="28"/>
      <c r="C19" s="24"/>
      <c r="D19" s="25"/>
      <c r="E19" s="26"/>
      <c r="F19" s="27"/>
      <c r="G19" s="57" t="s">
        <v>55</v>
      </c>
    </row>
    <row r="20" spans="2:11" s="20" customFormat="1" ht="17.5" customHeight="1" x14ac:dyDescent="0.45">
      <c r="B20" s="28"/>
      <c r="C20" s="33" t="s">
        <v>33</v>
      </c>
      <c r="D20" s="34"/>
      <c r="E20" s="34">
        <f>E17+E12</f>
        <v>718500</v>
      </c>
      <c r="F20" s="34">
        <f>F17+F12</f>
        <v>13435000</v>
      </c>
      <c r="G20" s="58">
        <f>F20/500</f>
        <v>26870</v>
      </c>
      <c r="I20" s="1"/>
      <c r="J20" s="1"/>
      <c r="K20" s="1"/>
    </row>
    <row r="21" spans="2:11" ht="13.5" customHeight="1" x14ac:dyDescent="0.35">
      <c r="B21" s="17"/>
      <c r="C21" s="29"/>
      <c r="D21" s="30"/>
      <c r="E21" s="29"/>
      <c r="F21" s="29"/>
      <c r="G21" s="17"/>
    </row>
    <row r="22" spans="2:11" ht="13.5" customHeight="1" x14ac:dyDescent="0.35">
      <c r="B22" s="17"/>
      <c r="C22" s="17"/>
      <c r="D22" s="18"/>
      <c r="E22" s="17"/>
      <c r="F22" s="17"/>
      <c r="G22" s="17"/>
    </row>
    <row r="23" spans="2:11" ht="13.5" customHeight="1" x14ac:dyDescent="0.35">
      <c r="B23" s="17"/>
      <c r="C23" s="17"/>
      <c r="D23" s="18"/>
      <c r="E23" s="17"/>
      <c r="F23" s="17"/>
      <c r="G23" s="17"/>
    </row>
    <row r="24" spans="2:11" ht="13.5" customHeight="1" x14ac:dyDescent="0.35">
      <c r="B24" s="17"/>
      <c r="C24" s="17"/>
      <c r="D24" s="18"/>
      <c r="E24" s="17"/>
      <c r="F24" s="17"/>
      <c r="G24" s="17"/>
    </row>
    <row r="25" spans="2:11" ht="13.5" customHeight="1" x14ac:dyDescent="0.35">
      <c r="B25" s="17"/>
      <c r="C25" s="17"/>
      <c r="D25" s="18"/>
      <c r="E25" s="17"/>
      <c r="F25" s="17"/>
      <c r="G25" s="17"/>
    </row>
    <row r="26" spans="2:11" ht="13.5" customHeight="1" x14ac:dyDescent="0.35">
      <c r="B26" s="17"/>
      <c r="C26" s="17"/>
      <c r="D26" s="18"/>
      <c r="E26" s="17"/>
      <c r="F26" s="17"/>
      <c r="G26" s="17"/>
    </row>
    <row r="27" spans="2:11" ht="13.5" customHeight="1" x14ac:dyDescent="0.35">
      <c r="B27" s="17"/>
      <c r="C27" s="17"/>
      <c r="D27" s="18"/>
      <c r="E27" s="17"/>
      <c r="F27" s="17"/>
      <c r="G27" s="17"/>
    </row>
    <row r="28" spans="2:11" ht="13.5" customHeight="1" x14ac:dyDescent="0.35">
      <c r="B28" s="17"/>
      <c r="C28" s="17"/>
      <c r="D28" s="18"/>
      <c r="E28" s="17"/>
      <c r="F28" s="17"/>
      <c r="G28" s="17"/>
    </row>
  </sheetData>
  <mergeCells count="4">
    <mergeCell ref="C12:D12"/>
    <mergeCell ref="C17:D17"/>
    <mergeCell ref="C3:E3"/>
    <mergeCell ref="G11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28"/>
  <sheetViews>
    <sheetView zoomScale="80" zoomScaleNormal="80" workbookViewId="0">
      <selection activeCell="G10" sqref="G10"/>
    </sheetView>
  </sheetViews>
  <sheetFormatPr defaultColWidth="12" defaultRowHeight="14.5" x14ac:dyDescent="0.35"/>
  <cols>
    <col min="1" max="1" width="12" style="1"/>
    <col min="2" max="2" width="5.7265625" style="1" customWidth="1"/>
    <col min="3" max="3" width="53.54296875" style="1" customWidth="1"/>
    <col min="4" max="4" width="9" style="1" customWidth="1"/>
    <col min="5" max="5" width="17.08984375" style="1" customWidth="1"/>
    <col min="6" max="6" width="14.7265625" style="1" customWidth="1"/>
    <col min="7" max="7" width="68.7265625" style="1" customWidth="1"/>
    <col min="8" max="8" width="12" style="1" customWidth="1"/>
    <col min="9" max="9" width="14" style="1" bestFit="1" customWidth="1"/>
    <col min="10" max="10" width="12" style="1"/>
    <col min="11" max="11" width="14.6328125" style="1" bestFit="1" customWidth="1"/>
    <col min="12" max="16384" width="12" style="1"/>
  </cols>
  <sheetData>
    <row r="2" spans="2:7" ht="15" customHeight="1" x14ac:dyDescent="0.35">
      <c r="C2" s="35" t="s">
        <v>35</v>
      </c>
    </row>
    <row r="3" spans="2:7" ht="15.75" customHeight="1" x14ac:dyDescent="0.35">
      <c r="B3" s="2"/>
      <c r="C3" s="85" t="s">
        <v>56</v>
      </c>
      <c r="D3" s="74"/>
      <c r="E3" s="74"/>
      <c r="F3" s="2"/>
      <c r="G3" s="3"/>
    </row>
    <row r="4" spans="2:7" ht="13.5" customHeight="1" x14ac:dyDescent="0.35">
      <c r="B4" s="2"/>
      <c r="C4" s="2"/>
      <c r="D4" s="2"/>
      <c r="E4" s="2"/>
      <c r="F4" s="2"/>
      <c r="G4" s="3"/>
    </row>
    <row r="5" spans="2:7" s="19" customFormat="1" ht="15.75" customHeight="1" x14ac:dyDescent="0.35">
      <c r="B5" s="21" t="s">
        <v>0</v>
      </c>
      <c r="C5" s="21" t="s">
        <v>1</v>
      </c>
      <c r="D5" s="21" t="s">
        <v>2</v>
      </c>
      <c r="E5" s="21" t="s">
        <v>3</v>
      </c>
      <c r="F5" s="21" t="s">
        <v>4</v>
      </c>
      <c r="G5" s="31" t="s">
        <v>5</v>
      </c>
    </row>
    <row r="6" spans="2:7" ht="13.5" customHeight="1" x14ac:dyDescent="0.35">
      <c r="B6" s="3"/>
      <c r="C6" s="3"/>
      <c r="D6" s="3"/>
      <c r="E6" s="3"/>
      <c r="F6" s="3"/>
      <c r="G6" s="65" t="str">
        <f>'Tier 2 - Testing and Screening'!G6</f>
        <v>Minimum Number of tests: 500</v>
      </c>
    </row>
    <row r="7" spans="2:7" ht="15.4" customHeight="1" x14ac:dyDescent="0.35">
      <c r="B7" s="2"/>
      <c r="C7" s="6" t="s">
        <v>14</v>
      </c>
      <c r="D7" s="2"/>
      <c r="E7" s="2"/>
      <c r="F7" s="2"/>
      <c r="G7" s="3"/>
    </row>
    <row r="8" spans="2:7" s="36" customFormat="1" ht="13.5" customHeight="1" x14ac:dyDescent="0.35">
      <c r="B8" s="37">
        <v>1</v>
      </c>
      <c r="C8" s="38" t="s">
        <v>16</v>
      </c>
      <c r="D8" s="37">
        <v>500</v>
      </c>
      <c r="E8" s="39">
        <v>0</v>
      </c>
      <c r="F8" s="39">
        <f>E8*D8</f>
        <v>0</v>
      </c>
      <c r="G8" s="62"/>
    </row>
    <row r="9" spans="2:7" ht="15.75" customHeight="1" x14ac:dyDescent="0.35">
      <c r="B9" s="7">
        <v>2</v>
      </c>
      <c r="C9" s="4" t="s">
        <v>15</v>
      </c>
      <c r="D9" s="7">
        <v>500</v>
      </c>
      <c r="E9" s="8">
        <v>10000</v>
      </c>
      <c r="F9" s="8">
        <f>E9*D9</f>
        <v>5000000</v>
      </c>
      <c r="G9" s="9"/>
    </row>
    <row r="10" spans="2:7" ht="27.5" customHeight="1" x14ac:dyDescent="0.35">
      <c r="B10" s="7">
        <v>3</v>
      </c>
      <c r="C10" s="4" t="s">
        <v>17</v>
      </c>
      <c r="D10" s="7">
        <v>500</v>
      </c>
      <c r="E10" s="8">
        <v>10000</v>
      </c>
      <c r="F10" s="8">
        <f>E10*D10</f>
        <v>5000000</v>
      </c>
      <c r="G10" s="92" t="s">
        <v>65</v>
      </c>
    </row>
    <row r="11" spans="2:7" ht="13.5" customHeight="1" x14ac:dyDescent="0.35">
      <c r="B11" s="7">
        <v>4</v>
      </c>
      <c r="C11" s="4" t="s">
        <v>37</v>
      </c>
      <c r="D11" s="8">
        <v>100</v>
      </c>
      <c r="E11" s="8">
        <v>5000</v>
      </c>
      <c r="F11" s="8">
        <f>E11*D11</f>
        <v>500000</v>
      </c>
      <c r="G11" s="88" t="s">
        <v>61</v>
      </c>
    </row>
    <row r="12" spans="2:7" ht="21.75" customHeight="1" x14ac:dyDescent="0.35">
      <c r="B12" s="2"/>
      <c r="C12" s="81" t="s">
        <v>13</v>
      </c>
      <c r="D12" s="82"/>
      <c r="E12" s="32">
        <f>SUM(E8:E11)</f>
        <v>25000</v>
      </c>
      <c r="F12" s="32">
        <f>SUM(F8:F11)</f>
        <v>10500000</v>
      </c>
      <c r="G12" s="89"/>
    </row>
    <row r="13" spans="2:7" ht="21.75" customHeight="1" x14ac:dyDescent="0.35">
      <c r="B13" s="3"/>
      <c r="C13" s="3"/>
      <c r="D13" s="3"/>
      <c r="E13" s="3"/>
      <c r="F13" s="3"/>
      <c r="G13" s="3"/>
    </row>
    <row r="14" spans="2:7" s="46" customFormat="1" ht="15.4" customHeight="1" x14ac:dyDescent="0.35">
      <c r="B14" s="47"/>
      <c r="C14" s="48" t="s">
        <v>40</v>
      </c>
      <c r="D14" s="47"/>
      <c r="E14" s="47"/>
      <c r="F14" s="47"/>
      <c r="G14" s="49"/>
    </row>
    <row r="15" spans="2:7" s="46" customFormat="1" ht="15.75" customHeight="1" x14ac:dyDescent="0.35">
      <c r="B15" s="50">
        <v>1</v>
      </c>
      <c r="C15" s="51" t="s">
        <v>36</v>
      </c>
      <c r="D15" s="50">
        <v>1</v>
      </c>
      <c r="E15" s="52">
        <v>300000</v>
      </c>
      <c r="F15" s="52">
        <f>E15*D15</f>
        <v>300000</v>
      </c>
      <c r="G15" s="49" t="s">
        <v>48</v>
      </c>
    </row>
    <row r="16" spans="2:7" s="46" customFormat="1" ht="13.5" customHeight="1" x14ac:dyDescent="0.35">
      <c r="B16" s="50">
        <v>2</v>
      </c>
      <c r="C16" s="51" t="s">
        <v>41</v>
      </c>
      <c r="D16" s="50">
        <v>1</v>
      </c>
      <c r="E16" s="52">
        <v>385000</v>
      </c>
      <c r="F16" s="52">
        <f>E16*D16</f>
        <v>385000</v>
      </c>
      <c r="G16" s="49" t="s">
        <v>49</v>
      </c>
    </row>
    <row r="17" spans="2:12" s="46" customFormat="1" ht="13.5" customHeight="1" x14ac:dyDescent="0.35">
      <c r="B17" s="47"/>
      <c r="C17" s="83" t="s">
        <v>13</v>
      </c>
      <c r="D17" s="84"/>
      <c r="E17" s="53">
        <f>SUM(E15:E16)</f>
        <v>685000</v>
      </c>
      <c r="F17" s="53">
        <f>SUM(F15:F16)</f>
        <v>685000</v>
      </c>
      <c r="G17" s="49"/>
    </row>
    <row r="18" spans="2:12" ht="13.5" customHeight="1" x14ac:dyDescent="0.35">
      <c r="B18" s="2"/>
      <c r="C18" s="21"/>
      <c r="D18" s="22"/>
      <c r="E18" s="22"/>
      <c r="F18" s="32"/>
      <c r="G18" s="3"/>
    </row>
    <row r="19" spans="2:12" ht="17.5" customHeight="1" x14ac:dyDescent="0.45">
      <c r="B19" s="28"/>
      <c r="C19" s="24"/>
      <c r="D19" s="25"/>
      <c r="E19" s="26"/>
      <c r="F19" s="27"/>
      <c r="G19" s="57" t="s">
        <v>55</v>
      </c>
    </row>
    <row r="20" spans="2:12" s="20" customFormat="1" ht="17.5" customHeight="1" x14ac:dyDescent="0.45">
      <c r="B20" s="28"/>
      <c r="C20" s="33" t="s">
        <v>33</v>
      </c>
      <c r="D20" s="34"/>
      <c r="E20" s="34">
        <f>E17+E12</f>
        <v>710000</v>
      </c>
      <c r="F20" s="34">
        <f>F17+F12</f>
        <v>11185000</v>
      </c>
      <c r="G20" s="58">
        <f>F20/500</f>
        <v>22370</v>
      </c>
      <c r="H20" s="1"/>
      <c r="I20" s="1"/>
      <c r="J20" s="1"/>
      <c r="K20" s="1"/>
      <c r="L20" s="1"/>
    </row>
    <row r="21" spans="2:12" ht="13.5" customHeight="1" x14ac:dyDescent="0.35">
      <c r="B21" s="17"/>
      <c r="C21" s="29"/>
      <c r="D21" s="30"/>
      <c r="E21" s="29"/>
      <c r="F21" s="29"/>
      <c r="G21" s="17"/>
    </row>
    <row r="22" spans="2:12" ht="13.5" customHeight="1" x14ac:dyDescent="0.35">
      <c r="B22" s="17"/>
      <c r="C22" s="17"/>
      <c r="D22" s="18"/>
      <c r="E22" s="17"/>
      <c r="F22" s="17"/>
      <c r="G22" s="17"/>
    </row>
    <row r="23" spans="2:12" ht="13.5" customHeight="1" x14ac:dyDescent="0.35">
      <c r="B23" s="17"/>
      <c r="C23" s="17"/>
      <c r="D23" s="18"/>
      <c r="E23" s="17"/>
      <c r="F23" s="17"/>
      <c r="G23" s="17"/>
    </row>
    <row r="24" spans="2:12" ht="13.5" customHeight="1" x14ac:dyDescent="0.35">
      <c r="B24" s="17"/>
      <c r="C24" s="17"/>
      <c r="D24" s="18"/>
      <c r="E24" s="17"/>
      <c r="F24" s="17"/>
      <c r="G24" s="17"/>
    </row>
    <row r="25" spans="2:12" ht="13.5" customHeight="1" x14ac:dyDescent="0.35">
      <c r="B25" s="17"/>
      <c r="C25" s="17"/>
      <c r="D25" s="18"/>
      <c r="E25" s="17"/>
      <c r="F25" s="17"/>
      <c r="G25" s="17"/>
    </row>
    <row r="26" spans="2:12" ht="13.5" customHeight="1" x14ac:dyDescent="0.35">
      <c r="B26" s="17"/>
      <c r="C26" s="17"/>
      <c r="D26" s="18"/>
      <c r="E26" s="17"/>
      <c r="F26" s="17"/>
      <c r="G26" s="17"/>
    </row>
    <row r="27" spans="2:12" ht="13.5" customHeight="1" x14ac:dyDescent="0.35">
      <c r="B27" s="17"/>
      <c r="C27" s="17"/>
      <c r="D27" s="18"/>
      <c r="E27" s="17"/>
      <c r="F27" s="17"/>
      <c r="G27" s="17"/>
    </row>
    <row r="28" spans="2:12" ht="13.5" customHeight="1" x14ac:dyDescent="0.35">
      <c r="B28" s="17"/>
      <c r="C28" s="17"/>
      <c r="D28" s="18"/>
      <c r="E28" s="17"/>
      <c r="F28" s="17"/>
      <c r="G28" s="17"/>
    </row>
  </sheetData>
  <mergeCells count="4">
    <mergeCell ref="C3:E3"/>
    <mergeCell ref="C12:D12"/>
    <mergeCell ref="C17:D17"/>
    <mergeCell ref="G11:G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1"/>
  <sheetViews>
    <sheetView topLeftCell="A3" zoomScale="70" zoomScaleNormal="70" workbookViewId="0">
      <selection activeCell="G14" sqref="G14"/>
    </sheetView>
  </sheetViews>
  <sheetFormatPr defaultColWidth="12" defaultRowHeight="14.5" x14ac:dyDescent="0.35"/>
  <cols>
    <col min="1" max="1" width="12" style="1"/>
    <col min="2" max="2" width="5.7265625" style="1" customWidth="1"/>
    <col min="3" max="3" width="53.54296875" style="1" customWidth="1"/>
    <col min="4" max="4" width="9" style="1" customWidth="1"/>
    <col min="5" max="5" width="17.08984375" style="1" customWidth="1"/>
    <col min="6" max="6" width="14.7265625" style="1" customWidth="1"/>
    <col min="7" max="7" width="65.36328125" style="1" customWidth="1"/>
    <col min="8" max="8" width="12" style="1" customWidth="1"/>
    <col min="9" max="16384" width="12" style="1"/>
  </cols>
  <sheetData>
    <row r="2" spans="2:7" ht="15" customHeight="1" x14ac:dyDescent="0.35">
      <c r="C2" s="35" t="s">
        <v>35</v>
      </c>
    </row>
    <row r="3" spans="2:7" ht="15.75" customHeight="1" x14ac:dyDescent="0.35">
      <c r="B3" s="2"/>
      <c r="C3" s="85" t="s">
        <v>42</v>
      </c>
      <c r="D3" s="74"/>
      <c r="E3" s="74"/>
      <c r="F3" s="2"/>
      <c r="G3" s="3"/>
    </row>
    <row r="4" spans="2:7" ht="13.5" customHeight="1" x14ac:dyDescent="0.35">
      <c r="B4" s="2"/>
      <c r="C4" s="2"/>
      <c r="D4" s="2"/>
      <c r="E4" s="2"/>
      <c r="F4" s="2"/>
      <c r="G4" s="3"/>
    </row>
    <row r="5" spans="2:7" s="19" customFormat="1" ht="15.75" customHeight="1" x14ac:dyDescent="0.35">
      <c r="B5" s="21" t="s">
        <v>0</v>
      </c>
      <c r="C5" s="21" t="s">
        <v>1</v>
      </c>
      <c r="D5" s="21" t="s">
        <v>2</v>
      </c>
      <c r="E5" s="21" t="s">
        <v>3</v>
      </c>
      <c r="F5" s="21" t="s">
        <v>4</v>
      </c>
      <c r="G5" s="31" t="s">
        <v>5</v>
      </c>
    </row>
    <row r="6" spans="2:7" ht="13.5" customHeight="1" x14ac:dyDescent="0.35">
      <c r="B6" s="3"/>
      <c r="C6" s="3"/>
      <c r="D6" s="3"/>
      <c r="E6" s="3"/>
      <c r="F6" s="3"/>
      <c r="G6" s="64" t="s">
        <v>63</v>
      </c>
    </row>
    <row r="7" spans="2:7" s="46" customFormat="1" ht="15.4" customHeight="1" x14ac:dyDescent="0.35">
      <c r="B7" s="47"/>
      <c r="C7" s="48" t="s">
        <v>43</v>
      </c>
      <c r="D7" s="47"/>
      <c r="E7" s="47"/>
      <c r="F7" s="47"/>
      <c r="G7" s="49"/>
    </row>
    <row r="8" spans="2:7" s="46" customFormat="1" ht="15.75" customHeight="1" x14ac:dyDescent="0.35">
      <c r="B8" s="50">
        <v>1</v>
      </c>
      <c r="C8" s="51" t="s">
        <v>44</v>
      </c>
      <c r="D8" s="50">
        <v>100</v>
      </c>
      <c r="E8" s="52">
        <v>100</v>
      </c>
      <c r="F8" s="52">
        <f>E8*D8</f>
        <v>10000</v>
      </c>
      <c r="G8" s="49" t="s">
        <v>62</v>
      </c>
    </row>
    <row r="9" spans="2:7" s="46" customFormat="1" ht="13.5" customHeight="1" x14ac:dyDescent="0.35">
      <c r="B9" s="47"/>
      <c r="C9" s="83" t="s">
        <v>13</v>
      </c>
      <c r="D9" s="84"/>
      <c r="E9" s="53">
        <f>SUM(E8:E8)</f>
        <v>100</v>
      </c>
      <c r="F9" s="53">
        <f>SUM(F8:F8)</f>
        <v>10000</v>
      </c>
      <c r="G9" s="49"/>
    </row>
    <row r="10" spans="2:7" ht="13.5" customHeight="1" x14ac:dyDescent="0.35">
      <c r="B10" s="45"/>
      <c r="C10" s="45"/>
      <c r="D10" s="45"/>
      <c r="E10" s="45"/>
      <c r="F10" s="45"/>
      <c r="G10" s="3"/>
    </row>
    <row r="11" spans="2:7" ht="15.4" customHeight="1" x14ac:dyDescent="0.35">
      <c r="B11" s="2"/>
      <c r="C11" s="6" t="s">
        <v>14</v>
      </c>
      <c r="D11" s="2"/>
      <c r="E11" s="2"/>
      <c r="F11" s="2"/>
      <c r="G11" s="3"/>
    </row>
    <row r="12" spans="2:7" s="36" customFormat="1" ht="13.5" customHeight="1" x14ac:dyDescent="0.35">
      <c r="B12" s="37">
        <v>1</v>
      </c>
      <c r="C12" s="38" t="s">
        <v>16</v>
      </c>
      <c r="D12" s="37">
        <f>D8</f>
        <v>100</v>
      </c>
      <c r="E12" s="39">
        <v>10000</v>
      </c>
      <c r="F12" s="39">
        <f>E12*D12</f>
        <v>1000000</v>
      </c>
      <c r="G12" s="62"/>
    </row>
    <row r="13" spans="2:7" ht="15.75" customHeight="1" x14ac:dyDescent="0.35">
      <c r="B13" s="7">
        <v>2</v>
      </c>
      <c r="C13" s="4" t="s">
        <v>15</v>
      </c>
      <c r="D13" s="7">
        <f>D12</f>
        <v>100</v>
      </c>
      <c r="E13" s="8">
        <v>3500</v>
      </c>
      <c r="F13" s="8">
        <f>E13*D13</f>
        <v>350000</v>
      </c>
      <c r="G13" s="9"/>
    </row>
    <row r="14" spans="2:7" ht="35.5" customHeight="1" x14ac:dyDescent="0.35">
      <c r="B14" s="7">
        <v>3</v>
      </c>
      <c r="C14" s="4" t="s">
        <v>17</v>
      </c>
      <c r="D14" s="7">
        <v>100</v>
      </c>
      <c r="E14" s="8">
        <v>10000</v>
      </c>
      <c r="F14" s="8">
        <f>E14*D14</f>
        <v>1000000</v>
      </c>
      <c r="G14" s="91" t="s">
        <v>65</v>
      </c>
    </row>
    <row r="15" spans="2:7" ht="21.75" customHeight="1" x14ac:dyDescent="0.35">
      <c r="B15" s="2"/>
      <c r="C15" s="81" t="s">
        <v>13</v>
      </c>
      <c r="D15" s="82"/>
      <c r="E15" s="32">
        <f>SUM(E12:E13)</f>
        <v>13500</v>
      </c>
      <c r="F15" s="32">
        <f>SUM(F12:F14)</f>
        <v>2350000</v>
      </c>
      <c r="G15" s="3"/>
    </row>
    <row r="16" spans="2:7" ht="21.75" customHeight="1" x14ac:dyDescent="0.35">
      <c r="B16" s="3"/>
      <c r="C16" s="3"/>
      <c r="D16" s="3"/>
      <c r="E16" s="3"/>
      <c r="F16" s="3"/>
      <c r="G16" s="3"/>
    </row>
    <row r="17" spans="2:7" s="46" customFormat="1" ht="15.4" customHeight="1" x14ac:dyDescent="0.35">
      <c r="B17" s="47"/>
      <c r="C17" s="48" t="s">
        <v>40</v>
      </c>
      <c r="D17" s="47"/>
      <c r="E17" s="47"/>
      <c r="F17" s="47"/>
      <c r="G17" s="66"/>
    </row>
    <row r="18" spans="2:7" s="46" customFormat="1" ht="15.75" customHeight="1" x14ac:dyDescent="0.35">
      <c r="B18" s="50">
        <v>1</v>
      </c>
      <c r="C18" s="51" t="s">
        <v>54</v>
      </c>
      <c r="D18" s="50">
        <v>1</v>
      </c>
      <c r="E18" s="52">
        <v>200000</v>
      </c>
      <c r="F18" s="52">
        <f>E18*D18</f>
        <v>200000</v>
      </c>
      <c r="G18" s="66" t="s">
        <v>46</v>
      </c>
    </row>
    <row r="19" spans="2:7" s="46" customFormat="1" ht="13.5" customHeight="1" x14ac:dyDescent="0.35">
      <c r="B19" s="50">
        <v>2</v>
      </c>
      <c r="C19" s="51" t="s">
        <v>41</v>
      </c>
      <c r="D19" s="50">
        <v>1</v>
      </c>
      <c r="E19" s="52">
        <v>40000</v>
      </c>
      <c r="F19" s="52">
        <f>E19*D19</f>
        <v>40000</v>
      </c>
    </row>
    <row r="20" spans="2:7" s="46" customFormat="1" ht="13.5" customHeight="1" x14ac:dyDescent="0.35">
      <c r="B20" s="47"/>
      <c r="C20" s="83" t="s">
        <v>13</v>
      </c>
      <c r="D20" s="84"/>
      <c r="E20" s="53">
        <f>SUM(E18:E19)</f>
        <v>240000</v>
      </c>
      <c r="F20" s="53">
        <f>SUM(F18:F19)</f>
        <v>240000</v>
      </c>
      <c r="G20" s="49"/>
    </row>
    <row r="21" spans="2:7" ht="13.5" customHeight="1" x14ac:dyDescent="0.35">
      <c r="B21" s="2"/>
      <c r="C21" s="21"/>
      <c r="D21" s="22"/>
      <c r="E21" s="22"/>
      <c r="F21" s="32"/>
      <c r="G21" s="3"/>
    </row>
    <row r="22" spans="2:7" ht="17.5" customHeight="1" x14ac:dyDescent="0.45">
      <c r="B22" s="28"/>
      <c r="C22" s="24"/>
      <c r="D22" s="25"/>
      <c r="E22" s="26"/>
      <c r="F22" s="27"/>
      <c r="G22" s="57" t="s">
        <v>55</v>
      </c>
    </row>
    <row r="23" spans="2:7" s="20" customFormat="1" ht="17.5" customHeight="1" x14ac:dyDescent="0.45">
      <c r="B23" s="28"/>
      <c r="C23" s="33" t="s">
        <v>33</v>
      </c>
      <c r="D23" s="34"/>
      <c r="E23" s="34">
        <f>E20+E15+E9</f>
        <v>253600</v>
      </c>
      <c r="F23" s="34">
        <f>F20+F15+F9</f>
        <v>2600000</v>
      </c>
      <c r="G23" s="58">
        <f>F23/100</f>
        <v>26000</v>
      </c>
    </row>
    <row r="24" spans="2:7" ht="13.5" customHeight="1" x14ac:dyDescent="0.35">
      <c r="B24" s="17"/>
      <c r="C24" s="29"/>
      <c r="D24" s="30"/>
      <c r="E24" s="29"/>
      <c r="F24" s="29"/>
      <c r="G24" s="17"/>
    </row>
    <row r="25" spans="2:7" ht="13.5" customHeight="1" x14ac:dyDescent="0.35">
      <c r="B25" s="17"/>
      <c r="C25" s="17"/>
      <c r="D25" s="18"/>
      <c r="E25" s="17"/>
      <c r="F25" s="17"/>
      <c r="G25" s="17"/>
    </row>
    <row r="26" spans="2:7" ht="13.5" customHeight="1" x14ac:dyDescent="0.35">
      <c r="B26" s="17"/>
      <c r="C26" s="17"/>
      <c r="D26" s="18"/>
      <c r="E26" s="17"/>
      <c r="F26" s="17"/>
      <c r="G26" s="17"/>
    </row>
    <row r="27" spans="2:7" ht="13.5" customHeight="1" x14ac:dyDescent="0.35">
      <c r="B27" s="17"/>
      <c r="C27" s="17"/>
      <c r="D27" s="18"/>
      <c r="E27" s="17"/>
      <c r="F27" s="17"/>
      <c r="G27" s="17"/>
    </row>
    <row r="28" spans="2:7" ht="13.5" customHeight="1" x14ac:dyDescent="0.35">
      <c r="B28" s="17"/>
      <c r="C28" s="17"/>
      <c r="D28" s="18"/>
      <c r="E28" s="17"/>
      <c r="F28" s="17"/>
      <c r="G28" s="17"/>
    </row>
    <row r="29" spans="2:7" ht="13.5" customHeight="1" x14ac:dyDescent="0.35">
      <c r="B29" s="17"/>
      <c r="C29" s="17"/>
      <c r="D29" s="18"/>
      <c r="E29" s="17"/>
      <c r="F29" s="17"/>
      <c r="G29" s="17"/>
    </row>
    <row r="30" spans="2:7" ht="13.5" customHeight="1" x14ac:dyDescent="0.35">
      <c r="B30" s="17"/>
      <c r="C30" s="17"/>
      <c r="D30" s="18"/>
      <c r="E30" s="17"/>
      <c r="F30" s="17"/>
      <c r="G30" s="17"/>
    </row>
    <row r="31" spans="2:7" ht="13.5" customHeight="1" x14ac:dyDescent="0.35">
      <c r="B31" s="17"/>
      <c r="C31" s="17"/>
      <c r="D31" s="18"/>
      <c r="E31" s="17"/>
      <c r="F31" s="17"/>
      <c r="G31" s="17"/>
    </row>
  </sheetData>
  <mergeCells count="4">
    <mergeCell ref="C3:E3"/>
    <mergeCell ref="C15:D15"/>
    <mergeCell ref="C20:D20"/>
    <mergeCell ref="C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30"/>
  <sheetViews>
    <sheetView topLeftCell="A2" zoomScale="80" zoomScaleNormal="80" workbookViewId="0">
      <selection activeCell="A24" sqref="A24"/>
    </sheetView>
  </sheetViews>
  <sheetFormatPr defaultColWidth="12" defaultRowHeight="14.5" x14ac:dyDescent="0.35"/>
  <cols>
    <col min="1" max="1" width="12" style="1"/>
    <col min="2" max="2" width="5.7265625" style="1" customWidth="1"/>
    <col min="3" max="3" width="53.54296875" style="1" customWidth="1"/>
    <col min="4" max="4" width="9" style="1" customWidth="1"/>
    <col min="5" max="5" width="17.08984375" style="1" customWidth="1"/>
    <col min="6" max="6" width="14.7265625" style="1" customWidth="1"/>
    <col min="7" max="7" width="55.54296875" style="1" customWidth="1"/>
    <col min="8" max="8" width="12" style="1" customWidth="1"/>
    <col min="9" max="16384" width="12" style="1"/>
  </cols>
  <sheetData>
    <row r="2" spans="2:7" ht="15" customHeight="1" x14ac:dyDescent="0.35">
      <c r="C2" s="35" t="s">
        <v>35</v>
      </c>
    </row>
    <row r="3" spans="2:7" ht="15.75" customHeight="1" x14ac:dyDescent="0.35">
      <c r="B3" s="2"/>
      <c r="C3" s="85" t="s">
        <v>42</v>
      </c>
      <c r="D3" s="74"/>
      <c r="E3" s="74"/>
      <c r="F3" s="2"/>
      <c r="G3" s="3"/>
    </row>
    <row r="4" spans="2:7" ht="13.5" customHeight="1" x14ac:dyDescent="0.35">
      <c r="B4" s="2"/>
      <c r="C4" s="2"/>
      <c r="D4" s="2"/>
      <c r="E4" s="2"/>
      <c r="F4" s="2"/>
      <c r="G4" s="3"/>
    </row>
    <row r="5" spans="2:7" s="19" customFormat="1" ht="15.75" customHeight="1" x14ac:dyDescent="0.35">
      <c r="B5" s="21" t="s">
        <v>0</v>
      </c>
      <c r="C5" s="21" t="s">
        <v>1</v>
      </c>
      <c r="D5" s="21" t="s">
        <v>2</v>
      </c>
      <c r="E5" s="21" t="s">
        <v>3</v>
      </c>
      <c r="F5" s="21" t="s">
        <v>4</v>
      </c>
      <c r="G5" s="31" t="s">
        <v>5</v>
      </c>
    </row>
    <row r="6" spans="2:7" ht="13.5" customHeight="1" x14ac:dyDescent="0.35">
      <c r="B6" s="3"/>
      <c r="C6" s="3"/>
      <c r="D6" s="3"/>
      <c r="E6" s="3"/>
      <c r="F6" s="3"/>
      <c r="G6" s="63" t="str">
        <f>'Tier 3 - Testing and Screening'!G6</f>
        <v>Minimum Number of tests: 100</v>
      </c>
    </row>
    <row r="7" spans="2:7" s="46" customFormat="1" ht="15.4" customHeight="1" x14ac:dyDescent="0.35">
      <c r="B7" s="47"/>
      <c r="C7" s="48" t="s">
        <v>43</v>
      </c>
      <c r="D7" s="47"/>
      <c r="E7" s="47"/>
      <c r="F7" s="47"/>
      <c r="G7" s="49"/>
    </row>
    <row r="8" spans="2:7" s="46" customFormat="1" ht="15.75" customHeight="1" x14ac:dyDescent="0.35">
      <c r="B8" s="50">
        <v>1</v>
      </c>
      <c r="C8" s="51" t="s">
        <v>44</v>
      </c>
      <c r="D8" s="50">
        <v>100</v>
      </c>
      <c r="E8" s="52">
        <v>100</v>
      </c>
      <c r="F8" s="52">
        <f>E8*D8</f>
        <v>10000</v>
      </c>
      <c r="G8" s="49" t="s">
        <v>62</v>
      </c>
    </row>
    <row r="9" spans="2:7" s="46" customFormat="1" ht="13.5" customHeight="1" x14ac:dyDescent="0.35">
      <c r="B9" s="47"/>
      <c r="C9" s="83" t="s">
        <v>13</v>
      </c>
      <c r="D9" s="84"/>
      <c r="E9" s="53">
        <f>SUM(E8:E8)</f>
        <v>100</v>
      </c>
      <c r="F9" s="53">
        <f>SUM(F8:F8)</f>
        <v>10000</v>
      </c>
      <c r="G9" s="49"/>
    </row>
    <row r="10" spans="2:7" ht="13.5" customHeight="1" x14ac:dyDescent="0.35">
      <c r="B10" s="45"/>
      <c r="C10" s="45"/>
      <c r="D10" s="45"/>
      <c r="E10" s="45"/>
      <c r="F10" s="45"/>
      <c r="G10" s="3"/>
    </row>
    <row r="11" spans="2:7" ht="15.4" customHeight="1" x14ac:dyDescent="0.35">
      <c r="B11" s="2"/>
      <c r="C11" s="6" t="s">
        <v>14</v>
      </c>
      <c r="D11" s="2"/>
      <c r="E11" s="2"/>
      <c r="F11" s="2"/>
      <c r="G11" s="3"/>
    </row>
    <row r="12" spans="2:7" ht="13.5" customHeight="1" x14ac:dyDescent="0.35">
      <c r="B12" s="7">
        <v>1</v>
      </c>
      <c r="C12" s="4" t="s">
        <v>16</v>
      </c>
      <c r="D12" s="7">
        <f>D8</f>
        <v>100</v>
      </c>
      <c r="E12" s="8">
        <v>0</v>
      </c>
      <c r="F12" s="8">
        <f>E12*D12</f>
        <v>0</v>
      </c>
      <c r="G12" s="10"/>
    </row>
    <row r="13" spans="2:7" ht="15.75" customHeight="1" x14ac:dyDescent="0.35">
      <c r="B13" s="7">
        <v>2</v>
      </c>
      <c r="C13" s="4" t="s">
        <v>15</v>
      </c>
      <c r="D13" s="7">
        <f>D12</f>
        <v>100</v>
      </c>
      <c r="E13" s="8">
        <v>10000</v>
      </c>
      <c r="F13" s="8">
        <f>E13*D13</f>
        <v>1000000</v>
      </c>
      <c r="G13" s="9"/>
    </row>
    <row r="14" spans="2:7" ht="21.75" customHeight="1" x14ac:dyDescent="0.35">
      <c r="B14" s="2"/>
      <c r="C14" s="81" t="s">
        <v>13</v>
      </c>
      <c r="D14" s="82"/>
      <c r="E14" s="32">
        <f>SUM(E12:E13)</f>
        <v>10000</v>
      </c>
      <c r="F14" s="32">
        <f>SUM(F12:F13)</f>
        <v>1000000</v>
      </c>
      <c r="G14" s="3"/>
    </row>
    <row r="15" spans="2:7" ht="21.75" customHeight="1" x14ac:dyDescent="0.35">
      <c r="B15" s="3"/>
      <c r="C15" s="3"/>
      <c r="D15" s="3"/>
      <c r="E15" s="3"/>
      <c r="F15" s="3"/>
      <c r="G15" s="3"/>
    </row>
    <row r="16" spans="2:7" s="46" customFormat="1" ht="15.4" customHeight="1" x14ac:dyDescent="0.35">
      <c r="B16" s="47"/>
      <c r="C16" s="48" t="s">
        <v>40</v>
      </c>
      <c r="D16" s="47"/>
      <c r="E16" s="47"/>
      <c r="F16" s="47"/>
      <c r="G16" s="66" t="s">
        <v>45</v>
      </c>
    </row>
    <row r="17" spans="2:7" s="46" customFormat="1" ht="15.75" customHeight="1" x14ac:dyDescent="0.35">
      <c r="B17" s="50">
        <v>1</v>
      </c>
      <c r="C17" s="51" t="s">
        <v>54</v>
      </c>
      <c r="D17" s="50">
        <v>1</v>
      </c>
      <c r="E17" s="52">
        <v>200000</v>
      </c>
      <c r="F17" s="52">
        <f>E17*D17</f>
        <v>200000</v>
      </c>
      <c r="G17" s="66" t="s">
        <v>46</v>
      </c>
    </row>
    <row r="18" spans="2:7" s="46" customFormat="1" ht="13.5" customHeight="1" x14ac:dyDescent="0.35">
      <c r="B18" s="50">
        <v>2</v>
      </c>
      <c r="C18" s="51" t="s">
        <v>41</v>
      </c>
      <c r="D18" s="50">
        <v>1</v>
      </c>
      <c r="E18" s="52">
        <v>40000</v>
      </c>
      <c r="F18" s="52">
        <f>E18*D18</f>
        <v>40000</v>
      </c>
    </row>
    <row r="19" spans="2:7" s="46" customFormat="1" ht="13.5" customHeight="1" x14ac:dyDescent="0.35">
      <c r="B19" s="47"/>
      <c r="C19" s="83" t="s">
        <v>13</v>
      </c>
      <c r="D19" s="84"/>
      <c r="E19" s="53">
        <f>SUM(E17:E18)</f>
        <v>240000</v>
      </c>
      <c r="F19" s="53">
        <f>SUM(F17:F18)</f>
        <v>240000</v>
      </c>
      <c r="G19" s="49"/>
    </row>
    <row r="20" spans="2:7" ht="13.5" customHeight="1" x14ac:dyDescent="0.35">
      <c r="B20" s="2"/>
      <c r="C20" s="21"/>
      <c r="D20" s="22"/>
      <c r="E20" s="22"/>
      <c r="F20" s="32"/>
      <c r="G20" s="3"/>
    </row>
    <row r="21" spans="2:7" ht="17.5" customHeight="1" x14ac:dyDescent="0.45">
      <c r="B21" s="28"/>
      <c r="C21" s="24"/>
      <c r="D21" s="25"/>
      <c r="E21" s="26"/>
      <c r="F21" s="27"/>
      <c r="G21" s="57" t="s">
        <v>55</v>
      </c>
    </row>
    <row r="22" spans="2:7" s="20" customFormat="1" ht="17.5" customHeight="1" x14ac:dyDescent="0.45">
      <c r="B22" s="28"/>
      <c r="C22" s="33" t="s">
        <v>33</v>
      </c>
      <c r="D22" s="34"/>
      <c r="E22" s="34">
        <f>E19+E14+E9</f>
        <v>250100</v>
      </c>
      <c r="F22" s="34">
        <f>F19+F14+F9</f>
        <v>1250000</v>
      </c>
      <c r="G22" s="58">
        <f>F22/100</f>
        <v>12500</v>
      </c>
    </row>
    <row r="23" spans="2:7" ht="13.5" customHeight="1" x14ac:dyDescent="0.35">
      <c r="B23" s="17"/>
      <c r="C23" s="29"/>
      <c r="D23" s="30"/>
      <c r="E23" s="29"/>
      <c r="F23" s="29"/>
      <c r="G23" s="17"/>
    </row>
    <row r="24" spans="2:7" ht="13.5" customHeight="1" x14ac:dyDescent="0.35">
      <c r="B24" s="17"/>
      <c r="C24" s="17"/>
      <c r="D24" s="18"/>
      <c r="E24" s="17"/>
      <c r="F24" s="17"/>
      <c r="G24" s="17"/>
    </row>
    <row r="25" spans="2:7" ht="13.5" customHeight="1" x14ac:dyDescent="0.35">
      <c r="B25" s="17"/>
      <c r="C25" s="17"/>
      <c r="D25" s="18"/>
      <c r="E25" s="17"/>
      <c r="F25" s="17"/>
      <c r="G25" s="17"/>
    </row>
    <row r="26" spans="2:7" ht="13.5" customHeight="1" x14ac:dyDescent="0.35">
      <c r="B26" s="17"/>
      <c r="C26" s="17"/>
      <c r="D26" s="18"/>
      <c r="E26" s="17"/>
      <c r="F26" s="17"/>
      <c r="G26" s="17"/>
    </row>
    <row r="27" spans="2:7" ht="13.5" customHeight="1" x14ac:dyDescent="0.35">
      <c r="B27" s="17"/>
      <c r="C27" s="17"/>
      <c r="D27" s="18"/>
      <c r="E27" s="17"/>
      <c r="F27" s="17"/>
      <c r="G27" s="17"/>
    </row>
    <row r="28" spans="2:7" ht="13.5" customHeight="1" x14ac:dyDescent="0.35">
      <c r="B28" s="17"/>
      <c r="C28" s="17"/>
      <c r="D28" s="18"/>
      <c r="E28" s="17"/>
      <c r="F28" s="17"/>
      <c r="G28" s="17"/>
    </row>
    <row r="29" spans="2:7" ht="13.5" customHeight="1" x14ac:dyDescent="0.35">
      <c r="B29" s="17"/>
      <c r="C29" s="17"/>
      <c r="D29" s="18"/>
      <c r="E29" s="17"/>
      <c r="F29" s="17"/>
      <c r="G29" s="17"/>
    </row>
    <row r="30" spans="2:7" ht="13.5" customHeight="1" x14ac:dyDescent="0.35">
      <c r="B30" s="17"/>
      <c r="C30" s="17"/>
      <c r="D30" s="18"/>
      <c r="E30" s="17"/>
      <c r="F30" s="17"/>
      <c r="G30" s="17"/>
    </row>
  </sheetData>
  <mergeCells count="4">
    <mergeCell ref="C3:E3"/>
    <mergeCell ref="C9:D9"/>
    <mergeCell ref="C14:D14"/>
    <mergeCell ref="C19:D1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FF839F65E0054CBA1D9BCEFED5D340" ma:contentTypeVersion="13" ma:contentTypeDescription="Create a new document." ma:contentTypeScope="" ma:versionID="ce7c2ebbac73f58b80facef45af011a0">
  <xsd:schema xmlns:xsd="http://www.w3.org/2001/XMLSchema" xmlns:xs="http://www.w3.org/2001/XMLSchema" xmlns:p="http://schemas.microsoft.com/office/2006/metadata/properties" xmlns:ns2="e2cf96b9-5c1f-4b60-86d2-aac199a8af24" xmlns:ns3="ac5c290b-b339-40be-a537-33fe46ff506f" targetNamespace="http://schemas.microsoft.com/office/2006/metadata/properties" ma:root="true" ma:fieldsID="dd6e95d7c1b09d674cdb03ff9a4c3c99" ns2:_="" ns3:_="">
    <xsd:import namespace="e2cf96b9-5c1f-4b60-86d2-aac199a8af24"/>
    <xsd:import namespace="ac5c290b-b339-40be-a537-33fe46ff50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f96b9-5c1f-4b60-86d2-aac199a8a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bb4a32-148a-4166-a4f7-94b101609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5c290b-b339-40be-a537-33fe46ff506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cf96b9-5c1f-4b60-86d2-aac199a8af2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489DD5-E1C3-4156-AD5F-7A77180E0A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FB4F1E-DDC8-45DF-B14A-451F4FE2A6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cf96b9-5c1f-4b60-86d2-aac199a8af24"/>
    <ds:schemaRef ds:uri="ac5c290b-b339-40be-a537-33fe46ff50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A73B64-1144-4589-802C-64B73F986C08}">
  <ds:schemaRefs>
    <ds:schemaRef ds:uri="e2cf96b9-5c1f-4b60-86d2-aac199a8af24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ac5c290b-b339-40be-a537-33fe46ff506f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Tier 1 - Testing and Screening</vt:lpstr>
      <vt:lpstr>Tier 1 - Screening</vt:lpstr>
      <vt:lpstr>Tier 2 - Testing and Screening</vt:lpstr>
      <vt:lpstr>Tier 2 - Screening</vt:lpstr>
      <vt:lpstr>Tier 3 - Testing and Screening</vt:lpstr>
      <vt:lpstr>Tier 3 - Screening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Aliyu Gosta</cp:lastModifiedBy>
  <cp:revision/>
  <dcterms:created xsi:type="dcterms:W3CDTF">2024-01-29T13:00:29Z</dcterms:created>
  <dcterms:modified xsi:type="dcterms:W3CDTF">2025-08-18T10:44:41Z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0x01010035FF839F65E0054CBA1D9BCEFED5D340</vt:lpwstr>
  </property>
  <property fmtid="{D5CDD505-2E9C-101B-9397-08002B2CF9AE}" pid="3" name="MediaServiceImageTags">
    <vt:lpwstr/>
  </property>
</Properties>
</file>