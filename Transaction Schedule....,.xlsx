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ansaction Schedule\"/>
    </mc:Choice>
  </mc:AlternateContent>
  <xr:revisionPtr revIDLastSave="0" documentId="13_ncr:1_{C8B67D47-FB67-4B7A-A406-570893FAC1EF}" xr6:coauthVersionLast="47" xr6:coauthVersionMax="47" xr10:uidLastSave="{00000000-0000-0000-0000-000000000000}"/>
  <bookViews>
    <workbookView xWindow="-110" yWindow="-110" windowWidth="19420" windowHeight="10420" tabRatio="723" activeTab="2" xr2:uid="{00000000-000D-0000-FFFF-FFFF00000000}"/>
  </bookViews>
  <sheets>
    <sheet name="Summary" sheetId="8" r:id="rId1"/>
    <sheet name="Bank Schedule__1__" sheetId="1" r:id="rId2"/>
    <sheet name="Lanbell Lab" sheetId="5" r:id="rId3"/>
    <sheet name="Others" sheetId="13" r:id="rId4"/>
    <sheet name="Peramare Ghana" sheetId="6" r:id="rId5"/>
    <sheet name="Other" sheetId="7" state="hidden" r:id="rId6"/>
    <sheet name="Cash-In-Hand Schedule_" sheetId="4" r:id="rId7"/>
    <sheet name="HMO" sheetId="11" state="hidden" r:id="rId8"/>
    <sheet name="Agro-Allied" sheetId="12" state="hidden" r:id="rId9"/>
  </sheets>
  <definedNames>
    <definedName name="_xlnm._FilterDatabase" localSheetId="1" hidden="1">'Bank Schedule__1__'!$A$13:$AN$592</definedName>
    <definedName name="_xlnm._FilterDatabase" localSheetId="6" hidden="1">'Cash-In-Hand Schedule_'!$B$14:$AN$590</definedName>
    <definedName name="_xlnm._FilterDatabase" localSheetId="7" hidden="1">HMO!$B$12:$H$29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92" i="1" l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D97" i="1"/>
  <c r="D118" i="1"/>
  <c r="D116" i="1"/>
  <c r="D101" i="1"/>
  <c r="U68" i="1"/>
  <c r="U66" i="1"/>
  <c r="U65" i="1"/>
  <c r="U144" i="1"/>
  <c r="U143" i="1"/>
  <c r="U142" i="1"/>
  <c r="U141" i="1"/>
  <c r="U139" i="1"/>
  <c r="U138" i="1"/>
  <c r="U137" i="1"/>
  <c r="U136" i="1"/>
  <c r="U135" i="1"/>
  <c r="U134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7" i="1"/>
  <c r="U116" i="1"/>
  <c r="U115" i="1"/>
  <c r="U114" i="1"/>
  <c r="U113" i="1"/>
  <c r="U112" i="1"/>
  <c r="U110" i="1"/>
  <c r="U109" i="1"/>
  <c r="U107" i="1"/>
  <c r="U105" i="1"/>
  <c r="U104" i="1"/>
  <c r="U102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3" i="1"/>
  <c r="U82" i="1"/>
  <c r="U81" i="1"/>
  <c r="U80" i="1"/>
  <c r="U79" i="1"/>
  <c r="U78" i="1"/>
  <c r="U77" i="1"/>
  <c r="U76" i="1"/>
  <c r="U74" i="1"/>
  <c r="U73" i="1"/>
  <c r="U72" i="1"/>
  <c r="U71" i="1"/>
  <c r="U70" i="1"/>
  <c r="U69" i="1"/>
  <c r="U64" i="1"/>
  <c r="U63" i="1"/>
  <c r="U62" i="1"/>
  <c r="U61" i="1"/>
  <c r="U57" i="1"/>
  <c r="U56" i="1"/>
  <c r="U55" i="1"/>
  <c r="U54" i="1"/>
  <c r="U53" i="1"/>
  <c r="U52" i="1"/>
  <c r="U51" i="1"/>
  <c r="U49" i="1"/>
  <c r="U48" i="1"/>
  <c r="U46" i="1"/>
  <c r="U45" i="1"/>
  <c r="U44" i="1"/>
  <c r="U43" i="1"/>
  <c r="U42" i="1"/>
  <c r="U41" i="1"/>
  <c r="U39" i="1"/>
  <c r="U38" i="1"/>
  <c r="U37" i="1"/>
  <c r="U36" i="1"/>
  <c r="U35" i="1"/>
  <c r="U33" i="1"/>
  <c r="U31" i="1"/>
  <c r="U27" i="1"/>
  <c r="U26" i="1"/>
  <c r="U25" i="1"/>
  <c r="U24" i="1"/>
  <c r="U20" i="1"/>
  <c r="U19" i="1"/>
  <c r="U18" i="1"/>
  <c r="U17" i="1"/>
  <c r="U16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T92" i="1"/>
  <c r="S92" i="1"/>
  <c r="R92" i="1"/>
  <c r="Q92" i="1"/>
  <c r="P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T91" i="1"/>
  <c r="S91" i="1"/>
  <c r="R91" i="1"/>
  <c r="Q91" i="1"/>
  <c r="P91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T90" i="1"/>
  <c r="S90" i="1"/>
  <c r="R90" i="1"/>
  <c r="Q90" i="1"/>
  <c r="P90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T89" i="1"/>
  <c r="S89" i="1"/>
  <c r="R89" i="1"/>
  <c r="Q89" i="1"/>
  <c r="P89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T88" i="1"/>
  <c r="S88" i="1"/>
  <c r="R88" i="1"/>
  <c r="Q88" i="1"/>
  <c r="P88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T87" i="1"/>
  <c r="S87" i="1"/>
  <c r="R87" i="1"/>
  <c r="Q87" i="1"/>
  <c r="P87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T86" i="1"/>
  <c r="S86" i="1"/>
  <c r="R86" i="1"/>
  <c r="Q86" i="1"/>
  <c r="P86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T85" i="1"/>
  <c r="S85" i="1"/>
  <c r="R85" i="1"/>
  <c r="Q85" i="1"/>
  <c r="P85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T83" i="1"/>
  <c r="S83" i="1"/>
  <c r="R83" i="1"/>
  <c r="Q83" i="1"/>
  <c r="P83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T82" i="1"/>
  <c r="S82" i="1"/>
  <c r="R82" i="1"/>
  <c r="Q82" i="1"/>
  <c r="P82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T81" i="1"/>
  <c r="S81" i="1"/>
  <c r="R81" i="1"/>
  <c r="Q81" i="1"/>
  <c r="P81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T80" i="1"/>
  <c r="S80" i="1"/>
  <c r="R80" i="1"/>
  <c r="Q80" i="1"/>
  <c r="P80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T79" i="1"/>
  <c r="S79" i="1"/>
  <c r="R79" i="1"/>
  <c r="Q79" i="1"/>
  <c r="P79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T144" i="1"/>
  <c r="S144" i="1"/>
  <c r="R144" i="1"/>
  <c r="Q144" i="1"/>
  <c r="P144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T143" i="1"/>
  <c r="S143" i="1"/>
  <c r="R143" i="1"/>
  <c r="Q143" i="1"/>
  <c r="P143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T142" i="1"/>
  <c r="S142" i="1"/>
  <c r="R142" i="1"/>
  <c r="Q142" i="1"/>
  <c r="P142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T141" i="1"/>
  <c r="S141" i="1"/>
  <c r="R141" i="1"/>
  <c r="Q141" i="1"/>
  <c r="P141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T139" i="1"/>
  <c r="S139" i="1"/>
  <c r="R139" i="1"/>
  <c r="Q139" i="1"/>
  <c r="P139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T138" i="1"/>
  <c r="S138" i="1"/>
  <c r="R138" i="1"/>
  <c r="Q138" i="1"/>
  <c r="P138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T137" i="1"/>
  <c r="S137" i="1"/>
  <c r="R137" i="1"/>
  <c r="Q137" i="1"/>
  <c r="P137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T136" i="1"/>
  <c r="S136" i="1"/>
  <c r="R136" i="1"/>
  <c r="Q136" i="1"/>
  <c r="P136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T135" i="1"/>
  <c r="S135" i="1"/>
  <c r="R135" i="1"/>
  <c r="Q135" i="1"/>
  <c r="P135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T134" i="1"/>
  <c r="S134" i="1"/>
  <c r="R134" i="1"/>
  <c r="Q134" i="1"/>
  <c r="P134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T132" i="1"/>
  <c r="S132" i="1"/>
  <c r="R132" i="1"/>
  <c r="Q132" i="1"/>
  <c r="P132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T131" i="1"/>
  <c r="S131" i="1"/>
  <c r="R131" i="1"/>
  <c r="Q131" i="1"/>
  <c r="P131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T130" i="1"/>
  <c r="S130" i="1"/>
  <c r="R130" i="1"/>
  <c r="Q130" i="1"/>
  <c r="P130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T129" i="1"/>
  <c r="S129" i="1"/>
  <c r="R129" i="1"/>
  <c r="Q129" i="1"/>
  <c r="P129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T128" i="1"/>
  <c r="S128" i="1"/>
  <c r="R128" i="1"/>
  <c r="Q128" i="1"/>
  <c r="P128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T127" i="1"/>
  <c r="S127" i="1"/>
  <c r="R127" i="1"/>
  <c r="Q127" i="1"/>
  <c r="P127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T126" i="1"/>
  <c r="S126" i="1"/>
  <c r="R126" i="1"/>
  <c r="Q126" i="1"/>
  <c r="P126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T125" i="1"/>
  <c r="S125" i="1"/>
  <c r="R125" i="1"/>
  <c r="Q125" i="1"/>
  <c r="P125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T124" i="1"/>
  <c r="S124" i="1"/>
  <c r="R124" i="1"/>
  <c r="Q124" i="1"/>
  <c r="P124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T123" i="1"/>
  <c r="S123" i="1"/>
  <c r="R123" i="1"/>
  <c r="Q123" i="1"/>
  <c r="P123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T122" i="1"/>
  <c r="S122" i="1"/>
  <c r="R122" i="1"/>
  <c r="Q122" i="1"/>
  <c r="P122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T121" i="1"/>
  <c r="S121" i="1"/>
  <c r="R121" i="1"/>
  <c r="Q121" i="1"/>
  <c r="P121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T120" i="1"/>
  <c r="S120" i="1"/>
  <c r="R120" i="1"/>
  <c r="Q120" i="1"/>
  <c r="P120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T119" i="1"/>
  <c r="S119" i="1"/>
  <c r="R119" i="1"/>
  <c r="Q119" i="1"/>
  <c r="P119" i="1"/>
  <c r="P118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T117" i="1"/>
  <c r="S117" i="1"/>
  <c r="R117" i="1"/>
  <c r="Q117" i="1"/>
  <c r="P117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T116" i="1"/>
  <c r="S116" i="1"/>
  <c r="R116" i="1"/>
  <c r="Q116" i="1"/>
  <c r="P116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T115" i="1"/>
  <c r="S115" i="1"/>
  <c r="R115" i="1"/>
  <c r="Q115" i="1"/>
  <c r="P115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T114" i="1"/>
  <c r="S114" i="1"/>
  <c r="R114" i="1"/>
  <c r="Q114" i="1"/>
  <c r="P114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T113" i="1"/>
  <c r="S113" i="1"/>
  <c r="R113" i="1"/>
  <c r="Q113" i="1"/>
  <c r="P113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T112" i="1"/>
  <c r="S112" i="1"/>
  <c r="R112" i="1"/>
  <c r="Q112" i="1"/>
  <c r="P112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T110" i="1"/>
  <c r="S110" i="1"/>
  <c r="R110" i="1"/>
  <c r="Q110" i="1"/>
  <c r="P110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T109" i="1"/>
  <c r="S109" i="1"/>
  <c r="R109" i="1"/>
  <c r="Q109" i="1"/>
  <c r="P109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T107" i="1"/>
  <c r="S107" i="1"/>
  <c r="R107" i="1"/>
  <c r="Q107" i="1"/>
  <c r="P107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T105" i="1"/>
  <c r="S105" i="1"/>
  <c r="R105" i="1"/>
  <c r="Q105" i="1"/>
  <c r="P105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T104" i="1"/>
  <c r="S104" i="1"/>
  <c r="R104" i="1"/>
  <c r="Q104" i="1"/>
  <c r="P104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T102" i="1"/>
  <c r="S102" i="1"/>
  <c r="R102" i="1"/>
  <c r="Q102" i="1"/>
  <c r="P102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T100" i="1"/>
  <c r="S100" i="1"/>
  <c r="R100" i="1"/>
  <c r="Q100" i="1"/>
  <c r="P100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T99" i="1"/>
  <c r="S99" i="1"/>
  <c r="R99" i="1"/>
  <c r="Q99" i="1"/>
  <c r="P99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T98" i="1"/>
  <c r="S98" i="1"/>
  <c r="R98" i="1"/>
  <c r="Q98" i="1"/>
  <c r="P98" i="1"/>
  <c r="T97" i="1"/>
  <c r="S97" i="1"/>
  <c r="R97" i="1"/>
  <c r="Q97" i="1"/>
  <c r="P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T96" i="1"/>
  <c r="S96" i="1"/>
  <c r="R96" i="1"/>
  <c r="Q96" i="1"/>
  <c r="P96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T95" i="1"/>
  <c r="S95" i="1"/>
  <c r="R95" i="1"/>
  <c r="Q95" i="1"/>
  <c r="P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T94" i="1"/>
  <c r="S94" i="1"/>
  <c r="R94" i="1"/>
  <c r="Q94" i="1"/>
  <c r="P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T93" i="1"/>
  <c r="S93" i="1"/>
  <c r="R93" i="1"/>
  <c r="Q93" i="1"/>
  <c r="P93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T78" i="1"/>
  <c r="S78" i="1"/>
  <c r="R78" i="1"/>
  <c r="Q78" i="1"/>
  <c r="P78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T77" i="1"/>
  <c r="S77" i="1"/>
  <c r="R77" i="1"/>
  <c r="Q77" i="1"/>
  <c r="P77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T76" i="1"/>
  <c r="S76" i="1"/>
  <c r="R76" i="1"/>
  <c r="Q76" i="1"/>
  <c r="P76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T74" i="1"/>
  <c r="S74" i="1"/>
  <c r="R74" i="1"/>
  <c r="Q74" i="1"/>
  <c r="P74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T73" i="1"/>
  <c r="S73" i="1"/>
  <c r="R73" i="1"/>
  <c r="Q73" i="1"/>
  <c r="P73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T72" i="1"/>
  <c r="S72" i="1"/>
  <c r="R72" i="1"/>
  <c r="Q72" i="1"/>
  <c r="P72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T71" i="1"/>
  <c r="S71" i="1"/>
  <c r="R71" i="1"/>
  <c r="Q71" i="1"/>
  <c r="P71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T70" i="1"/>
  <c r="S70" i="1"/>
  <c r="R70" i="1"/>
  <c r="Q70" i="1"/>
  <c r="P70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T69" i="1"/>
  <c r="S69" i="1"/>
  <c r="R69" i="1"/>
  <c r="Q69" i="1"/>
  <c r="P69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T68" i="1"/>
  <c r="S68" i="1"/>
  <c r="R68" i="1"/>
  <c r="Q68" i="1"/>
  <c r="P68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T66" i="1"/>
  <c r="S66" i="1"/>
  <c r="R66" i="1"/>
  <c r="Q66" i="1"/>
  <c r="P66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T65" i="1"/>
  <c r="S65" i="1"/>
  <c r="R65" i="1"/>
  <c r="Q65" i="1"/>
  <c r="P65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T64" i="1"/>
  <c r="S64" i="1"/>
  <c r="R64" i="1"/>
  <c r="Q64" i="1"/>
  <c r="P64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T63" i="1"/>
  <c r="S63" i="1"/>
  <c r="R63" i="1"/>
  <c r="Q63" i="1"/>
  <c r="P63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T62" i="1"/>
  <c r="S62" i="1"/>
  <c r="R62" i="1"/>
  <c r="Q62" i="1"/>
  <c r="P62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T61" i="1"/>
  <c r="S61" i="1"/>
  <c r="R61" i="1"/>
  <c r="Q61" i="1"/>
  <c r="P61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T57" i="1"/>
  <c r="S57" i="1"/>
  <c r="R57" i="1"/>
  <c r="Q57" i="1"/>
  <c r="P57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T56" i="1"/>
  <c r="S56" i="1"/>
  <c r="R56" i="1"/>
  <c r="Q56" i="1"/>
  <c r="P56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T55" i="1"/>
  <c r="S55" i="1"/>
  <c r="R55" i="1"/>
  <c r="Q55" i="1"/>
  <c r="P55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T54" i="1"/>
  <c r="S54" i="1"/>
  <c r="R54" i="1"/>
  <c r="Q54" i="1"/>
  <c r="P54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T53" i="1"/>
  <c r="S53" i="1"/>
  <c r="R53" i="1"/>
  <c r="Q53" i="1"/>
  <c r="P53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T52" i="1"/>
  <c r="S52" i="1"/>
  <c r="R52" i="1"/>
  <c r="Q52" i="1"/>
  <c r="P52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T51" i="1"/>
  <c r="S51" i="1"/>
  <c r="R51" i="1"/>
  <c r="Q51" i="1"/>
  <c r="P51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T49" i="1"/>
  <c r="S49" i="1"/>
  <c r="R49" i="1"/>
  <c r="Q49" i="1"/>
  <c r="P49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T48" i="1"/>
  <c r="S48" i="1"/>
  <c r="R48" i="1"/>
  <c r="Q48" i="1"/>
  <c r="P48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T46" i="1"/>
  <c r="S46" i="1"/>
  <c r="R46" i="1"/>
  <c r="Q46" i="1"/>
  <c r="P46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T45" i="1"/>
  <c r="S45" i="1"/>
  <c r="R45" i="1"/>
  <c r="Q45" i="1"/>
  <c r="P45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T44" i="1"/>
  <c r="S44" i="1"/>
  <c r="R44" i="1"/>
  <c r="Q44" i="1"/>
  <c r="P44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T43" i="1"/>
  <c r="S43" i="1"/>
  <c r="R43" i="1"/>
  <c r="Q43" i="1"/>
  <c r="P43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T42" i="1"/>
  <c r="S42" i="1"/>
  <c r="R42" i="1"/>
  <c r="Q42" i="1"/>
  <c r="P42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T41" i="1"/>
  <c r="S41" i="1"/>
  <c r="R41" i="1"/>
  <c r="Q41" i="1"/>
  <c r="P41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T39" i="1"/>
  <c r="S39" i="1"/>
  <c r="R39" i="1"/>
  <c r="Q39" i="1"/>
  <c r="P39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T38" i="1"/>
  <c r="S38" i="1"/>
  <c r="R38" i="1"/>
  <c r="Q38" i="1"/>
  <c r="P38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T37" i="1"/>
  <c r="S37" i="1"/>
  <c r="R37" i="1"/>
  <c r="Q37" i="1"/>
  <c r="P37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T36" i="1"/>
  <c r="S36" i="1"/>
  <c r="R36" i="1"/>
  <c r="Q36" i="1"/>
  <c r="P36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T35" i="1"/>
  <c r="S35" i="1"/>
  <c r="R35" i="1"/>
  <c r="Q35" i="1"/>
  <c r="P35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T33" i="1"/>
  <c r="S33" i="1"/>
  <c r="R33" i="1"/>
  <c r="Q33" i="1"/>
  <c r="P33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T31" i="1"/>
  <c r="S31" i="1"/>
  <c r="R31" i="1"/>
  <c r="Q31" i="1"/>
  <c r="P31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T27" i="1"/>
  <c r="S27" i="1"/>
  <c r="R27" i="1"/>
  <c r="Q27" i="1"/>
  <c r="P27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T26" i="1"/>
  <c r="S26" i="1"/>
  <c r="R26" i="1"/>
  <c r="Q26" i="1"/>
  <c r="P26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T25" i="1"/>
  <c r="S25" i="1"/>
  <c r="R25" i="1"/>
  <c r="Q25" i="1"/>
  <c r="P25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T24" i="1"/>
  <c r="S24" i="1"/>
  <c r="R24" i="1"/>
  <c r="Q24" i="1"/>
  <c r="P24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T20" i="1"/>
  <c r="S20" i="1"/>
  <c r="R20" i="1"/>
  <c r="Q20" i="1"/>
  <c r="P20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T19" i="1"/>
  <c r="S19" i="1"/>
  <c r="R19" i="1"/>
  <c r="Q19" i="1"/>
  <c r="P19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T18" i="1"/>
  <c r="S18" i="1"/>
  <c r="R18" i="1"/>
  <c r="Q18" i="1"/>
  <c r="P18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T17" i="1"/>
  <c r="S17" i="1"/>
  <c r="R17" i="1"/>
  <c r="Q17" i="1"/>
  <c r="P17" i="1"/>
  <c r="R16" i="1"/>
  <c r="S16" i="1"/>
  <c r="T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Q16" i="1"/>
  <c r="P16" i="1"/>
  <c r="AN97" i="1" l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T118" i="1"/>
  <c r="S118" i="1"/>
  <c r="R118" i="1"/>
  <c r="Q118" i="1"/>
  <c r="U118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T101" i="1"/>
  <c r="S101" i="1"/>
  <c r="R101" i="1"/>
  <c r="Q101" i="1"/>
  <c r="P101" i="1"/>
  <c r="U101" i="1"/>
  <c r="G73" i="13" l="1"/>
  <c r="D20" i="8" s="1"/>
  <c r="F73" i="13"/>
  <c r="H15" i="13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15" i="1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G27" i="12"/>
  <c r="F27" i="12"/>
  <c r="H15" i="12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G29" i="11"/>
  <c r="F29" i="11"/>
  <c r="H52" i="13" l="1"/>
  <c r="H62" i="13"/>
  <c r="E15" i="8"/>
  <c r="F9" i="4"/>
  <c r="H63" i="13" l="1"/>
  <c r="H53" i="13"/>
  <c r="C21" i="8"/>
  <c r="H64" i="13" l="1"/>
  <c r="H54" i="13"/>
  <c r="G36" i="7"/>
  <c r="E20" i="8" s="1"/>
  <c r="F36" i="7"/>
  <c r="G590" i="6"/>
  <c r="D19" i="8" s="1"/>
  <c r="E19" i="8" s="1"/>
  <c r="F590" i="6"/>
  <c r="H15" i="6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AL590" i="5"/>
  <c r="AJ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G590" i="5"/>
  <c r="D18" i="8" s="1"/>
  <c r="E18" i="8" s="1"/>
  <c r="F590" i="5"/>
  <c r="H15" i="5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514" i="5" s="1"/>
  <c r="H515" i="5" s="1"/>
  <c r="H516" i="5" s="1"/>
  <c r="H517" i="5" s="1"/>
  <c r="H518" i="5" s="1"/>
  <c r="H519" i="5" s="1"/>
  <c r="H520" i="5" s="1"/>
  <c r="H521" i="5" s="1"/>
  <c r="H522" i="5" s="1"/>
  <c r="H523" i="5" s="1"/>
  <c r="H524" i="5" s="1"/>
  <c r="H525" i="5" s="1"/>
  <c r="H526" i="5" s="1"/>
  <c r="H527" i="5" s="1"/>
  <c r="H528" i="5" s="1"/>
  <c r="H529" i="5" s="1"/>
  <c r="H530" i="5" s="1"/>
  <c r="H531" i="5" s="1"/>
  <c r="H532" i="5" s="1"/>
  <c r="H533" i="5" s="1"/>
  <c r="H534" i="5" s="1"/>
  <c r="H535" i="5" s="1"/>
  <c r="H536" i="5" s="1"/>
  <c r="H537" i="5" s="1"/>
  <c r="H538" i="5" s="1"/>
  <c r="H539" i="5" s="1"/>
  <c r="H540" i="5" s="1"/>
  <c r="H541" i="5" s="1"/>
  <c r="H542" i="5" s="1"/>
  <c r="H543" i="5" s="1"/>
  <c r="H544" i="5" s="1"/>
  <c r="H545" i="5" s="1"/>
  <c r="H546" i="5" s="1"/>
  <c r="H547" i="5" s="1"/>
  <c r="H548" i="5" s="1"/>
  <c r="H549" i="5" s="1"/>
  <c r="H550" i="5" s="1"/>
  <c r="H551" i="5" s="1"/>
  <c r="H552" i="5" s="1"/>
  <c r="H553" i="5" s="1"/>
  <c r="H554" i="5" s="1"/>
  <c r="H555" i="5" s="1"/>
  <c r="H556" i="5" s="1"/>
  <c r="H557" i="5" s="1"/>
  <c r="H558" i="5" s="1"/>
  <c r="H559" i="5" s="1"/>
  <c r="H560" i="5" s="1"/>
  <c r="H561" i="5" s="1"/>
  <c r="H562" i="5" s="1"/>
  <c r="H563" i="5" s="1"/>
  <c r="H564" i="5" s="1"/>
  <c r="H565" i="5" s="1"/>
  <c r="H566" i="5" s="1"/>
  <c r="H567" i="5" s="1"/>
  <c r="H568" i="5" s="1"/>
  <c r="H569" i="5" s="1"/>
  <c r="H570" i="5" s="1"/>
  <c r="H571" i="5" s="1"/>
  <c r="H572" i="5" s="1"/>
  <c r="H573" i="5" s="1"/>
  <c r="H574" i="5" s="1"/>
  <c r="H575" i="5" s="1"/>
  <c r="H576" i="5" s="1"/>
  <c r="H577" i="5" s="1"/>
  <c r="H578" i="5" s="1"/>
  <c r="H579" i="5" s="1"/>
  <c r="H580" i="5" s="1"/>
  <c r="H581" i="5" s="1"/>
  <c r="H582" i="5" s="1"/>
  <c r="H583" i="5" s="1"/>
  <c r="H584" i="5" s="1"/>
  <c r="H585" i="5" s="1"/>
  <c r="H586" i="5" s="1"/>
  <c r="H587" i="5" s="1"/>
  <c r="H588" i="5" s="1"/>
  <c r="H589" i="5" s="1"/>
  <c r="I15" i="1"/>
  <c r="I16" i="1" s="1"/>
  <c r="H65" i="13" l="1"/>
  <c r="H55" i="13"/>
  <c r="H16" i="7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66" i="13" l="1"/>
  <c r="H67" i="13" s="1"/>
  <c r="H68" i="13" s="1"/>
  <c r="H69" i="13" s="1"/>
  <c r="H70" i="13" s="1"/>
  <c r="H71" i="13" s="1"/>
  <c r="H72" i="13" s="1"/>
  <c r="H56" i="13"/>
  <c r="H57" i="13" s="1"/>
  <c r="H58" i="13" s="1"/>
  <c r="H59" i="13" s="1"/>
  <c r="H60" i="13" s="1"/>
  <c r="H61" i="13" s="1"/>
  <c r="AM590" i="4"/>
  <c r="AK590" i="4"/>
  <c r="AI590" i="4"/>
  <c r="AH590" i="4"/>
  <c r="AG590" i="4"/>
  <c r="AF590" i="4"/>
  <c r="AE590" i="4"/>
  <c r="AD590" i="4"/>
  <c r="AC590" i="4"/>
  <c r="AB590" i="4"/>
  <c r="AA590" i="4"/>
  <c r="Z590" i="4"/>
  <c r="Y590" i="4"/>
  <c r="X590" i="4"/>
  <c r="W590" i="4"/>
  <c r="V590" i="4"/>
  <c r="U590" i="4"/>
  <c r="T590" i="4"/>
  <c r="S590" i="4"/>
  <c r="R590" i="4"/>
  <c r="Q590" i="4"/>
  <c r="P590" i="4"/>
  <c r="O590" i="4"/>
  <c r="N590" i="4"/>
  <c r="M590" i="4"/>
  <c r="L590" i="4"/>
  <c r="K590" i="4"/>
  <c r="J590" i="4"/>
  <c r="H590" i="4"/>
  <c r="D17" i="8" s="1"/>
  <c r="E17" i="8" s="1"/>
  <c r="G590" i="4"/>
  <c r="I16" i="4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17" i="1"/>
  <c r="I18" i="1" s="1"/>
  <c r="I19" i="1" s="1"/>
  <c r="I20" i="1" s="1"/>
  <c r="I21" i="1" s="1"/>
  <c r="I22" i="1" s="1"/>
  <c r="I23" i="1" s="1"/>
  <c r="I24" i="1" s="1"/>
  <c r="I25" i="1" s="1"/>
  <c r="O592" i="1"/>
  <c r="N592" i="1"/>
  <c r="M592" i="1"/>
  <c r="L592" i="1"/>
  <c r="K592" i="1"/>
  <c r="J592" i="1"/>
  <c r="G592" i="1"/>
  <c r="Q592" i="1"/>
  <c r="P592" i="1"/>
  <c r="H592" i="1"/>
  <c r="D16" i="8" s="1"/>
  <c r="E16" i="8" s="1"/>
  <c r="I592" i="1" l="1"/>
  <c r="D21" i="8"/>
  <c r="E21" i="8" s="1"/>
  <c r="I26" i="1"/>
  <c r="I27" i="1" s="1"/>
  <c r="I28" i="1" s="1"/>
  <c r="I29" i="1" s="1"/>
  <c r="I30" i="1" s="1"/>
  <c r="I31" i="1" s="1"/>
  <c r="I32" i="1" s="1"/>
  <c r="I33" i="1" s="1"/>
  <c r="I34" i="1" l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l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l="1"/>
  <c r="I102" i="1" s="1"/>
  <c r="I103" i="1" s="1"/>
  <c r="I104" i="1" l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AN496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Ladi:
</t>
        </r>
        <r>
          <rPr>
            <b/>
            <sz val="9"/>
            <color rgb="FF000000"/>
            <rFont val="Tahoma"/>
            <family val="2"/>
          </rPr>
          <t>The corresponding reversal is not reflected in income bank statement as against PJI's narration.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N50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Ladi:</t>
        </r>
        <r>
          <rPr>
            <sz val="9"/>
            <color indexed="81"/>
            <rFont val="Tahoma"/>
            <family val="2"/>
          </rPr>
          <t xml:space="preserve">
The correspondimg reversal is not reflected in income bank statement as against PJI narration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AL494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 xml:space="preserve">Ladi:
</t>
        </r>
        <r>
          <rPr>
            <b/>
            <sz val="9"/>
            <color rgb="FF000000"/>
            <rFont val="Tahoma"/>
            <family val="2"/>
          </rPr>
          <t>The corresponding reversal is not reflected in income bank statement as against PJI's narration.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L50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Ladi:</t>
        </r>
        <r>
          <rPr>
            <sz val="9"/>
            <color indexed="81"/>
            <rFont val="Tahoma"/>
            <family val="2"/>
          </rPr>
          <t xml:space="preserve">
The correspondimg reversal is not reflected in income bank statement as against PJI narration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Rita</author>
  </authors>
  <commentList>
    <comment ref="AM494" authorId="0" shapeId="0" xr:uid="{00000000-0006-0000-0600-000001000000}">
      <text>
        <r>
          <rPr>
            <b/>
            <sz val="9"/>
            <color rgb="FF000000"/>
            <rFont val="Tahoma"/>
            <family val="2"/>
          </rPr>
          <t xml:space="preserve">Ladi:
</t>
        </r>
        <r>
          <rPr>
            <b/>
            <sz val="9"/>
            <color rgb="FF000000"/>
            <rFont val="Tahoma"/>
            <family val="2"/>
          </rPr>
          <t>The corresponding reversal is not reflected in income bank statement as against PJI's narration.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M50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Ladi:</t>
        </r>
        <r>
          <rPr>
            <sz val="9"/>
            <color indexed="81"/>
            <rFont val="Tahoma"/>
            <family val="2"/>
          </rPr>
          <t xml:space="preserve">
The correspondimg reversal is not reflected in income bank statement as against PJI narration</t>
        </r>
      </text>
    </comment>
  </commentList>
</comments>
</file>

<file path=xl/sharedStrings.xml><?xml version="1.0" encoding="utf-8"?>
<sst xmlns="http://schemas.openxmlformats.org/spreadsheetml/2006/main" count="1059" uniqueCount="420">
  <si>
    <t>Repairs &amp; Maintenance</t>
  </si>
  <si>
    <t>Transportation</t>
  </si>
  <si>
    <t>Office Equipment</t>
  </si>
  <si>
    <t>Furnitures &amp; Fittings</t>
  </si>
  <si>
    <t xml:space="preserve">Staff Welfare, Medicals and Entertainment </t>
  </si>
  <si>
    <t>Security services</t>
  </si>
  <si>
    <t>Volunteer Stipend</t>
  </si>
  <si>
    <t>Staff salary &amp; Allowance</t>
  </si>
  <si>
    <t>Professional Fees</t>
  </si>
  <si>
    <t>Internet &amp; Telecommunication</t>
  </si>
  <si>
    <t>Stationery &amp; office supplies</t>
  </si>
  <si>
    <t xml:space="preserve">Printing </t>
  </si>
  <si>
    <t>Hotel Accommodation</t>
  </si>
  <si>
    <t xml:space="preserve">Fuel &amp; Lubricant </t>
  </si>
  <si>
    <t>Tax</t>
  </si>
  <si>
    <t xml:space="preserve">Training and Development </t>
  </si>
  <si>
    <t>Reversal</t>
  </si>
  <si>
    <t>Petty cash</t>
  </si>
  <si>
    <t>Utility</t>
  </si>
  <si>
    <t>N</t>
  </si>
  <si>
    <t>Total  Outflow (Expenses )</t>
  </si>
  <si>
    <t>Balance</t>
  </si>
  <si>
    <t>Description</t>
  </si>
  <si>
    <t>Total Inflow</t>
  </si>
  <si>
    <t>Registration, Fees and Dues</t>
  </si>
  <si>
    <t>Bank Analysis Schedule</t>
  </si>
  <si>
    <t>Date</t>
  </si>
  <si>
    <t>Transaction Categorisation</t>
  </si>
  <si>
    <t>Inflow Breakdown</t>
  </si>
  <si>
    <t>Directors/ Shareholders Contribution</t>
  </si>
  <si>
    <t>Revenue</t>
  </si>
  <si>
    <t>Intra Bank Transfer</t>
  </si>
  <si>
    <t>Assets</t>
  </si>
  <si>
    <t>Motor Vehicle</t>
  </si>
  <si>
    <t>Voucher Number</t>
  </si>
  <si>
    <t>Interest</t>
  </si>
  <si>
    <t>Advance Refund</t>
  </si>
  <si>
    <t>Overheads &amp; Salary</t>
  </si>
  <si>
    <t>User Unit/ Department</t>
  </si>
  <si>
    <t>Bank Charges</t>
  </si>
  <si>
    <t>Others</t>
  </si>
  <si>
    <t>Outflow Breakdown</t>
  </si>
  <si>
    <t>Intra bank transfer</t>
  </si>
  <si>
    <t>Cash-In-Hand/ Imprest  Analysis Schedule</t>
  </si>
  <si>
    <t>Electricity bill</t>
  </si>
  <si>
    <t>PV/0001</t>
  </si>
  <si>
    <t>Logistics</t>
  </si>
  <si>
    <t>Marriage allowance</t>
  </si>
  <si>
    <t>Utilities</t>
  </si>
  <si>
    <t>Childbirth allowance</t>
  </si>
  <si>
    <t>PV/0003</t>
  </si>
  <si>
    <t>Shipping cost for illumigyn genescope</t>
  </si>
  <si>
    <t>Staff Welfare</t>
  </si>
  <si>
    <t>PV/0002</t>
  </si>
  <si>
    <t>Admin</t>
  </si>
  <si>
    <t>Product Logistics (Air, Sea, Rail and Land)</t>
  </si>
  <si>
    <t>Product logistics</t>
  </si>
  <si>
    <t>Staff welfare</t>
  </si>
  <si>
    <t>Purchase of bottled water</t>
  </si>
  <si>
    <t>PCV/0001</t>
  </si>
  <si>
    <t>Repairs and Maintenance: Motor vehicle</t>
  </si>
  <si>
    <t>PV/0004</t>
  </si>
  <si>
    <t>PV/0005</t>
  </si>
  <si>
    <t>PV/0006</t>
  </si>
  <si>
    <t>PV/0007</t>
  </si>
  <si>
    <t>Nanox Importation license</t>
  </si>
  <si>
    <t>Maintenance and repairs: Laptop Reimbursement</t>
  </si>
  <si>
    <t>PV/0008</t>
  </si>
  <si>
    <t>Maintenance and repairs: AC installations</t>
  </si>
  <si>
    <t>PV/0009</t>
  </si>
  <si>
    <t>PV/0010</t>
  </si>
  <si>
    <t>Internet and telecommunication</t>
  </si>
  <si>
    <t>PV/0011</t>
  </si>
  <si>
    <t>IT</t>
  </si>
  <si>
    <t>Payment for the transfer and activation of domain</t>
  </si>
  <si>
    <t xml:space="preserve">Web hosting subscription and email service </t>
  </si>
  <si>
    <t>PV/0012</t>
  </si>
  <si>
    <t>PCV/0002</t>
  </si>
  <si>
    <t>Staff Travel Expenses</t>
  </si>
  <si>
    <t>Training and Development</t>
  </si>
  <si>
    <t>PV/0013</t>
  </si>
  <si>
    <t>Stationary &amp; Office Suplies</t>
  </si>
  <si>
    <t>PV/0014</t>
  </si>
  <si>
    <t>Office Supplies</t>
  </si>
  <si>
    <t>PV/0015</t>
  </si>
  <si>
    <t>Payment for Business Cards</t>
  </si>
  <si>
    <t>PV/0016</t>
  </si>
  <si>
    <t xml:space="preserve">Payment for shipping gynescopes </t>
  </si>
  <si>
    <t>PV/0017</t>
  </si>
  <si>
    <t>Printing of marketing products: brochures</t>
  </si>
  <si>
    <t>Printing</t>
  </si>
  <si>
    <t>Sales Department</t>
  </si>
  <si>
    <t>Payment for SCMUL</t>
  </si>
  <si>
    <t>PV/0018</t>
  </si>
  <si>
    <t>Office equipment</t>
  </si>
  <si>
    <t>PV/0019</t>
  </si>
  <si>
    <t>Webcam and dungle</t>
  </si>
  <si>
    <t>PV/0020</t>
  </si>
  <si>
    <t>PV/0021</t>
  </si>
  <si>
    <t>Office supplies</t>
  </si>
  <si>
    <t>PV/0022</t>
  </si>
  <si>
    <t>PV/0023</t>
  </si>
  <si>
    <t>Salary For The Month of September</t>
  </si>
  <si>
    <t>Staff Salary and Allowance</t>
  </si>
  <si>
    <t>PCV/0003</t>
  </si>
  <si>
    <t>Purchase of dispenser water</t>
  </si>
  <si>
    <t>PCV/0004</t>
  </si>
  <si>
    <t>Airplane Tickets and accommodation for guests</t>
  </si>
  <si>
    <t>PV/0024</t>
  </si>
  <si>
    <t>PV/0025</t>
  </si>
  <si>
    <t>Airplane Tickets and accommodation Refunded From Staff</t>
  </si>
  <si>
    <t>Repairs and Maintenance</t>
  </si>
  <si>
    <t xml:space="preserve">Repairs and Maintenance: Plumbing </t>
  </si>
  <si>
    <t>PV/0026</t>
  </si>
  <si>
    <t>Repairs and Maintenance: Electrical Appliances</t>
  </si>
  <si>
    <t>Payment for Fire service registration</t>
  </si>
  <si>
    <t>PV/0027</t>
  </si>
  <si>
    <t>PV/0028</t>
  </si>
  <si>
    <t>Payment for the purchase of diesel</t>
  </si>
  <si>
    <t>Fuel &amp; lubricant</t>
  </si>
  <si>
    <t>PV/0029</t>
  </si>
  <si>
    <t xml:space="preserve">Reimbursement of staff trasnportation expenses </t>
  </si>
  <si>
    <t>PCV/0005</t>
  </si>
  <si>
    <t>PCV/0006</t>
  </si>
  <si>
    <t>PCV/0007</t>
  </si>
  <si>
    <t>PCV/0008</t>
  </si>
  <si>
    <t>PCV/0009</t>
  </si>
  <si>
    <t>Tranportation cost for staff</t>
  </si>
  <si>
    <t>Staff Renumeration</t>
  </si>
  <si>
    <t>PV/0030</t>
  </si>
  <si>
    <t>HR</t>
  </si>
  <si>
    <t>Purchase of TVs</t>
  </si>
  <si>
    <t>PV/0031</t>
  </si>
  <si>
    <t>PV/0032</t>
  </si>
  <si>
    <t>Purchase of IT Supplies</t>
  </si>
  <si>
    <t>PV/0033</t>
  </si>
  <si>
    <t>Surge extension wires</t>
  </si>
  <si>
    <t>PV/0034</t>
  </si>
  <si>
    <t>PV/0035</t>
  </si>
  <si>
    <t>For the purchase of generator</t>
  </si>
  <si>
    <t>PV/0036</t>
  </si>
  <si>
    <t>Staff Salary and allowance</t>
  </si>
  <si>
    <t>PV/0037</t>
  </si>
  <si>
    <t>PV/0038</t>
  </si>
  <si>
    <t>PV/0039</t>
  </si>
  <si>
    <t>PV/0040</t>
  </si>
  <si>
    <t>PV/0041</t>
  </si>
  <si>
    <t>PV/0042</t>
  </si>
  <si>
    <t>PV/0043</t>
  </si>
  <si>
    <t>PV/0044</t>
  </si>
  <si>
    <t>PV/0045</t>
  </si>
  <si>
    <t>PV/0046</t>
  </si>
  <si>
    <t>PV/0047</t>
  </si>
  <si>
    <t>PV/0048</t>
  </si>
  <si>
    <t>PV/0049</t>
  </si>
  <si>
    <t>PV/0050</t>
  </si>
  <si>
    <t>PV/0051</t>
  </si>
  <si>
    <t>Cash advance ofr staff transportation</t>
  </si>
  <si>
    <t>AC installation</t>
  </si>
  <si>
    <t>Remabursement for dummies</t>
  </si>
  <si>
    <t>DHL shipment</t>
  </si>
  <si>
    <t>Salary For The Month of October</t>
  </si>
  <si>
    <t>Payment for sponsorship of SOGON conference</t>
  </si>
  <si>
    <t>Admin office supplies</t>
  </si>
  <si>
    <t>Repairs and maintenance: AC installation</t>
  </si>
  <si>
    <t>Business cards</t>
  </si>
  <si>
    <t>Marketing and Advertisement</t>
  </si>
  <si>
    <t>PV/0052</t>
  </si>
  <si>
    <t>PV/0053</t>
  </si>
  <si>
    <t>PV/0054</t>
  </si>
  <si>
    <t>Marketing and Advertisement: Raven and Macau</t>
  </si>
  <si>
    <t>For the purchse of dispenser water</t>
  </si>
  <si>
    <t>PCV/0010</t>
  </si>
  <si>
    <t>Electricity wiring</t>
  </si>
  <si>
    <t>Payment for diesel</t>
  </si>
  <si>
    <t>PV/0055</t>
  </si>
  <si>
    <t>Stamps</t>
  </si>
  <si>
    <t>Radiation Caution Sign</t>
  </si>
  <si>
    <t>For the purchase of Vacuum cleaner</t>
  </si>
  <si>
    <t>Plumber</t>
  </si>
  <si>
    <t>IT supplies</t>
  </si>
  <si>
    <t>Income</t>
  </si>
  <si>
    <t>Beginning Balance</t>
  </si>
  <si>
    <t>Lanbell</t>
  </si>
  <si>
    <t>income</t>
  </si>
  <si>
    <t>Munadak Nig Limited</t>
  </si>
  <si>
    <t>Rubix Advisors Limited</t>
  </si>
  <si>
    <t>Aisha September Salary</t>
  </si>
  <si>
    <t>Hadiza September Salary</t>
  </si>
  <si>
    <t>Aisha October Salary</t>
  </si>
  <si>
    <t>Hadiza October Salary</t>
  </si>
  <si>
    <t>Emmanuella October salary</t>
  </si>
  <si>
    <t>Abdulmalik October salary</t>
  </si>
  <si>
    <t>Nawa property</t>
  </si>
  <si>
    <t>Netting of Facility</t>
  </si>
  <si>
    <t>PV/0056</t>
  </si>
  <si>
    <t>PV/0057</t>
  </si>
  <si>
    <t>PV/0058</t>
  </si>
  <si>
    <t>PV/0059</t>
  </si>
  <si>
    <t>PV/0060</t>
  </si>
  <si>
    <t>PV/0061</t>
  </si>
  <si>
    <t>PV/0062</t>
  </si>
  <si>
    <t>PV/0063</t>
  </si>
  <si>
    <t>PV/0064</t>
  </si>
  <si>
    <t>PV/0065</t>
  </si>
  <si>
    <t>PV/0066</t>
  </si>
  <si>
    <t>PV/0067</t>
  </si>
  <si>
    <t>PV/0068</t>
  </si>
  <si>
    <t>PV/0069</t>
  </si>
  <si>
    <t>PV/0070</t>
  </si>
  <si>
    <t>PV/0071</t>
  </si>
  <si>
    <t>PV/0072</t>
  </si>
  <si>
    <t>PV/0073</t>
  </si>
  <si>
    <t>PV/0074</t>
  </si>
  <si>
    <t>PV/0075</t>
  </si>
  <si>
    <t>PV/0076</t>
  </si>
  <si>
    <t>PV/0077</t>
  </si>
  <si>
    <t>PV/0078</t>
  </si>
  <si>
    <t>PV/0079</t>
  </si>
  <si>
    <t>PV/0080</t>
  </si>
  <si>
    <t>PV/0081</t>
  </si>
  <si>
    <t>PV/0082</t>
  </si>
  <si>
    <t>PV/0083</t>
  </si>
  <si>
    <t>PV/0084</t>
  </si>
  <si>
    <t>PV/0085</t>
  </si>
  <si>
    <t>PV/0086</t>
  </si>
  <si>
    <t>PV/0087</t>
  </si>
  <si>
    <t>PV/0088</t>
  </si>
  <si>
    <t>PV/0089</t>
  </si>
  <si>
    <t>PV/0090</t>
  </si>
  <si>
    <t>PV/0091</t>
  </si>
  <si>
    <t>PV/0092</t>
  </si>
  <si>
    <t>PV/0093</t>
  </si>
  <si>
    <t>PV/0094</t>
  </si>
  <si>
    <t>PV/0095</t>
  </si>
  <si>
    <t>PV/0096</t>
  </si>
  <si>
    <t>PV/0097</t>
  </si>
  <si>
    <t>PV/0098</t>
  </si>
  <si>
    <t>PV/0099</t>
  </si>
  <si>
    <t>PV/0100</t>
  </si>
  <si>
    <t>Sogon</t>
  </si>
  <si>
    <t>Peramare Medical Bank</t>
  </si>
  <si>
    <t>Peramare Medical Petty Cash</t>
  </si>
  <si>
    <t>Labell</t>
  </si>
  <si>
    <t>Peramare Ghana</t>
  </si>
  <si>
    <t>Current Balance</t>
  </si>
  <si>
    <t>Walida Export promotions</t>
  </si>
  <si>
    <t>Water dispenser</t>
  </si>
  <si>
    <t>PCV/0011</t>
  </si>
  <si>
    <t>PCV/0012</t>
  </si>
  <si>
    <t>PCV/0013</t>
  </si>
  <si>
    <t>PCV/0014</t>
  </si>
  <si>
    <t>PCV/0015</t>
  </si>
  <si>
    <t>PCV/0016</t>
  </si>
  <si>
    <t>PCV/0017</t>
  </si>
  <si>
    <t>PCV/0018</t>
  </si>
  <si>
    <t>PCV/0019</t>
  </si>
  <si>
    <t>PCV/0020</t>
  </si>
  <si>
    <t>PCV/0021</t>
  </si>
  <si>
    <t>PCV/0022</t>
  </si>
  <si>
    <t>PCV/0023</t>
  </si>
  <si>
    <t>PCV/0024</t>
  </si>
  <si>
    <t>PCV/0025</t>
  </si>
  <si>
    <t>PCV/0026</t>
  </si>
  <si>
    <t>PCV/0027</t>
  </si>
  <si>
    <t>PCV/0028</t>
  </si>
  <si>
    <t>Payment for security services</t>
  </si>
  <si>
    <t>Payment for cleaning services</t>
  </si>
  <si>
    <t>Payment for feeding</t>
  </si>
  <si>
    <t>Registration of motor vehicle</t>
  </si>
  <si>
    <t>Purchase of Motor vehicle fuel</t>
  </si>
  <si>
    <t>UPS for demo clinic</t>
  </si>
  <si>
    <t>Roll up balance</t>
  </si>
  <si>
    <t>Repairs and Maintenance: Motor vehicle clutch</t>
  </si>
  <si>
    <t>Staff Welfare: Feeding For Staff</t>
  </si>
  <si>
    <t>Purchase of kettles</t>
  </si>
  <si>
    <t>Security Supplies</t>
  </si>
  <si>
    <t>Volunteer stipend</t>
  </si>
  <si>
    <t>Volunteer stipend: Dr Bilal</t>
  </si>
  <si>
    <t>Security and cleaning services</t>
  </si>
  <si>
    <t>Travel Expenses</t>
  </si>
  <si>
    <t>Right Click fee</t>
  </si>
  <si>
    <t>Pumping Machine</t>
  </si>
  <si>
    <t>Cold room fees</t>
  </si>
  <si>
    <t>Branded Shirts</t>
  </si>
  <si>
    <t>HMO Fliers and Checklist</t>
  </si>
  <si>
    <t>Tchill (Agro Allied)</t>
  </si>
  <si>
    <t>Plumbing Expenses</t>
  </si>
  <si>
    <t>Surge extension wire</t>
  </si>
  <si>
    <t>photography Expenses</t>
  </si>
  <si>
    <t>Salary Expenses for the month of November</t>
  </si>
  <si>
    <t>Repairs and Maintenance: Electrical wiring</t>
  </si>
  <si>
    <t>Office Equipment: Shreddar</t>
  </si>
  <si>
    <t>Fuel and Lubricants:Fuel for Motor Vehicle</t>
  </si>
  <si>
    <t>Staff Welfare: Refreshment for SOGON</t>
  </si>
  <si>
    <t>Abdullahi Nabegu November Salary</t>
  </si>
  <si>
    <t>Nura November Salary</t>
  </si>
  <si>
    <t>Abdulmalik November salary</t>
  </si>
  <si>
    <t>Emmanuella November salary</t>
  </si>
  <si>
    <t>Aisha November Salary</t>
  </si>
  <si>
    <t>Hadiza November Salary</t>
  </si>
  <si>
    <t>Honorioum for office medical drill</t>
  </si>
  <si>
    <t>PV/0101</t>
  </si>
  <si>
    <t>Marketing and Advertisement: Promotional Items</t>
  </si>
  <si>
    <t>Fuel for Motor Vehicle</t>
  </si>
  <si>
    <t>For the Purchase of trifolds and business cards</t>
  </si>
  <si>
    <t>Consultancy</t>
  </si>
  <si>
    <t>Crelio health subscription plan</t>
  </si>
  <si>
    <t>Health care support systems</t>
  </si>
  <si>
    <t>Acturial services</t>
  </si>
  <si>
    <t>HMO Stipends</t>
  </si>
  <si>
    <t>HMO office documents</t>
  </si>
  <si>
    <t>Agro-Allied</t>
  </si>
  <si>
    <t>Rubix</t>
  </si>
  <si>
    <t>HMO</t>
  </si>
  <si>
    <t>Life Zone Pharmacy and stores</t>
  </si>
  <si>
    <t>Nafisa Ahmad Consultancy</t>
  </si>
  <si>
    <t>All round</t>
  </si>
  <si>
    <t>Basiru Salisu Consultancy</t>
  </si>
  <si>
    <t>Table Cloths For SOGON</t>
  </si>
  <si>
    <t>Staff Welfare: Tea Bags</t>
  </si>
  <si>
    <t>Cold room Power Supply</t>
  </si>
  <si>
    <t>HMO feeding Allowance</t>
  </si>
  <si>
    <t>Staff SOGON Honorarium</t>
  </si>
  <si>
    <t>Repairs and Maintenance: Circuit Seperation</t>
  </si>
  <si>
    <t>Repairs and Maintenance: Electrical pump</t>
  </si>
  <si>
    <t>IT Subscription</t>
  </si>
  <si>
    <t>Legal Cinsultation fees</t>
  </si>
  <si>
    <t>Peramare Kenya</t>
  </si>
  <si>
    <t>Consultattion fees</t>
  </si>
  <si>
    <t>Battery for gate</t>
  </si>
  <si>
    <t>PV/0102</t>
  </si>
  <si>
    <t>PV/0103</t>
  </si>
  <si>
    <t>PV/0104</t>
  </si>
  <si>
    <t>PV/0105</t>
  </si>
  <si>
    <t>PV/0106</t>
  </si>
  <si>
    <t>PV/0107</t>
  </si>
  <si>
    <t>PV/0108</t>
  </si>
  <si>
    <t>PV/0109</t>
  </si>
  <si>
    <t>PV/0110</t>
  </si>
  <si>
    <t>PV/0111</t>
  </si>
  <si>
    <t>PV/0112</t>
  </si>
  <si>
    <t>Solar Panel Maintenance</t>
  </si>
  <si>
    <t>Zainab Nafdac Reimbursemt</t>
  </si>
  <si>
    <t>Marketing and promotions</t>
  </si>
  <si>
    <t>PV/0113</t>
  </si>
  <si>
    <t>Funiture and Fittings</t>
  </si>
  <si>
    <t>PV/0114</t>
  </si>
  <si>
    <t>Payment for Painting</t>
  </si>
  <si>
    <t>Payment AC installlations</t>
  </si>
  <si>
    <t>Payment for Ropelights</t>
  </si>
  <si>
    <t>Payment for fuel</t>
  </si>
  <si>
    <t>Fuel and Lubricants</t>
  </si>
  <si>
    <t>Payment for fixing of Pumping Machine</t>
  </si>
  <si>
    <t xml:space="preserve"> </t>
  </si>
  <si>
    <t>Travel</t>
  </si>
  <si>
    <t>Balance for cabinet: Caataco Designs</t>
  </si>
  <si>
    <t>A parcel for the MD</t>
  </si>
  <si>
    <t>Payment for food</t>
  </si>
  <si>
    <t>For the Purchase of Fertilizer</t>
  </si>
  <si>
    <t>Staff Reimbursement for Microsoft 365</t>
  </si>
  <si>
    <t>Balance for Kitchennette</t>
  </si>
  <si>
    <t>HMO Tea Room</t>
  </si>
  <si>
    <t>TV for HMO</t>
  </si>
  <si>
    <t>Logistics for IT Sky Solutions Meeting</t>
  </si>
  <si>
    <t>Agro Allied</t>
  </si>
  <si>
    <t>Tiling and Security door for Cold room</t>
  </si>
  <si>
    <t>Consultancy fee for EV</t>
  </si>
  <si>
    <t>Transport</t>
  </si>
  <si>
    <t>PV/0115</t>
  </si>
  <si>
    <t>PV/0116</t>
  </si>
  <si>
    <t>PV/0117</t>
  </si>
  <si>
    <t>PV/0118</t>
  </si>
  <si>
    <t>PV/0119</t>
  </si>
  <si>
    <t>PV/0120</t>
  </si>
  <si>
    <t>PV/0121</t>
  </si>
  <si>
    <t>PV/0122</t>
  </si>
  <si>
    <t>PV/0123</t>
  </si>
  <si>
    <t>PV/0124</t>
  </si>
  <si>
    <t>PV/0125</t>
  </si>
  <si>
    <t>PV/0126</t>
  </si>
  <si>
    <t>PV/0127</t>
  </si>
  <si>
    <t>PV/0128</t>
  </si>
  <si>
    <t>PV/0129</t>
  </si>
  <si>
    <t>PV/0130</t>
  </si>
  <si>
    <t>PV/0131</t>
  </si>
  <si>
    <t>PV/0132</t>
  </si>
  <si>
    <t>PV/0133</t>
  </si>
  <si>
    <t>Brochures</t>
  </si>
  <si>
    <t>32 Certificates</t>
  </si>
  <si>
    <t>Peramare Energy</t>
  </si>
  <si>
    <t>Energy</t>
  </si>
  <si>
    <t>Development of Health Care Provider (HCP) Network</t>
  </si>
  <si>
    <t>Payment for Newsletter</t>
  </si>
  <si>
    <t>Travel expenses for MD</t>
  </si>
  <si>
    <t>Paymenent for food</t>
  </si>
  <si>
    <t>Nura and Abdul December Salary</t>
  </si>
  <si>
    <t>Hadiza and Aisha December Salary</t>
  </si>
  <si>
    <t>Emmanuella and Abdul December Salary</t>
  </si>
  <si>
    <t>Purchase of paper</t>
  </si>
  <si>
    <t>Payment for Birthday and baby shower cake</t>
  </si>
  <si>
    <t>Payment for flowers potted</t>
  </si>
  <si>
    <t>Feeding Fees for HMO</t>
  </si>
  <si>
    <t>Subscription</t>
  </si>
  <si>
    <t>Staff salary for the month of december</t>
  </si>
  <si>
    <t>ID Cards, Certificates and promotional items</t>
  </si>
  <si>
    <t>IT Sky Solutions</t>
  </si>
  <si>
    <t>Prodution of documents for health care provider and Regional coordinators fees</t>
  </si>
  <si>
    <t>HMO staff stipend</t>
  </si>
  <si>
    <t>Salary Advance</t>
  </si>
  <si>
    <t>Payment for baby shower and birthday cake</t>
  </si>
  <si>
    <t>For the purchase of dispensers and letterheads</t>
  </si>
  <si>
    <t>Payment for the Purchase of Fuel</t>
  </si>
  <si>
    <t>Installation of Acs</t>
  </si>
  <si>
    <t>Electricity bill for main building and Warehouse</t>
  </si>
  <si>
    <t>Marketing items</t>
  </si>
  <si>
    <t>MD's request</t>
  </si>
  <si>
    <t>Salary</t>
  </si>
  <si>
    <t>Microwave and Office equipments</t>
  </si>
  <si>
    <t>Staff salary and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</si>
</sst>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68]\ * #,##0.00_-;\-[$₦-468]\ * #,##0.00_-;_-[$₦-468]\ * &quot;-&quot;??_-;_-@_-"/>
    <numFmt numFmtId="165" formatCode="[$-409]d\-mmm\-yyyy;@"/>
    <numFmt numFmtId="166" formatCode="_-[$₦-46A]* #,##0.00_-;\-[$₦-46A]* #,##0.00_-;_-[$₦-46A]* &quot;-&quot;??_-;_-@_-"/>
    <numFmt numFmtId="167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7"/>
      <name val="Times New Roman"/>
      <family val="1"/>
    </font>
    <font>
      <sz val="7"/>
      <name val="Times New Roman"/>
      <family val="1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10"/>
      <name val="Calibri"/>
      <family val="2"/>
      <scheme val="minor"/>
    </font>
    <font>
      <b/>
      <u val="singleAccounting"/>
      <sz val="8"/>
      <name val="Times New Roman"/>
      <family val="1"/>
    </font>
    <font>
      <b/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5">
    <xf numFmtId="0" fontId="0" fillId="0" borderId="0" xfId="0"/>
    <xf numFmtId="0" fontId="7" fillId="0" borderId="0" xfId="0" applyFont="1"/>
    <xf numFmtId="43" fontId="7" fillId="0" borderId="0" xfId="0" applyNumberFormat="1" applyFont="1"/>
    <xf numFmtId="43" fontId="7" fillId="0" borderId="0" xfId="1" applyFont="1"/>
    <xf numFmtId="0" fontId="8" fillId="0" borderId="0" xfId="0" applyFont="1"/>
    <xf numFmtId="43" fontId="8" fillId="0" borderId="0" xfId="1" applyFont="1"/>
    <xf numFmtId="0" fontId="8" fillId="0" borderId="0" xfId="0" applyFont="1" applyAlignment="1">
      <alignment horizontal="center" vertical="center"/>
    </xf>
    <xf numFmtId="43" fontId="7" fillId="0" borderId="2" xfId="0" applyNumberFormat="1" applyFont="1" applyBorder="1" applyAlignment="1">
      <alignment wrapText="1"/>
    </xf>
    <xf numFmtId="43" fontId="8" fillId="0" borderId="0" xfId="0" applyNumberFormat="1" applyFont="1"/>
    <xf numFmtId="43" fontId="7" fillId="0" borderId="2" xfId="0" applyNumberFormat="1" applyFont="1" applyBorder="1" applyAlignment="1">
      <alignment horizontal="right"/>
    </xf>
    <xf numFmtId="43" fontId="7" fillId="0" borderId="2" xfId="1" applyFont="1" applyFill="1" applyBorder="1" applyAlignment="1">
      <alignment horizontal="right"/>
    </xf>
    <xf numFmtId="0" fontId="8" fillId="2" borderId="2" xfId="0" applyFont="1" applyFill="1" applyBorder="1"/>
    <xf numFmtId="43" fontId="7" fillId="3" borderId="2" xfId="0" applyNumberFormat="1" applyFont="1" applyFill="1" applyBorder="1" applyAlignment="1">
      <alignment horizontal="right"/>
    </xf>
    <xf numFmtId="43" fontId="7" fillId="3" borderId="2" xfId="1" applyFont="1" applyFill="1" applyBorder="1" applyAlignment="1">
      <alignment horizontal="right"/>
    </xf>
    <xf numFmtId="3" fontId="8" fillId="2" borderId="2" xfId="0" applyNumberFormat="1" applyFont="1" applyFill="1" applyBorder="1"/>
    <xf numFmtId="43" fontId="8" fillId="2" borderId="2" xfId="1" applyFont="1" applyFill="1" applyBorder="1"/>
    <xf numFmtId="4" fontId="8" fillId="2" borderId="2" xfId="0" applyNumberFormat="1" applyFont="1" applyFill="1" applyBorder="1"/>
    <xf numFmtId="43" fontId="8" fillId="2" borderId="2" xfId="0" applyNumberFormat="1" applyFont="1" applyFill="1" applyBorder="1"/>
    <xf numFmtId="0" fontId="8" fillId="2" borderId="1" xfId="0" applyFont="1" applyFill="1" applyBorder="1"/>
    <xf numFmtId="43" fontId="7" fillId="4" borderId="2" xfId="0" applyNumberFormat="1" applyFont="1" applyFill="1" applyBorder="1" applyAlignment="1">
      <alignment horizontal="right"/>
    </xf>
    <xf numFmtId="43" fontId="7" fillId="4" borderId="2" xfId="1" applyFont="1" applyFill="1" applyBorder="1" applyAlignment="1">
      <alignment horizontal="right"/>
    </xf>
    <xf numFmtId="43" fontId="7" fillId="3" borderId="4" xfId="0" applyNumberFormat="1" applyFont="1" applyFill="1" applyBorder="1" applyAlignment="1">
      <alignment wrapText="1"/>
    </xf>
    <xf numFmtId="43" fontId="7" fillId="2" borderId="4" xfId="0" applyNumberFormat="1" applyFont="1" applyFill="1" applyBorder="1"/>
    <xf numFmtId="43" fontId="7" fillId="3" borderId="4" xfId="1" applyFont="1" applyFill="1" applyBorder="1" applyAlignment="1">
      <alignment horizontal="right"/>
    </xf>
    <xf numFmtId="43" fontId="7" fillId="2" borderId="4" xfId="0" applyNumberFormat="1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left" wrapText="1"/>
    </xf>
    <xf numFmtId="3" fontId="8" fillId="2" borderId="4" xfId="0" applyNumberFormat="1" applyFont="1" applyFill="1" applyBorder="1"/>
    <xf numFmtId="43" fontId="7" fillId="3" borderId="4" xfId="0" applyNumberFormat="1" applyFont="1" applyFill="1" applyBorder="1" applyAlignment="1">
      <alignment horizontal="center" wrapText="1"/>
    </xf>
    <xf numFmtId="43" fontId="7" fillId="3" borderId="4" xfId="0" applyNumberFormat="1" applyFont="1" applyFill="1" applyBorder="1" applyAlignment="1">
      <alignment horizontal="center" wrapText="1" shrinkToFit="1"/>
    </xf>
    <xf numFmtId="43" fontId="8" fillId="2" borderId="4" xfId="1" applyFont="1" applyFill="1" applyBorder="1"/>
    <xf numFmtId="43" fontId="7" fillId="3" borderId="4" xfId="0" applyNumberFormat="1" applyFont="1" applyFill="1" applyBorder="1" applyAlignment="1">
      <alignment horizontal="left" wrapText="1"/>
    </xf>
    <xf numFmtId="43" fontId="7" fillId="2" borderId="4" xfId="0" applyNumberFormat="1" applyFont="1" applyFill="1" applyBorder="1" applyAlignment="1">
      <alignment horizontal="center" wrapText="1"/>
    </xf>
    <xf numFmtId="0" fontId="7" fillId="2" borderId="4" xfId="0" applyFont="1" applyFill="1" applyBorder="1"/>
    <xf numFmtId="43" fontId="7" fillId="2" borderId="4" xfId="1" applyFont="1" applyFill="1" applyBorder="1"/>
    <xf numFmtId="43" fontId="7" fillId="4" borderId="14" xfId="0" applyNumberFormat="1" applyFont="1" applyFill="1" applyBorder="1" applyAlignment="1">
      <alignment horizontal="right"/>
    </xf>
    <xf numFmtId="43" fontId="7" fillId="4" borderId="15" xfId="0" applyNumberFormat="1" applyFont="1" applyFill="1" applyBorder="1" applyAlignment="1">
      <alignment horizontal="right"/>
    </xf>
    <xf numFmtId="43" fontId="7" fillId="4" borderId="14" xfId="1" applyFont="1" applyFill="1" applyBorder="1" applyAlignment="1">
      <alignment horizontal="right"/>
    </xf>
    <xf numFmtId="43" fontId="7" fillId="4" borderId="15" xfId="1" applyFont="1" applyFill="1" applyBorder="1" applyAlignment="1">
      <alignment horizontal="right"/>
    </xf>
    <xf numFmtId="43" fontId="7" fillId="4" borderId="19" xfId="0" applyNumberFormat="1" applyFont="1" applyFill="1" applyBorder="1"/>
    <xf numFmtId="43" fontId="7" fillId="4" borderId="20" xfId="0" applyNumberFormat="1" applyFont="1" applyFill="1" applyBorder="1"/>
    <xf numFmtId="43" fontId="7" fillId="4" borderId="21" xfId="0" applyNumberFormat="1" applyFont="1" applyFill="1" applyBorder="1"/>
    <xf numFmtId="43" fontId="7" fillId="4" borderId="16" xfId="0" applyNumberFormat="1" applyFont="1" applyFill="1" applyBorder="1" applyAlignment="1">
      <alignment horizontal="right"/>
    </xf>
    <xf numFmtId="43" fontId="7" fillId="4" borderId="17" xfId="0" applyNumberFormat="1" applyFont="1" applyFill="1" applyBorder="1" applyAlignment="1">
      <alignment horizontal="right"/>
    </xf>
    <xf numFmtId="43" fontId="7" fillId="4" borderId="18" xfId="0" applyNumberFormat="1" applyFont="1" applyFill="1" applyBorder="1" applyAlignment="1">
      <alignment horizontal="right"/>
    </xf>
    <xf numFmtId="0" fontId="8" fillId="2" borderId="15" xfId="0" applyFont="1" applyFill="1" applyBorder="1"/>
    <xf numFmtId="43" fontId="8" fillId="2" borderId="15" xfId="0" applyNumberFormat="1" applyFont="1" applyFill="1" applyBorder="1"/>
    <xf numFmtId="43" fontId="8" fillId="2" borderId="15" xfId="1" applyFont="1" applyFill="1" applyBorder="1"/>
    <xf numFmtId="43" fontId="7" fillId="2" borderId="23" xfId="0" applyNumberFormat="1" applyFont="1" applyFill="1" applyBorder="1"/>
    <xf numFmtId="43" fontId="7" fillId="2" borderId="24" xfId="0" applyNumberFormat="1" applyFont="1" applyFill="1" applyBorder="1"/>
    <xf numFmtId="43" fontId="7" fillId="2" borderId="20" xfId="0" applyNumberFormat="1" applyFont="1" applyFill="1" applyBorder="1"/>
    <xf numFmtId="43" fontId="7" fillId="2" borderId="20" xfId="1" applyFont="1" applyFill="1" applyBorder="1"/>
    <xf numFmtId="43" fontId="7" fillId="2" borderId="21" xfId="0" applyNumberFormat="1" applyFont="1" applyFill="1" applyBorder="1"/>
    <xf numFmtId="0" fontId="8" fillId="2" borderId="17" xfId="0" applyFont="1" applyFill="1" applyBorder="1"/>
    <xf numFmtId="43" fontId="7" fillId="3" borderId="17" xfId="0" applyNumberFormat="1" applyFont="1" applyFill="1" applyBorder="1" applyAlignment="1">
      <alignment horizontal="right"/>
    </xf>
    <xf numFmtId="0" fontId="8" fillId="2" borderId="18" xfId="0" applyFont="1" applyFill="1" applyBorder="1"/>
    <xf numFmtId="43" fontId="7" fillId="4" borderId="19" xfId="0" applyNumberFormat="1" applyFont="1" applyFill="1" applyBorder="1" applyAlignment="1">
      <alignment horizontal="center" vertical="center" wrapText="1"/>
    </xf>
    <xf numFmtId="43" fontId="7" fillId="4" borderId="20" xfId="0" applyNumberFormat="1" applyFont="1" applyFill="1" applyBorder="1" applyAlignment="1">
      <alignment horizontal="center" vertical="center" wrapText="1"/>
    </xf>
    <xf numFmtId="43" fontId="7" fillId="4" borderId="21" xfId="0" applyNumberFormat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43" fontId="7" fillId="2" borderId="20" xfId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3" fontId="7" fillId="4" borderId="12" xfId="0" applyNumberFormat="1" applyFont="1" applyFill="1" applyBorder="1" applyAlignment="1">
      <alignment wrapText="1"/>
    </xf>
    <xf numFmtId="43" fontId="7" fillId="4" borderId="5" xfId="0" applyNumberFormat="1" applyFont="1" applyFill="1" applyBorder="1" applyAlignment="1">
      <alignment wrapText="1"/>
    </xf>
    <xf numFmtId="43" fontId="7" fillId="4" borderId="13" xfId="0" applyNumberFormat="1" applyFont="1" applyFill="1" applyBorder="1" applyAlignment="1">
      <alignment wrapText="1"/>
    </xf>
    <xf numFmtId="43" fontId="7" fillId="3" borderId="8" xfId="0" applyNumberFormat="1" applyFont="1" applyFill="1" applyBorder="1" applyAlignment="1">
      <alignment wrapText="1"/>
    </xf>
    <xf numFmtId="0" fontId="8" fillId="2" borderId="5" xfId="0" applyFont="1" applyFill="1" applyBorder="1"/>
    <xf numFmtId="0" fontId="8" fillId="2" borderId="13" xfId="0" applyFont="1" applyFill="1" applyBorder="1"/>
    <xf numFmtId="43" fontId="6" fillId="4" borderId="19" xfId="0" applyNumberFormat="1" applyFont="1" applyFill="1" applyBorder="1" applyAlignment="1">
      <alignment horizontal="center" vertical="center" wrapText="1"/>
    </xf>
    <xf numFmtId="43" fontId="6" fillId="4" borderId="20" xfId="0" applyNumberFormat="1" applyFont="1" applyFill="1" applyBorder="1" applyAlignment="1">
      <alignment horizontal="center" vertical="center" wrapText="1"/>
    </xf>
    <xf numFmtId="43" fontId="6" fillId="4" borderId="21" xfId="0" applyNumberFormat="1" applyFont="1" applyFill="1" applyBorder="1" applyAlignment="1">
      <alignment horizontal="center" vertical="center" wrapText="1"/>
    </xf>
    <xf numFmtId="43" fontId="6" fillId="2" borderId="20" xfId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wrapText="1"/>
    </xf>
    <xf numFmtId="43" fontId="7" fillId="0" borderId="15" xfId="0" applyNumberFormat="1" applyFont="1" applyBorder="1" applyAlignment="1">
      <alignment wrapText="1"/>
    </xf>
    <xf numFmtId="43" fontId="7" fillId="0" borderId="15" xfId="0" applyNumberFormat="1" applyFont="1" applyBorder="1" applyAlignment="1">
      <alignment horizontal="right"/>
    </xf>
    <xf numFmtId="0" fontId="7" fillId="0" borderId="14" xfId="0" applyFont="1" applyBorder="1"/>
    <xf numFmtId="0" fontId="7" fillId="0" borderId="0" xfId="0" applyFont="1" applyAlignment="1">
      <alignment vertical="center"/>
    </xf>
    <xf numFmtId="0" fontId="7" fillId="2" borderId="38" xfId="0" applyFont="1" applyFill="1" applyBorder="1" applyAlignment="1">
      <alignment horizontal="center" vertical="center" wrapText="1"/>
    </xf>
    <xf numFmtId="0" fontId="8" fillId="2" borderId="7" xfId="0" applyFont="1" applyFill="1" applyBorder="1"/>
    <xf numFmtId="0" fontId="8" fillId="2" borderId="3" xfId="0" applyFont="1" applyFill="1" applyBorder="1"/>
    <xf numFmtId="3" fontId="8" fillId="2" borderId="3" xfId="0" applyNumberFormat="1" applyFont="1" applyFill="1" applyBorder="1"/>
    <xf numFmtId="4" fontId="8" fillId="2" borderId="3" xfId="0" applyNumberFormat="1" applyFont="1" applyFill="1" applyBorder="1"/>
    <xf numFmtId="43" fontId="8" fillId="2" borderId="3" xfId="1" applyFont="1" applyFill="1" applyBorder="1"/>
    <xf numFmtId="43" fontId="8" fillId="2" borderId="3" xfId="0" applyNumberFormat="1" applyFont="1" applyFill="1" applyBorder="1"/>
    <xf numFmtId="0" fontId="8" fillId="2" borderId="6" xfId="0" applyFont="1" applyFill="1" applyBorder="1"/>
    <xf numFmtId="0" fontId="8" fillId="2" borderId="40" xfId="0" applyFont="1" applyFill="1" applyBorder="1"/>
    <xf numFmtId="43" fontId="7" fillId="2" borderId="38" xfId="0" applyNumberFormat="1" applyFont="1" applyFill="1" applyBorder="1"/>
    <xf numFmtId="0" fontId="7" fillId="2" borderId="21" xfId="0" applyFont="1" applyFill="1" applyBorder="1" applyAlignment="1">
      <alignment horizontal="center" vertical="center" wrapText="1"/>
    </xf>
    <xf numFmtId="15" fontId="7" fillId="5" borderId="14" xfId="0" applyNumberFormat="1" applyFont="1" applyFill="1" applyBorder="1"/>
    <xf numFmtId="0" fontId="7" fillId="5" borderId="2" xfId="0" applyFont="1" applyFill="1" applyBorder="1" applyAlignment="1">
      <alignment wrapText="1"/>
    </xf>
    <xf numFmtId="0" fontId="7" fillId="5" borderId="15" xfId="0" applyFont="1" applyFill="1" applyBorder="1" applyAlignment="1">
      <alignment wrapText="1"/>
    </xf>
    <xf numFmtId="0" fontId="7" fillId="5" borderId="2" xfId="0" applyFont="1" applyFill="1" applyBorder="1"/>
    <xf numFmtId="0" fontId="7" fillId="5" borderId="15" xfId="0" applyFont="1" applyFill="1" applyBorder="1"/>
    <xf numFmtId="0" fontId="7" fillId="5" borderId="16" xfId="0" applyFont="1" applyFill="1" applyBorder="1"/>
    <xf numFmtId="0" fontId="7" fillId="5" borderId="17" xfId="0" applyFont="1" applyFill="1" applyBorder="1" applyAlignment="1">
      <alignment wrapText="1"/>
    </xf>
    <xf numFmtId="0" fontId="7" fillId="5" borderId="18" xfId="0" applyFont="1" applyFill="1" applyBorder="1" applyAlignment="1">
      <alignment wrapText="1"/>
    </xf>
    <xf numFmtId="0" fontId="7" fillId="0" borderId="43" xfId="0" applyFont="1" applyBorder="1" applyAlignment="1">
      <alignment wrapText="1"/>
    </xf>
    <xf numFmtId="43" fontId="7" fillId="0" borderId="1" xfId="0" applyNumberFormat="1" applyFont="1" applyBorder="1" applyAlignment="1">
      <alignment horizontal="right"/>
    </xf>
    <xf numFmtId="43" fontId="7" fillId="0" borderId="22" xfId="0" applyNumberFormat="1" applyFont="1" applyBorder="1" applyAlignment="1">
      <alignment horizontal="right"/>
    </xf>
    <xf numFmtId="43" fontId="7" fillId="0" borderId="28" xfId="0" applyNumberFormat="1" applyFont="1" applyBorder="1"/>
    <xf numFmtId="43" fontId="7" fillId="0" borderId="29" xfId="0" applyNumberFormat="1" applyFont="1" applyBorder="1"/>
    <xf numFmtId="43" fontId="7" fillId="0" borderId="30" xfId="0" applyNumberFormat="1" applyFont="1" applyBorder="1"/>
    <xf numFmtId="0" fontId="7" fillId="6" borderId="2" xfId="0" applyFont="1" applyFill="1" applyBorder="1" applyAlignment="1">
      <alignment wrapText="1"/>
    </xf>
    <xf numFmtId="0" fontId="7" fillId="6" borderId="2" xfId="0" applyFont="1" applyFill="1" applyBorder="1"/>
    <xf numFmtId="0" fontId="7" fillId="6" borderId="17" xfId="0" applyFont="1" applyFill="1" applyBorder="1" applyAlignment="1">
      <alignment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left" vertical="center" wrapText="1"/>
    </xf>
    <xf numFmtId="164" fontId="6" fillId="5" borderId="12" xfId="0" applyNumberFormat="1" applyFont="1" applyFill="1" applyBorder="1" applyAlignment="1">
      <alignment horizontal="center" vertical="center" wrapText="1"/>
    </xf>
    <xf numFmtId="164" fontId="6" fillId="5" borderId="5" xfId="0" applyNumberFormat="1" applyFont="1" applyFill="1" applyBorder="1" applyAlignment="1">
      <alignment horizontal="center" vertical="center" wrapText="1"/>
    </xf>
    <xf numFmtId="164" fontId="6" fillId="5" borderId="13" xfId="0" applyNumberFormat="1" applyFont="1" applyFill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164" fontId="6" fillId="4" borderId="19" xfId="0" applyNumberFormat="1" applyFont="1" applyFill="1" applyBorder="1" applyAlignment="1">
      <alignment horizontal="center" vertical="center" wrapText="1"/>
    </xf>
    <xf numFmtId="164" fontId="6" fillId="4" borderId="20" xfId="0" applyNumberFormat="1" applyFont="1" applyFill="1" applyBorder="1" applyAlignment="1">
      <alignment horizontal="center" vertical="center" wrapText="1"/>
    </xf>
    <xf numFmtId="164" fontId="6" fillId="4" borderId="21" xfId="0" applyNumberFormat="1" applyFont="1" applyFill="1" applyBorder="1" applyAlignment="1">
      <alignment horizontal="center" vertical="center" wrapText="1"/>
    </xf>
    <xf numFmtId="164" fontId="6" fillId="2" borderId="24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164" fontId="6" fillId="2" borderId="20" xfId="1" applyNumberFormat="1" applyFont="1" applyFill="1" applyBorder="1" applyAlignment="1">
      <alignment horizontal="center" vertical="center" wrapText="1"/>
    </xf>
    <xf numFmtId="164" fontId="6" fillId="2" borderId="38" xfId="0" applyNumberFormat="1" applyFont="1" applyFill="1" applyBorder="1" applyAlignment="1">
      <alignment horizontal="center" vertical="center" wrapText="1"/>
    </xf>
    <xf numFmtId="164" fontId="6" fillId="2" borderId="2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64" fontId="6" fillId="4" borderId="44" xfId="0" applyNumberFormat="1" applyFont="1" applyFill="1" applyBorder="1" applyAlignment="1">
      <alignment horizontal="center" vertical="center" wrapText="1"/>
    </xf>
    <xf numFmtId="164" fontId="6" fillId="4" borderId="45" xfId="0" applyNumberFormat="1" applyFont="1" applyFill="1" applyBorder="1" applyAlignment="1">
      <alignment horizontal="center" vertical="center" wrapText="1"/>
    </xf>
    <xf numFmtId="164" fontId="6" fillId="4" borderId="46" xfId="0" applyNumberFormat="1" applyFont="1" applyFill="1" applyBorder="1" applyAlignment="1">
      <alignment horizontal="center" vertical="center" wrapText="1"/>
    </xf>
    <xf numFmtId="164" fontId="6" fillId="2" borderId="47" xfId="0" applyNumberFormat="1" applyFont="1" applyFill="1" applyBorder="1" applyAlignment="1">
      <alignment horizontal="center" vertical="center" wrapText="1"/>
    </xf>
    <xf numFmtId="164" fontId="6" fillId="2" borderId="45" xfId="0" applyNumberFormat="1" applyFont="1" applyFill="1" applyBorder="1" applyAlignment="1">
      <alignment horizontal="center" vertical="center" wrapText="1"/>
    </xf>
    <xf numFmtId="164" fontId="6" fillId="2" borderId="45" xfId="1" applyNumberFormat="1" applyFont="1" applyFill="1" applyBorder="1" applyAlignment="1">
      <alignment horizontal="center" vertical="center" wrapText="1"/>
    </xf>
    <xf numFmtId="164" fontId="6" fillId="2" borderId="48" xfId="0" applyNumberFormat="1" applyFont="1" applyFill="1" applyBorder="1" applyAlignment="1">
      <alignment horizontal="center" vertical="center" wrapText="1"/>
    </xf>
    <xf numFmtId="164" fontId="6" fillId="2" borderId="46" xfId="0" applyNumberFormat="1" applyFont="1" applyFill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165" fontId="6" fillId="5" borderId="12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5" borderId="5" xfId="0" applyNumberFormat="1" applyFont="1" applyFill="1" applyBorder="1" applyAlignment="1">
      <alignment horizontal="center" vertical="center" wrapText="1"/>
    </xf>
    <xf numFmtId="165" fontId="7" fillId="0" borderId="0" xfId="0" applyNumberFormat="1" applyFont="1"/>
    <xf numFmtId="165" fontId="7" fillId="0" borderId="0" xfId="0" applyNumberFormat="1" applyFont="1" applyAlignment="1">
      <alignment vertical="center"/>
    </xf>
    <xf numFmtId="165" fontId="7" fillId="5" borderId="14" xfId="0" applyNumberFormat="1" applyFont="1" applyFill="1" applyBorder="1"/>
    <xf numFmtId="165" fontId="7" fillId="5" borderId="16" xfId="0" applyNumberFormat="1" applyFont="1" applyFill="1" applyBorder="1"/>
    <xf numFmtId="165" fontId="8" fillId="0" borderId="0" xfId="0" applyNumberFormat="1" applyFont="1"/>
    <xf numFmtId="3" fontId="8" fillId="0" borderId="0" xfId="0" applyNumberFormat="1" applyFont="1"/>
    <xf numFmtId="0" fontId="6" fillId="0" borderId="0" xfId="0" applyFont="1"/>
    <xf numFmtId="43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15" fontId="7" fillId="5" borderId="12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43" fontId="7" fillId="0" borderId="5" xfId="0" applyNumberFormat="1" applyFont="1" applyBorder="1" applyAlignment="1">
      <alignment horizontal="center" vertical="center" wrapText="1"/>
    </xf>
    <xf numFmtId="43" fontId="7" fillId="0" borderId="13" xfId="0" applyNumberFormat="1" applyFont="1" applyBorder="1" applyAlignment="1">
      <alignment horizontal="center" vertical="center" wrapText="1"/>
    </xf>
    <xf numFmtId="43" fontId="7" fillId="2" borderId="24" xfId="0" applyNumberFormat="1" applyFont="1" applyFill="1" applyBorder="1" applyAlignment="1">
      <alignment horizontal="center" vertical="center" wrapText="1"/>
    </xf>
    <xf numFmtId="43" fontId="7" fillId="2" borderId="20" xfId="0" applyNumberFormat="1" applyFont="1" applyFill="1" applyBorder="1" applyAlignment="1">
      <alignment horizontal="center" vertical="center" wrapText="1"/>
    </xf>
    <xf numFmtId="43" fontId="7" fillId="2" borderId="38" xfId="0" applyNumberFormat="1" applyFont="1" applyFill="1" applyBorder="1" applyAlignment="1">
      <alignment horizontal="center" vertical="center" wrapText="1"/>
    </xf>
    <xf numFmtId="43" fontId="7" fillId="2" borderId="2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43" fontId="8" fillId="4" borderId="19" xfId="0" applyNumberFormat="1" applyFont="1" applyFill="1" applyBorder="1" applyAlignment="1">
      <alignment horizontal="center" vertical="center" wrapText="1"/>
    </xf>
    <xf numFmtId="43" fontId="8" fillId="4" borderId="20" xfId="0" applyNumberFormat="1" applyFont="1" applyFill="1" applyBorder="1" applyAlignment="1">
      <alignment horizontal="center" vertical="center" wrapText="1"/>
    </xf>
    <xf numFmtId="43" fontId="8" fillId="4" borderId="21" xfId="0" applyNumberFormat="1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43" fontId="8" fillId="2" borderId="20" xfId="1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164" fontId="9" fillId="5" borderId="12" xfId="0" applyNumberFormat="1" applyFont="1" applyFill="1" applyBorder="1" applyAlignment="1">
      <alignment horizontal="center" vertical="center" wrapText="1"/>
    </xf>
    <xf numFmtId="164" fontId="9" fillId="5" borderId="5" xfId="0" applyNumberFormat="1" applyFont="1" applyFill="1" applyBorder="1" applyAlignment="1">
      <alignment horizontal="center" vertical="center" wrapText="1"/>
    </xf>
    <xf numFmtId="164" fontId="9" fillId="6" borderId="5" xfId="0" applyNumberFormat="1" applyFont="1" applyFill="1" applyBorder="1" applyAlignment="1">
      <alignment horizontal="center" vertical="center" wrapText="1"/>
    </xf>
    <xf numFmtId="164" fontId="9" fillId="5" borderId="13" xfId="0" applyNumberFormat="1" applyFont="1" applyFill="1" applyBorder="1" applyAlignment="1">
      <alignment horizontal="center" vertical="center" wrapText="1"/>
    </xf>
    <xf numFmtId="166" fontId="9" fillId="0" borderId="12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164" fontId="9" fillId="4" borderId="19" xfId="0" applyNumberFormat="1" applyFont="1" applyFill="1" applyBorder="1" applyAlignment="1">
      <alignment horizontal="center" vertical="center" wrapText="1"/>
    </xf>
    <xf numFmtId="164" fontId="9" fillId="4" borderId="20" xfId="0" applyNumberFormat="1" applyFont="1" applyFill="1" applyBorder="1" applyAlignment="1">
      <alignment horizontal="center" vertical="center" wrapText="1"/>
    </xf>
    <xf numFmtId="164" fontId="9" fillId="4" borderId="21" xfId="0" applyNumberFormat="1" applyFont="1" applyFill="1" applyBorder="1" applyAlignment="1">
      <alignment horizontal="center" vertical="center" wrapText="1"/>
    </xf>
    <xf numFmtId="164" fontId="9" fillId="2" borderId="24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164" fontId="9" fillId="2" borderId="20" xfId="1" applyNumberFormat="1" applyFont="1" applyFill="1" applyBorder="1" applyAlignment="1">
      <alignment horizontal="center" vertical="center" wrapText="1"/>
    </xf>
    <xf numFmtId="164" fontId="9" fillId="2" borderId="38" xfId="0" applyNumberFormat="1" applyFont="1" applyFill="1" applyBorder="1" applyAlignment="1">
      <alignment horizontal="center" vertical="center" wrapText="1"/>
    </xf>
    <xf numFmtId="164" fontId="9" fillId="2" borderId="21" xfId="0" applyNumberFormat="1" applyFont="1" applyFill="1" applyBorder="1" applyAlignment="1">
      <alignment horizontal="center" vertical="center" wrapText="1"/>
    </xf>
    <xf numFmtId="43" fontId="9" fillId="0" borderId="12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43" fontId="8" fillId="0" borderId="15" xfId="0" applyNumberFormat="1" applyFont="1" applyBorder="1" applyAlignment="1">
      <alignment wrapText="1"/>
    </xf>
    <xf numFmtId="164" fontId="9" fillId="4" borderId="44" xfId="0" applyNumberFormat="1" applyFont="1" applyFill="1" applyBorder="1" applyAlignment="1">
      <alignment horizontal="center" vertical="center" wrapText="1"/>
    </xf>
    <xf numFmtId="164" fontId="9" fillId="4" borderId="45" xfId="0" applyNumberFormat="1" applyFont="1" applyFill="1" applyBorder="1" applyAlignment="1">
      <alignment horizontal="center" vertical="center" wrapText="1"/>
    </xf>
    <xf numFmtId="164" fontId="9" fillId="4" borderId="46" xfId="0" applyNumberFormat="1" applyFont="1" applyFill="1" applyBorder="1" applyAlignment="1">
      <alignment horizontal="center" vertical="center" wrapText="1"/>
    </xf>
    <xf numFmtId="164" fontId="9" fillId="2" borderId="47" xfId="0" applyNumberFormat="1" applyFont="1" applyFill="1" applyBorder="1" applyAlignment="1">
      <alignment horizontal="center" vertical="center" wrapText="1"/>
    </xf>
    <xf numFmtId="164" fontId="9" fillId="2" borderId="45" xfId="0" applyNumberFormat="1" applyFont="1" applyFill="1" applyBorder="1" applyAlignment="1">
      <alignment horizontal="center" vertical="center" wrapText="1"/>
    </xf>
    <xf numFmtId="164" fontId="9" fillId="2" borderId="45" xfId="1" applyNumberFormat="1" applyFont="1" applyFill="1" applyBorder="1" applyAlignment="1">
      <alignment horizontal="center" vertical="center" wrapText="1"/>
    </xf>
    <xf numFmtId="164" fontId="9" fillId="2" borderId="48" xfId="0" applyNumberFormat="1" applyFont="1" applyFill="1" applyBorder="1" applyAlignment="1">
      <alignment horizontal="center" vertical="center" wrapText="1"/>
    </xf>
    <xf numFmtId="164" fontId="9" fillId="2" borderId="46" xfId="0" applyNumberFormat="1" applyFont="1" applyFill="1" applyBorder="1" applyAlignment="1">
      <alignment horizontal="center" vertical="center" wrapText="1"/>
    </xf>
    <xf numFmtId="15" fontId="8" fillId="5" borderId="14" xfId="0" applyNumberFormat="1" applyFont="1" applyFill="1" applyBorder="1"/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wrapText="1"/>
    </xf>
    <xf numFmtId="0" fontId="8" fillId="6" borderId="5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 wrapText="1"/>
    </xf>
    <xf numFmtId="43" fontId="8" fillId="0" borderId="14" xfId="0" applyNumberFormat="1" applyFont="1" applyBorder="1" applyAlignment="1">
      <alignment wrapText="1"/>
    </xf>
    <xf numFmtId="3" fontId="8" fillId="0" borderId="14" xfId="0" applyNumberFormat="1" applyFont="1" applyBorder="1" applyAlignment="1">
      <alignment wrapText="1"/>
    </xf>
    <xf numFmtId="43" fontId="8" fillId="0" borderId="15" xfId="0" applyNumberFormat="1" applyFont="1" applyBorder="1" applyAlignment="1">
      <alignment horizontal="right"/>
    </xf>
    <xf numFmtId="43" fontId="8" fillId="4" borderId="12" xfId="0" applyNumberFormat="1" applyFont="1" applyFill="1" applyBorder="1" applyAlignment="1">
      <alignment wrapText="1"/>
    </xf>
    <xf numFmtId="43" fontId="8" fillId="4" borderId="5" xfId="0" applyNumberFormat="1" applyFont="1" applyFill="1" applyBorder="1" applyAlignment="1">
      <alignment wrapText="1"/>
    </xf>
    <xf numFmtId="43" fontId="8" fillId="4" borderId="13" xfId="0" applyNumberFormat="1" applyFont="1" applyFill="1" applyBorder="1" applyAlignment="1">
      <alignment wrapText="1"/>
    </xf>
    <xf numFmtId="43" fontId="8" fillId="3" borderId="8" xfId="0" applyNumberFormat="1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43" fontId="8" fillId="4" borderId="14" xfId="0" applyNumberFormat="1" applyFont="1" applyFill="1" applyBorder="1" applyAlignment="1">
      <alignment horizontal="right"/>
    </xf>
    <xf numFmtId="43" fontId="8" fillId="4" borderId="2" xfId="0" applyNumberFormat="1" applyFont="1" applyFill="1" applyBorder="1" applyAlignment="1">
      <alignment horizontal="right"/>
    </xf>
    <xf numFmtId="43" fontId="8" fillId="4" borderId="15" xfId="0" applyNumberFormat="1" applyFont="1" applyFill="1" applyBorder="1" applyAlignment="1">
      <alignment horizontal="right"/>
    </xf>
    <xf numFmtId="43" fontId="8" fillId="2" borderId="4" xfId="0" applyNumberFormat="1" applyFont="1" applyFill="1" applyBorder="1"/>
    <xf numFmtId="43" fontId="8" fillId="3" borderId="2" xfId="0" applyNumberFormat="1" applyFont="1" applyFill="1" applyBorder="1" applyAlignment="1">
      <alignment horizontal="right"/>
    </xf>
    <xf numFmtId="0" fontId="8" fillId="5" borderId="15" xfId="0" applyFont="1" applyFill="1" applyBorder="1" applyAlignment="1">
      <alignment wrapText="1"/>
    </xf>
    <xf numFmtId="43" fontId="8" fillId="0" borderId="2" xfId="1" applyFont="1" applyFill="1" applyBorder="1" applyAlignment="1">
      <alignment horizontal="right"/>
    </xf>
    <xf numFmtId="43" fontId="8" fillId="4" borderId="14" xfId="1" applyFont="1" applyFill="1" applyBorder="1" applyAlignment="1">
      <alignment horizontal="right"/>
    </xf>
    <xf numFmtId="43" fontId="8" fillId="4" borderId="2" xfId="1" applyFont="1" applyFill="1" applyBorder="1" applyAlignment="1">
      <alignment horizontal="right"/>
    </xf>
    <xf numFmtId="43" fontId="8" fillId="4" borderId="15" xfId="1" applyFont="1" applyFill="1" applyBorder="1" applyAlignment="1">
      <alignment horizontal="right"/>
    </xf>
    <xf numFmtId="43" fontId="8" fillId="0" borderId="2" xfId="0" applyNumberFormat="1" applyFont="1" applyBorder="1" applyAlignment="1">
      <alignment horizontal="right"/>
    </xf>
    <xf numFmtId="43" fontId="8" fillId="3" borderId="4" xfId="1" applyFont="1" applyFill="1" applyBorder="1" applyAlignment="1">
      <alignment horizontal="right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wrapText="1"/>
    </xf>
    <xf numFmtId="43" fontId="8" fillId="3" borderId="4" xfId="0" applyNumberFormat="1" applyFont="1" applyFill="1" applyBorder="1" applyAlignment="1">
      <alignment wrapText="1"/>
    </xf>
    <xf numFmtId="0" fontId="8" fillId="2" borderId="4" xfId="0" applyFont="1" applyFill="1" applyBorder="1" applyAlignment="1">
      <alignment horizontal="left" wrapText="1"/>
    </xf>
    <xf numFmtId="43" fontId="8" fillId="3" borderId="4" xfId="0" applyNumberFormat="1" applyFont="1" applyFill="1" applyBorder="1" applyAlignment="1">
      <alignment horizontal="center" wrapText="1"/>
    </xf>
    <xf numFmtId="43" fontId="8" fillId="3" borderId="4" xfId="0" applyNumberFormat="1" applyFont="1" applyFill="1" applyBorder="1" applyAlignment="1">
      <alignment horizontal="center" wrapText="1" shrinkToFit="1"/>
    </xf>
    <xf numFmtId="43" fontId="8" fillId="3" borderId="4" xfId="0" applyNumberFormat="1" applyFont="1" applyFill="1" applyBorder="1" applyAlignment="1">
      <alignment horizontal="left" wrapText="1"/>
    </xf>
    <xf numFmtId="43" fontId="8" fillId="2" borderId="4" xfId="0" applyNumberFormat="1" applyFont="1" applyFill="1" applyBorder="1" applyAlignment="1">
      <alignment horizontal="center" wrapText="1"/>
    </xf>
    <xf numFmtId="0" fontId="8" fillId="5" borderId="2" xfId="0" applyFont="1" applyFill="1" applyBorder="1"/>
    <xf numFmtId="0" fontId="8" fillId="6" borderId="2" xfId="0" applyFont="1" applyFill="1" applyBorder="1"/>
    <xf numFmtId="0" fontId="8" fillId="5" borderId="15" xfId="0" applyFont="1" applyFill="1" applyBorder="1"/>
    <xf numFmtId="43" fontId="8" fillId="0" borderId="14" xfId="0" applyNumberFormat="1" applyFont="1" applyBorder="1"/>
    <xf numFmtId="0" fontId="8" fillId="2" borderId="4" xfId="0" applyFont="1" applyFill="1" applyBorder="1"/>
    <xf numFmtId="43" fontId="8" fillId="0" borderId="43" xfId="0" applyNumberFormat="1" applyFont="1" applyBorder="1" applyAlignment="1">
      <alignment wrapText="1"/>
    </xf>
    <xf numFmtId="43" fontId="8" fillId="0" borderId="1" xfId="0" applyNumberFormat="1" applyFont="1" applyBorder="1" applyAlignment="1">
      <alignment horizontal="right"/>
    </xf>
    <xf numFmtId="43" fontId="8" fillId="4" borderId="16" xfId="0" applyNumberFormat="1" applyFont="1" applyFill="1" applyBorder="1" applyAlignment="1">
      <alignment horizontal="right"/>
    </xf>
    <xf numFmtId="43" fontId="8" fillId="4" borderId="17" xfId="0" applyNumberFormat="1" applyFont="1" applyFill="1" applyBorder="1" applyAlignment="1">
      <alignment horizontal="right"/>
    </xf>
    <xf numFmtId="43" fontId="8" fillId="4" borderId="18" xfId="0" applyNumberFormat="1" applyFont="1" applyFill="1" applyBorder="1" applyAlignment="1">
      <alignment horizontal="right"/>
    </xf>
    <xf numFmtId="43" fontId="8" fillId="2" borderId="23" xfId="0" applyNumberFormat="1" applyFont="1" applyFill="1" applyBorder="1"/>
    <xf numFmtId="43" fontId="8" fillId="3" borderId="17" xfId="0" applyNumberFormat="1" applyFont="1" applyFill="1" applyBorder="1" applyAlignment="1">
      <alignment horizontal="right"/>
    </xf>
    <xf numFmtId="0" fontId="8" fillId="5" borderId="16" xfId="0" applyFont="1" applyFill="1" applyBorder="1"/>
    <xf numFmtId="0" fontId="8" fillId="5" borderId="17" xfId="0" applyFont="1" applyFill="1" applyBorder="1" applyAlignment="1">
      <alignment wrapText="1"/>
    </xf>
    <xf numFmtId="0" fontId="8" fillId="6" borderId="17" xfId="0" applyFont="1" applyFill="1" applyBorder="1" applyAlignment="1">
      <alignment wrapText="1"/>
    </xf>
    <xf numFmtId="0" fontId="8" fillId="5" borderId="18" xfId="0" applyFont="1" applyFill="1" applyBorder="1" applyAlignment="1">
      <alignment wrapText="1"/>
    </xf>
    <xf numFmtId="43" fontId="8" fillId="0" borderId="28" xfId="0" applyNumberFormat="1" applyFont="1" applyBorder="1"/>
    <xf numFmtId="43" fontId="8" fillId="0" borderId="29" xfId="0" applyNumberFormat="1" applyFont="1" applyBorder="1"/>
    <xf numFmtId="43" fontId="8" fillId="0" borderId="30" xfId="0" applyNumberFormat="1" applyFont="1" applyBorder="1"/>
    <xf numFmtId="43" fontId="8" fillId="4" borderId="19" xfId="0" applyNumberFormat="1" applyFont="1" applyFill="1" applyBorder="1"/>
    <xf numFmtId="43" fontId="8" fillId="4" borderId="20" xfId="0" applyNumberFormat="1" applyFont="1" applyFill="1" applyBorder="1"/>
    <xf numFmtId="43" fontId="8" fillId="4" borderId="21" xfId="0" applyNumberFormat="1" applyFont="1" applyFill="1" applyBorder="1"/>
    <xf numFmtId="43" fontId="8" fillId="2" borderId="24" xfId="0" applyNumberFormat="1" applyFont="1" applyFill="1" applyBorder="1"/>
    <xf numFmtId="43" fontId="8" fillId="2" borderId="20" xfId="0" applyNumberFormat="1" applyFont="1" applyFill="1" applyBorder="1"/>
    <xf numFmtId="164" fontId="7" fillId="5" borderId="1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5" borderId="15" xfId="0" applyFont="1" applyFill="1" applyBorder="1" applyAlignment="1">
      <alignment horizontal="center" wrapText="1"/>
    </xf>
    <xf numFmtId="0" fontId="7" fillId="5" borderId="18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44" fontId="7" fillId="5" borderId="5" xfId="0" applyNumberFormat="1" applyFont="1" applyFill="1" applyBorder="1" applyAlignment="1">
      <alignment horizontal="center" vertical="center" wrapText="1"/>
    </xf>
    <xf numFmtId="167" fontId="7" fillId="0" borderId="0" xfId="0" applyNumberFormat="1" applyFont="1"/>
    <xf numFmtId="4" fontId="8" fillId="0" borderId="14" xfId="0" applyNumberFormat="1" applyFont="1" applyBorder="1" applyAlignment="1">
      <alignment horizontal="right" wrapText="1"/>
    </xf>
    <xf numFmtId="0" fontId="10" fillId="0" borderId="0" xfId="0" applyFont="1" applyAlignment="1">
      <alignment vertical="center"/>
    </xf>
    <xf numFmtId="0" fontId="7" fillId="5" borderId="2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5" borderId="17" xfId="0" applyFont="1" applyFill="1" applyBorder="1" applyAlignment="1">
      <alignment horizontal="center" wrapText="1"/>
    </xf>
    <xf numFmtId="43" fontId="11" fillId="0" borderId="30" xfId="0" applyNumberFormat="1" applyFont="1" applyBorder="1"/>
    <xf numFmtId="43" fontId="12" fillId="0" borderId="28" xfId="0" applyNumberFormat="1" applyFont="1" applyBorder="1"/>
    <xf numFmtId="43" fontId="12" fillId="0" borderId="29" xfId="0" applyNumberFormat="1" applyFont="1" applyBorder="1"/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43" fontId="8" fillId="4" borderId="9" xfId="0" applyNumberFormat="1" applyFont="1" applyFill="1" applyBorder="1" applyAlignment="1">
      <alignment horizontal="center" vertical="center" wrapText="1"/>
    </xf>
    <xf numFmtId="43" fontId="8" fillId="4" borderId="10" xfId="0" applyNumberFormat="1" applyFont="1" applyFill="1" applyBorder="1" applyAlignment="1">
      <alignment horizontal="center" vertical="center" wrapText="1"/>
    </xf>
    <xf numFmtId="43" fontId="8" fillId="4" borderId="11" xfId="0" applyNumberFormat="1" applyFont="1" applyFill="1" applyBorder="1" applyAlignment="1">
      <alignment horizontal="center" vertical="center" wrapText="1"/>
    </xf>
    <xf numFmtId="43" fontId="8" fillId="4" borderId="25" xfId="0" applyNumberFormat="1" applyFont="1" applyFill="1" applyBorder="1" applyAlignment="1">
      <alignment horizontal="center" vertical="center" wrapText="1"/>
    </xf>
    <xf numFmtId="43" fontId="8" fillId="4" borderId="26" xfId="0" applyNumberFormat="1" applyFont="1" applyFill="1" applyBorder="1" applyAlignment="1">
      <alignment horizontal="center" vertical="center" wrapText="1"/>
    </xf>
    <xf numFmtId="43" fontId="8" fillId="4" borderId="27" xfId="0" applyNumberFormat="1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43" fontId="9" fillId="0" borderId="36" xfId="0" applyNumberFormat="1" applyFont="1" applyBorder="1" applyAlignment="1">
      <alignment horizontal="center" vertical="center" wrapText="1"/>
    </xf>
    <xf numFmtId="43" fontId="9" fillId="0" borderId="19" xfId="0" applyNumberFormat="1" applyFont="1" applyBorder="1" applyAlignment="1">
      <alignment horizontal="center" vertical="center" wrapText="1"/>
    </xf>
    <xf numFmtId="43" fontId="9" fillId="0" borderId="34" xfId="0" applyNumberFormat="1" applyFont="1" applyBorder="1" applyAlignment="1">
      <alignment horizontal="center" vertical="center" wrapText="1"/>
    </xf>
    <xf numFmtId="43" fontId="9" fillId="0" borderId="35" xfId="0" applyNumberFormat="1" applyFont="1" applyBorder="1" applyAlignment="1">
      <alignment horizontal="center" vertical="center" wrapText="1"/>
    </xf>
    <xf numFmtId="43" fontId="9" fillId="2" borderId="28" xfId="1" applyFont="1" applyFill="1" applyBorder="1" applyAlignment="1">
      <alignment horizontal="center" vertical="center" wrapText="1"/>
    </xf>
    <xf numFmtId="43" fontId="9" fillId="2" borderId="29" xfId="1" applyFont="1" applyFill="1" applyBorder="1" applyAlignment="1">
      <alignment horizontal="center" vertical="center" wrapText="1"/>
    </xf>
    <xf numFmtId="43" fontId="9" fillId="2" borderId="30" xfId="1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43" fontId="8" fillId="2" borderId="31" xfId="1" applyFont="1" applyFill="1" applyBorder="1" applyAlignment="1">
      <alignment horizontal="center" vertical="center" wrapText="1"/>
    </xf>
    <xf numFmtId="43" fontId="8" fillId="2" borderId="32" xfId="1" applyFont="1" applyFill="1" applyBorder="1" applyAlignment="1">
      <alignment horizontal="center" vertical="center" wrapText="1"/>
    </xf>
    <xf numFmtId="43" fontId="8" fillId="2" borderId="33" xfId="1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43" fontId="9" fillId="0" borderId="37" xfId="0" applyNumberFormat="1" applyFont="1" applyBorder="1" applyAlignment="1">
      <alignment horizontal="center" vertical="center" wrapText="1"/>
    </xf>
    <xf numFmtId="43" fontId="9" fillId="0" borderId="38" xfId="0" applyNumberFormat="1" applyFont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43" fontId="6" fillId="0" borderId="34" xfId="0" applyNumberFormat="1" applyFont="1" applyBorder="1" applyAlignment="1">
      <alignment horizontal="center" vertical="center" wrapText="1"/>
    </xf>
    <xf numFmtId="43" fontId="6" fillId="0" borderId="35" xfId="0" applyNumberFormat="1" applyFont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43" fontId="6" fillId="0" borderId="37" xfId="0" applyNumberFormat="1" applyFont="1" applyBorder="1" applyAlignment="1">
      <alignment horizontal="center" vertical="center" wrapText="1"/>
    </xf>
    <xf numFmtId="43" fontId="6" fillId="0" borderId="38" xfId="0" applyNumberFormat="1" applyFont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43" fontId="6" fillId="2" borderId="29" xfId="1" applyFont="1" applyFill="1" applyBorder="1" applyAlignment="1">
      <alignment horizontal="center" vertical="center" wrapText="1"/>
    </xf>
    <xf numFmtId="43" fontId="6" fillId="2" borderId="30" xfId="1" applyFont="1" applyFill="1" applyBorder="1" applyAlignment="1">
      <alignment horizontal="center" vertical="center" wrapText="1"/>
    </xf>
    <xf numFmtId="43" fontId="7" fillId="2" borderId="31" xfId="1" applyFont="1" applyFill="1" applyBorder="1" applyAlignment="1">
      <alignment horizontal="center" vertical="center" wrapText="1"/>
    </xf>
    <xf numFmtId="43" fontId="7" fillId="2" borderId="32" xfId="1" applyFont="1" applyFill="1" applyBorder="1" applyAlignment="1">
      <alignment horizontal="center" vertical="center" wrapText="1"/>
    </xf>
    <xf numFmtId="43" fontId="7" fillId="2" borderId="33" xfId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43" fontId="7" fillId="4" borderId="9" xfId="0" applyNumberFormat="1" applyFont="1" applyFill="1" applyBorder="1" applyAlignment="1">
      <alignment horizontal="center" vertical="center" wrapText="1"/>
    </xf>
    <xf numFmtId="43" fontId="7" fillId="4" borderId="10" xfId="0" applyNumberFormat="1" applyFont="1" applyFill="1" applyBorder="1" applyAlignment="1">
      <alignment horizontal="center" vertical="center" wrapText="1"/>
    </xf>
    <xf numFmtId="43" fontId="7" fillId="4" borderId="11" xfId="0" applyNumberFormat="1" applyFont="1" applyFill="1" applyBorder="1" applyAlignment="1">
      <alignment horizontal="center" vertical="center" wrapText="1"/>
    </xf>
    <xf numFmtId="43" fontId="7" fillId="4" borderId="25" xfId="0" applyNumberFormat="1" applyFont="1" applyFill="1" applyBorder="1" applyAlignment="1">
      <alignment horizontal="center" vertical="center" wrapText="1"/>
    </xf>
    <xf numFmtId="43" fontId="7" fillId="4" borderId="26" xfId="0" applyNumberFormat="1" applyFont="1" applyFill="1" applyBorder="1" applyAlignment="1">
      <alignment horizontal="center" vertical="center" wrapText="1"/>
    </xf>
    <xf numFmtId="43" fontId="7" fillId="4" borderId="27" xfId="0" applyNumberFormat="1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6" fillId="5" borderId="36" xfId="0" applyNumberFormat="1" applyFont="1" applyFill="1" applyBorder="1" applyAlignment="1">
      <alignment horizontal="center" vertical="center" wrapText="1"/>
    </xf>
    <xf numFmtId="165" fontId="6" fillId="5" borderId="19" xfId="0" applyNumberFormat="1" applyFont="1" applyFill="1" applyBorder="1" applyAlignment="1">
      <alignment horizontal="center" vertical="center" wrapText="1"/>
    </xf>
    <xf numFmtId="43" fontId="6" fillId="2" borderId="31" xfId="1" applyFont="1" applyFill="1" applyBorder="1" applyAlignment="1">
      <alignment horizontal="center" vertical="center" wrapText="1"/>
    </xf>
    <xf numFmtId="43" fontId="6" fillId="2" borderId="32" xfId="1" applyFont="1" applyFill="1" applyBorder="1" applyAlignment="1">
      <alignment horizontal="center" vertical="center" wrapText="1"/>
    </xf>
    <xf numFmtId="43" fontId="6" fillId="2" borderId="33" xfId="1" applyFont="1" applyFill="1" applyBorder="1" applyAlignment="1">
      <alignment horizontal="center" vertical="center" wrapText="1"/>
    </xf>
    <xf numFmtId="43" fontId="6" fillId="4" borderId="9" xfId="0" applyNumberFormat="1" applyFont="1" applyFill="1" applyBorder="1" applyAlignment="1">
      <alignment horizontal="center" vertical="center" wrapText="1"/>
    </xf>
    <xf numFmtId="43" fontId="6" fillId="4" borderId="10" xfId="0" applyNumberFormat="1" applyFont="1" applyFill="1" applyBorder="1" applyAlignment="1">
      <alignment horizontal="center" vertical="center" wrapText="1"/>
    </xf>
    <xf numFmtId="43" fontId="6" fillId="4" borderId="11" xfId="0" applyNumberFormat="1" applyFont="1" applyFill="1" applyBorder="1" applyAlignment="1">
      <alignment horizontal="center" vertical="center" wrapText="1"/>
    </xf>
    <xf numFmtId="43" fontId="6" fillId="4" borderId="25" xfId="0" applyNumberFormat="1" applyFont="1" applyFill="1" applyBorder="1" applyAlignment="1">
      <alignment horizontal="center" vertical="center" wrapText="1"/>
    </xf>
    <xf numFmtId="43" fontId="6" fillId="4" borderId="26" xfId="0" applyNumberFormat="1" applyFont="1" applyFill="1" applyBorder="1" applyAlignment="1">
      <alignment horizontal="center" vertical="center" wrapText="1"/>
    </xf>
    <xf numFmtId="43" fontId="6" fillId="4" borderId="27" xfId="0" applyNumberFormat="1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6" borderId="41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43" fontId="8" fillId="5" borderId="2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1</xdr:col>
      <xdr:colOff>1574800</xdr:colOff>
      <xdr:row>7</xdr:row>
      <xdr:rowOff>63500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1613105" cy="5354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794565</xdr:colOff>
      <xdr:row>21</xdr:row>
      <xdr:rowOff>91452</xdr:rowOff>
    </xdr:from>
    <xdr:to>
      <xdr:col>43</xdr:col>
      <xdr:colOff>354274</xdr:colOff>
      <xdr:row>26</xdr:row>
      <xdr:rowOff>35495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36039" y="1499849"/>
          <a:ext cx="1953170" cy="798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3</xdr:col>
      <xdr:colOff>134588</xdr:colOff>
      <xdr:row>8</xdr:row>
      <xdr:rowOff>70201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1945840" cy="6310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2</xdr:col>
      <xdr:colOff>2324100</xdr:colOff>
      <xdr:row>4</xdr:row>
      <xdr:rowOff>57150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2267155" cy="5481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3</xdr:col>
      <xdr:colOff>630822</xdr:colOff>
      <xdr:row>8</xdr:row>
      <xdr:rowOff>12700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2980527" cy="5735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2</xdr:col>
      <xdr:colOff>1752600</xdr:colOff>
      <xdr:row>7</xdr:row>
      <xdr:rowOff>76200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2267155" cy="5481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1161224</xdr:colOff>
      <xdr:row>9</xdr:row>
      <xdr:rowOff>22860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57" y="235857"/>
          <a:ext cx="1946910" cy="8483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3</xdr:col>
      <xdr:colOff>565150</xdr:colOff>
      <xdr:row>4</xdr:row>
      <xdr:rowOff>57150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2267155" cy="5481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133145</xdr:colOff>
      <xdr:row>1</xdr:row>
      <xdr:rowOff>61453</xdr:rowOff>
    </xdr:from>
    <xdr:to>
      <xdr:col>3</xdr:col>
      <xdr:colOff>565150</xdr:colOff>
      <xdr:row>4</xdr:row>
      <xdr:rowOff>57150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5" y="150353"/>
          <a:ext cx="2267155" cy="5481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workbookViewId="0">
      <selection activeCell="D16" sqref="D16"/>
    </sheetView>
  </sheetViews>
  <sheetFormatPr defaultColWidth="11.453125" defaultRowHeight="9.5" x14ac:dyDescent="0.25"/>
  <cols>
    <col min="1" max="1" width="2.453125" style="4" customWidth="1"/>
    <col min="2" max="2" width="25.1796875" style="4" customWidth="1"/>
    <col min="3" max="3" width="10.6328125" style="4" bestFit="1" customWidth="1"/>
    <col min="4" max="4" width="15.7265625" style="4" bestFit="1" customWidth="1"/>
    <col min="5" max="5" width="10.6328125" style="4" bestFit="1" customWidth="1"/>
    <col min="6" max="16384" width="11.453125" style="4"/>
  </cols>
  <sheetData>
    <row r="1" spans="2:5" x14ac:dyDescent="0.25">
      <c r="B1" s="1"/>
      <c r="C1" s="1"/>
      <c r="D1" s="2"/>
      <c r="E1" s="2"/>
    </row>
    <row r="2" spans="2:5" x14ac:dyDescent="0.25">
      <c r="B2" s="1"/>
      <c r="C2" s="1"/>
      <c r="D2" s="2"/>
      <c r="E2" s="2"/>
    </row>
    <row r="3" spans="2:5" x14ac:dyDescent="0.25">
      <c r="B3" s="1"/>
      <c r="C3" s="1"/>
      <c r="D3" s="2"/>
      <c r="E3" s="2"/>
    </row>
    <row r="4" spans="2:5" x14ac:dyDescent="0.25">
      <c r="B4" s="1"/>
      <c r="C4" s="1"/>
      <c r="D4" s="2"/>
      <c r="E4" s="2"/>
    </row>
    <row r="5" spans="2:5" x14ac:dyDescent="0.25">
      <c r="B5" s="1"/>
      <c r="C5" s="1"/>
      <c r="D5" s="2"/>
      <c r="E5" s="2"/>
    </row>
    <row r="6" spans="2:5" x14ac:dyDescent="0.25">
      <c r="B6" s="1"/>
      <c r="C6" s="1"/>
      <c r="D6" s="2"/>
      <c r="E6" s="2"/>
    </row>
    <row r="7" spans="2:5" x14ac:dyDescent="0.25">
      <c r="B7" s="1"/>
      <c r="C7" s="1"/>
      <c r="D7" s="2"/>
      <c r="E7" s="2"/>
    </row>
    <row r="8" spans="2:5" x14ac:dyDescent="0.25">
      <c r="B8" s="1"/>
      <c r="C8" s="1"/>
      <c r="D8" s="2"/>
      <c r="E8" s="2"/>
    </row>
    <row r="9" spans="2:5" x14ac:dyDescent="0.25">
      <c r="B9" s="1"/>
      <c r="C9" s="1"/>
      <c r="D9" s="2"/>
      <c r="E9" s="2"/>
    </row>
    <row r="10" spans="2:5" x14ac:dyDescent="0.25">
      <c r="B10" s="76"/>
      <c r="C10" s="1"/>
      <c r="D10" s="2"/>
      <c r="E10" s="2"/>
    </row>
    <row r="11" spans="2:5" ht="10" thickBot="1" x14ac:dyDescent="0.3">
      <c r="B11" s="1"/>
      <c r="C11" s="1"/>
      <c r="D11" s="2"/>
      <c r="E11" s="2"/>
    </row>
    <row r="12" spans="2:5" s="6" customFormat="1" ht="7.5" customHeight="1" x14ac:dyDescent="0.35">
      <c r="B12" s="299" t="s">
        <v>22</v>
      </c>
      <c r="C12" s="301" t="s">
        <v>23</v>
      </c>
      <c r="D12" s="303" t="s">
        <v>20</v>
      </c>
      <c r="E12" s="297" t="s">
        <v>21</v>
      </c>
    </row>
    <row r="13" spans="2:5" s="6" customFormat="1" ht="10" thickBot="1" x14ac:dyDescent="0.4">
      <c r="B13" s="300"/>
      <c r="C13" s="302"/>
      <c r="D13" s="304"/>
      <c r="E13" s="298"/>
    </row>
    <row r="14" spans="2:5" s="119" customFormat="1" x14ac:dyDescent="0.35">
      <c r="B14" s="108"/>
      <c r="C14" s="128" t="s">
        <v>19</v>
      </c>
      <c r="D14" s="130" t="s">
        <v>19</v>
      </c>
      <c r="E14" s="110" t="s">
        <v>19</v>
      </c>
    </row>
    <row r="15" spans="2:5" s="119" customFormat="1" x14ac:dyDescent="0.2">
      <c r="B15" s="108" t="s">
        <v>181</v>
      </c>
      <c r="C15" s="128">
        <v>0</v>
      </c>
      <c r="D15" s="131"/>
      <c r="E15" s="73">
        <f>C15-D15</f>
        <v>0</v>
      </c>
    </row>
    <row r="16" spans="2:5" x14ac:dyDescent="0.25">
      <c r="B16" s="108" t="s">
        <v>241</v>
      </c>
      <c r="C16" s="128">
        <v>150000000</v>
      </c>
      <c r="D16" s="131">
        <f>'Bank Schedule__1__'!H592-'Bank Schedule__1__'!G15-'Bank Schedule__1__'!H58</f>
        <v>78588748.629999995</v>
      </c>
      <c r="E16" s="74">
        <f>C16-D16</f>
        <v>71411251.370000005</v>
      </c>
    </row>
    <row r="17" spans="2:5" x14ac:dyDescent="0.25">
      <c r="B17" s="108" t="s">
        <v>242</v>
      </c>
      <c r="C17" s="128">
        <v>0</v>
      </c>
      <c r="D17" s="131">
        <f>'Cash-In-Hand Schedule_'!H590</f>
        <v>129000</v>
      </c>
      <c r="E17" s="74">
        <f>C17-D17</f>
        <v>-129000</v>
      </c>
    </row>
    <row r="18" spans="2:5" x14ac:dyDescent="0.25">
      <c r="B18" s="108" t="s">
        <v>243</v>
      </c>
      <c r="C18" s="128">
        <v>112000000</v>
      </c>
      <c r="D18" s="131">
        <f>'Lanbell Lab'!G590</f>
        <v>97502100</v>
      </c>
      <c r="E18" s="74">
        <f t="shared" ref="E18:E20" si="0">C18-D18</f>
        <v>14497900</v>
      </c>
    </row>
    <row r="19" spans="2:5" x14ac:dyDescent="0.25">
      <c r="B19" s="108" t="s">
        <v>244</v>
      </c>
      <c r="C19" s="128">
        <v>133000000</v>
      </c>
      <c r="D19" s="131">
        <f>'Peramare Ghana'!G590</f>
        <v>0</v>
      </c>
      <c r="E19" s="74">
        <f t="shared" si="0"/>
        <v>133000000</v>
      </c>
    </row>
    <row r="20" spans="2:5" ht="10" thickBot="1" x14ac:dyDescent="0.3">
      <c r="B20" s="108" t="s">
        <v>40</v>
      </c>
      <c r="C20" s="128">
        <v>0</v>
      </c>
      <c r="D20" s="131">
        <f>Others!G73</f>
        <v>98875916</v>
      </c>
      <c r="E20" s="74">
        <f t="shared" si="0"/>
        <v>-98875916</v>
      </c>
    </row>
    <row r="21" spans="2:5" ht="14" thickBot="1" x14ac:dyDescent="0.6">
      <c r="B21" s="108" t="s">
        <v>245</v>
      </c>
      <c r="C21" s="263">
        <f>SUM(C12:C20)</f>
        <v>395000000</v>
      </c>
      <c r="D21" s="264">
        <f>SUM(D12:D20)</f>
        <v>275095764.63</v>
      </c>
      <c r="E21" s="262">
        <f>C21-D21</f>
        <v>119904235.37</v>
      </c>
    </row>
    <row r="22" spans="2:5" x14ac:dyDescent="0.25">
      <c r="D22" s="8"/>
      <c r="E22" s="8"/>
    </row>
    <row r="23" spans="2:5" x14ac:dyDescent="0.25">
      <c r="D23" s="8"/>
      <c r="E23" s="8"/>
    </row>
  </sheetData>
  <mergeCells count="4">
    <mergeCell ref="E12:E13"/>
    <mergeCell ref="B12:B13"/>
    <mergeCell ref="C12:C13"/>
    <mergeCell ref="D12:D13"/>
  </mergeCells>
  <conditionalFormatting sqref="E1:E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605"/>
  <sheetViews>
    <sheetView topLeftCell="A2" zoomScale="78" zoomScaleNormal="78" workbookViewId="0">
      <pane xSplit="9" ySplit="13" topLeftCell="J576" activePane="bottomRight" state="frozen"/>
      <selection activeCell="A2" sqref="A2"/>
      <selection pane="topRight" activeCell="H2" sqref="H2"/>
      <selection pane="bottomLeft" activeCell="A10" sqref="A10"/>
      <selection pane="bottomRight" activeCell="AH597" sqref="AH597"/>
    </sheetView>
  </sheetViews>
  <sheetFormatPr defaultColWidth="11.453125" defaultRowHeight="9.5" x14ac:dyDescent="0.25"/>
  <cols>
    <col min="1" max="1" width="2.453125" style="4" customWidth="1"/>
    <col min="2" max="2" width="6.81640625" style="4" customWidth="1"/>
    <col min="3" max="3" width="29.26953125" style="4" customWidth="1"/>
    <col min="4" max="4" width="19.6328125" style="4" bestFit="1" customWidth="1"/>
    <col min="5" max="5" width="8.54296875" style="4" customWidth="1"/>
    <col min="6" max="6" width="9" style="4" customWidth="1"/>
    <col min="7" max="7" width="10.7265625" style="8" bestFit="1" customWidth="1"/>
    <col min="8" max="8" width="14.81640625" style="4" bestFit="1" customWidth="1"/>
    <col min="9" max="9" width="10.26953125" style="4" customWidth="1"/>
    <col min="10" max="10" width="21.1796875" style="4" customWidth="1"/>
    <col min="11" max="11" width="12.36328125" style="4" customWidth="1"/>
    <col min="12" max="12" width="12.1796875" style="4" customWidth="1"/>
    <col min="13" max="13" width="7.54296875" style="4" customWidth="1"/>
    <col min="14" max="14" width="12.36328125" style="4" customWidth="1"/>
    <col min="15" max="15" width="13.1796875" style="4" customWidth="1"/>
    <col min="16" max="16" width="10.7265625" style="5" bestFit="1" customWidth="1"/>
    <col min="17" max="18" width="8.81640625" style="4" bestFit="1" customWidth="1"/>
    <col min="19" max="21" width="8.1796875" style="5" customWidth="1"/>
    <col min="22" max="22" width="8.453125" style="4" bestFit="1" customWidth="1"/>
    <col min="23" max="23" width="7.81640625" style="4" bestFit="1" customWidth="1"/>
    <col min="24" max="24" width="7.6328125" style="4" bestFit="1" customWidth="1"/>
    <col min="25" max="25" width="9.54296875" style="4" bestFit="1" customWidth="1"/>
    <col min="26" max="26" width="8.26953125" style="5" bestFit="1" customWidth="1"/>
    <col min="27" max="27" width="10" style="4" customWidth="1"/>
    <col min="28" max="28" width="8.453125" style="5" bestFit="1" customWidth="1"/>
    <col min="29" max="31" width="8.453125" style="5" customWidth="1"/>
    <col min="32" max="32" width="9.453125" style="4" bestFit="1" customWidth="1"/>
    <col min="33" max="33" width="9.08984375" style="4" bestFit="1" customWidth="1"/>
    <col min="34" max="34" width="7.81640625" style="5" bestFit="1" customWidth="1"/>
    <col min="35" max="35" width="8.1796875" style="4" bestFit="1" customWidth="1"/>
    <col min="36" max="36" width="9.26953125" style="4" bestFit="1" customWidth="1"/>
    <col min="37" max="38" width="9.26953125" style="4" customWidth="1"/>
    <col min="39" max="39" width="5.90625" style="4" bestFit="1" customWidth="1"/>
    <col min="40" max="40" width="6.6328125" style="4" customWidth="1"/>
    <col min="41" max="16384" width="11.453125" style="4"/>
  </cols>
  <sheetData>
    <row r="1" spans="2:40" x14ac:dyDescent="0.25">
      <c r="H1" s="8"/>
      <c r="I1" s="8"/>
      <c r="J1" s="8"/>
      <c r="K1" s="8"/>
      <c r="L1" s="8"/>
      <c r="M1" s="8"/>
      <c r="N1" s="8"/>
      <c r="O1" s="8"/>
    </row>
    <row r="2" spans="2:40" x14ac:dyDescent="0.25">
      <c r="H2" s="8"/>
      <c r="I2" s="8"/>
      <c r="J2" s="8"/>
      <c r="K2" s="8"/>
      <c r="L2" s="8"/>
      <c r="M2" s="8"/>
      <c r="N2" s="8"/>
      <c r="O2" s="8"/>
      <c r="P2" s="4"/>
      <c r="S2" s="4"/>
      <c r="T2" s="4"/>
      <c r="U2" s="4"/>
      <c r="Z2" s="4"/>
      <c r="AB2" s="4"/>
      <c r="AC2" s="4"/>
      <c r="AD2" s="4"/>
      <c r="AE2" s="4"/>
      <c r="AH2" s="4"/>
    </row>
    <row r="3" spans="2:40" x14ac:dyDescent="0.25">
      <c r="H3" s="8"/>
      <c r="I3" s="8"/>
      <c r="J3" s="8"/>
      <c r="K3" s="8"/>
      <c r="L3" s="8"/>
      <c r="M3" s="8"/>
      <c r="N3" s="8"/>
      <c r="O3" s="8"/>
      <c r="P3" s="4"/>
      <c r="S3" s="4"/>
      <c r="T3" s="4"/>
      <c r="U3" s="4"/>
      <c r="Z3" s="4"/>
      <c r="AB3" s="4"/>
      <c r="AC3" s="4"/>
      <c r="AD3" s="4"/>
      <c r="AE3" s="4"/>
      <c r="AH3" s="4"/>
    </row>
    <row r="4" spans="2:40" x14ac:dyDescent="0.25">
      <c r="H4" s="8"/>
      <c r="I4" s="8"/>
      <c r="J4" s="8"/>
      <c r="K4" s="8"/>
      <c r="L4" s="8"/>
      <c r="M4" s="8"/>
      <c r="N4" s="8"/>
      <c r="O4" s="8"/>
      <c r="P4" s="4"/>
      <c r="S4" s="4"/>
      <c r="T4" s="4"/>
      <c r="U4" s="4"/>
      <c r="Z4" s="4"/>
      <c r="AB4" s="4"/>
      <c r="AC4" s="4"/>
      <c r="AD4" s="4"/>
      <c r="AE4" s="4"/>
      <c r="AH4" s="4"/>
    </row>
    <row r="5" spans="2:40" x14ac:dyDescent="0.25">
      <c r="H5" s="8"/>
      <c r="I5" s="8"/>
      <c r="J5" s="8"/>
      <c r="K5" s="8"/>
      <c r="L5" s="8"/>
      <c r="M5" s="8"/>
      <c r="N5" s="8"/>
      <c r="O5" s="8"/>
      <c r="P5" s="4"/>
      <c r="S5" s="4"/>
      <c r="T5" s="4"/>
      <c r="U5" s="4"/>
      <c r="Z5" s="4"/>
      <c r="AB5" s="4"/>
      <c r="AC5" s="4"/>
      <c r="AD5" s="4"/>
      <c r="AE5" s="4"/>
      <c r="AH5" s="4"/>
    </row>
    <row r="6" spans="2:40" x14ac:dyDescent="0.25">
      <c r="H6" s="8"/>
      <c r="I6" s="8"/>
      <c r="J6" s="8"/>
      <c r="K6" s="8"/>
      <c r="L6" s="8"/>
      <c r="M6" s="8"/>
      <c r="N6" s="8"/>
      <c r="O6" s="8"/>
      <c r="P6" s="4"/>
      <c r="S6" s="4"/>
      <c r="T6" s="4"/>
      <c r="U6" s="4"/>
      <c r="Z6" s="4"/>
      <c r="AB6" s="4"/>
      <c r="AC6" s="4"/>
      <c r="AD6" s="4"/>
      <c r="AE6" s="4"/>
      <c r="AH6" s="4"/>
    </row>
    <row r="7" spans="2:40" x14ac:dyDescent="0.25">
      <c r="H7" s="8"/>
      <c r="I7" s="8"/>
      <c r="J7" s="8"/>
      <c r="K7" s="8"/>
      <c r="L7" s="8"/>
      <c r="M7" s="8"/>
      <c r="N7" s="8"/>
      <c r="O7" s="8"/>
      <c r="P7" s="4"/>
      <c r="S7" s="4"/>
      <c r="T7" s="4"/>
      <c r="U7" s="4"/>
      <c r="Z7" s="4"/>
      <c r="AB7" s="4"/>
      <c r="AC7" s="4"/>
      <c r="AD7" s="4"/>
      <c r="AE7" s="4"/>
      <c r="AH7" s="4"/>
    </row>
    <row r="8" spans="2:40" x14ac:dyDescent="0.25">
      <c r="H8" s="8"/>
      <c r="I8" s="8"/>
      <c r="J8" s="8"/>
      <c r="K8" s="8"/>
      <c r="L8" s="8"/>
      <c r="M8" s="8"/>
      <c r="N8" s="8"/>
      <c r="O8" s="8"/>
      <c r="P8" s="4"/>
      <c r="S8" s="4"/>
      <c r="T8" s="4"/>
      <c r="U8" s="4"/>
      <c r="Z8" s="4"/>
      <c r="AB8" s="4"/>
      <c r="AC8" s="4"/>
      <c r="AD8" s="4"/>
      <c r="AE8" s="4"/>
      <c r="AH8" s="4"/>
    </row>
    <row r="9" spans="2:40" x14ac:dyDescent="0.25">
      <c r="H9" s="8"/>
      <c r="I9" s="8"/>
      <c r="J9" s="8"/>
      <c r="K9" s="8"/>
      <c r="L9" s="8"/>
      <c r="M9" s="8"/>
      <c r="N9" s="8"/>
      <c r="O9" s="8"/>
      <c r="P9" s="4"/>
      <c r="S9" s="4"/>
      <c r="T9" s="4"/>
      <c r="U9" s="4"/>
      <c r="Z9" s="4"/>
      <c r="AB9" s="4"/>
      <c r="AC9" s="4"/>
      <c r="AD9" s="4"/>
      <c r="AE9" s="4"/>
      <c r="AH9" s="4"/>
    </row>
    <row r="10" spans="2:40" ht="13.5" thickBot="1" x14ac:dyDescent="0.3">
      <c r="B10" s="258" t="s">
        <v>25</v>
      </c>
      <c r="C10" s="157"/>
      <c r="H10" s="8"/>
      <c r="I10" s="8"/>
      <c r="J10" s="8"/>
      <c r="K10" s="8"/>
      <c r="L10" s="8"/>
      <c r="M10" s="8"/>
      <c r="N10" s="8"/>
      <c r="O10" s="8"/>
      <c r="P10" s="4"/>
      <c r="S10" s="4"/>
      <c r="T10" s="4"/>
      <c r="U10" s="4"/>
      <c r="Z10" s="4"/>
      <c r="AB10" s="4"/>
      <c r="AC10" s="4"/>
      <c r="AD10" s="4"/>
      <c r="AE10" s="4"/>
      <c r="AH10" s="4"/>
    </row>
    <row r="11" spans="2:40" ht="10" thickBot="1" x14ac:dyDescent="0.3">
      <c r="H11" s="8"/>
      <c r="I11" s="8"/>
      <c r="J11" s="269" t="s">
        <v>28</v>
      </c>
      <c r="K11" s="270"/>
      <c r="L11" s="270"/>
      <c r="M11" s="270"/>
      <c r="N11" s="270"/>
      <c r="O11" s="271"/>
      <c r="P11" s="265" t="s">
        <v>41</v>
      </c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7"/>
      <c r="AN11" s="268"/>
    </row>
    <row r="12" spans="2:40" s="6" customFormat="1" ht="10" thickBot="1" x14ac:dyDescent="0.4">
      <c r="B12" s="289" t="s">
        <v>26</v>
      </c>
      <c r="C12" s="291" t="s">
        <v>22</v>
      </c>
      <c r="D12" s="291" t="s">
        <v>27</v>
      </c>
      <c r="E12" s="284" t="s">
        <v>34</v>
      </c>
      <c r="F12" s="295" t="s">
        <v>38</v>
      </c>
      <c r="G12" s="277" t="s">
        <v>23</v>
      </c>
      <c r="H12" s="293" t="s">
        <v>20</v>
      </c>
      <c r="I12" s="279" t="s">
        <v>21</v>
      </c>
      <c r="J12" s="272"/>
      <c r="K12" s="273"/>
      <c r="L12" s="273"/>
      <c r="M12" s="273"/>
      <c r="N12" s="273"/>
      <c r="O12" s="274"/>
      <c r="P12" s="281" t="s">
        <v>32</v>
      </c>
      <c r="Q12" s="282"/>
      <c r="R12" s="283"/>
      <c r="S12" s="286" t="s">
        <v>37</v>
      </c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8"/>
      <c r="AM12" s="275" t="s">
        <v>40</v>
      </c>
      <c r="AN12" s="276"/>
    </row>
    <row r="13" spans="2:40" s="6" customFormat="1" ht="29" thickBot="1" x14ac:dyDescent="0.4">
      <c r="B13" s="290"/>
      <c r="C13" s="292"/>
      <c r="D13" s="292"/>
      <c r="E13" s="285"/>
      <c r="F13" s="296"/>
      <c r="G13" s="278"/>
      <c r="H13" s="294"/>
      <c r="I13" s="280"/>
      <c r="J13" s="158" t="s">
        <v>29</v>
      </c>
      <c r="K13" s="159" t="s">
        <v>30</v>
      </c>
      <c r="L13" s="159" t="s">
        <v>16</v>
      </c>
      <c r="M13" s="159" t="s">
        <v>35</v>
      </c>
      <c r="N13" s="159" t="s">
        <v>36</v>
      </c>
      <c r="O13" s="160" t="s">
        <v>31</v>
      </c>
      <c r="P13" s="161" t="s">
        <v>2</v>
      </c>
      <c r="Q13" s="162" t="s">
        <v>346</v>
      </c>
      <c r="R13" s="163" t="s">
        <v>33</v>
      </c>
      <c r="S13" s="162" t="s">
        <v>111</v>
      </c>
      <c r="T13" s="163" t="s">
        <v>1</v>
      </c>
      <c r="U13" s="163" t="s">
        <v>355</v>
      </c>
      <c r="V13" s="163" t="s">
        <v>52</v>
      </c>
      <c r="W13" s="163" t="s">
        <v>279</v>
      </c>
      <c r="X13" s="163" t="s">
        <v>6</v>
      </c>
      <c r="Y13" s="163" t="s">
        <v>419</v>
      </c>
      <c r="Z13" s="162" t="s">
        <v>8</v>
      </c>
      <c r="AA13" s="163" t="s">
        <v>9</v>
      </c>
      <c r="AB13" s="162" t="s">
        <v>81</v>
      </c>
      <c r="AC13" s="162" t="s">
        <v>24</v>
      </c>
      <c r="AD13" s="162" t="s">
        <v>17</v>
      </c>
      <c r="AE13" s="162" t="s">
        <v>166</v>
      </c>
      <c r="AF13" s="163" t="s">
        <v>12</v>
      </c>
      <c r="AG13" s="163" t="s">
        <v>119</v>
      </c>
      <c r="AH13" s="162" t="s">
        <v>14</v>
      </c>
      <c r="AI13" s="163" t="s">
        <v>79</v>
      </c>
      <c r="AJ13" s="163" t="s">
        <v>48</v>
      </c>
      <c r="AK13" s="163" t="s">
        <v>56</v>
      </c>
      <c r="AL13" s="163" t="s">
        <v>39</v>
      </c>
      <c r="AM13" s="164" t="s">
        <v>31</v>
      </c>
      <c r="AN13" s="165" t="s">
        <v>16</v>
      </c>
    </row>
    <row r="14" spans="2:40" s="119" customFormat="1" ht="10" thickBot="1" x14ac:dyDescent="0.4">
      <c r="B14" s="166"/>
      <c r="C14" s="167"/>
      <c r="D14" s="167"/>
      <c r="E14" s="168"/>
      <c r="F14" s="169"/>
      <c r="G14" s="170" t="s">
        <v>19</v>
      </c>
      <c r="H14" s="171" t="s">
        <v>19</v>
      </c>
      <c r="I14" s="172" t="s">
        <v>19</v>
      </c>
      <c r="J14" s="173" t="s">
        <v>19</v>
      </c>
      <c r="K14" s="174" t="s">
        <v>19</v>
      </c>
      <c r="L14" s="174" t="s">
        <v>19</v>
      </c>
      <c r="M14" s="174" t="s">
        <v>19</v>
      </c>
      <c r="N14" s="174" t="s">
        <v>19</v>
      </c>
      <c r="O14" s="175" t="s">
        <v>19</v>
      </c>
      <c r="P14" s="176" t="s">
        <v>19</v>
      </c>
      <c r="Q14" s="177" t="s">
        <v>19</v>
      </c>
      <c r="R14" s="177" t="s">
        <v>19</v>
      </c>
      <c r="S14" s="177" t="s">
        <v>19</v>
      </c>
      <c r="T14" s="177" t="s">
        <v>19</v>
      </c>
      <c r="U14" s="177"/>
      <c r="V14" s="177" t="s">
        <v>19</v>
      </c>
      <c r="W14" s="177" t="s">
        <v>19</v>
      </c>
      <c r="X14" s="177" t="s">
        <v>19</v>
      </c>
      <c r="Y14" s="177" t="s">
        <v>19</v>
      </c>
      <c r="Z14" s="178" t="s">
        <v>19</v>
      </c>
      <c r="AA14" s="177" t="s">
        <v>19</v>
      </c>
      <c r="AB14" s="177" t="s">
        <v>19</v>
      </c>
      <c r="AC14" s="177" t="s">
        <v>19</v>
      </c>
      <c r="AD14" s="177" t="s">
        <v>19</v>
      </c>
      <c r="AE14" s="177" t="s">
        <v>19</v>
      </c>
      <c r="AF14" s="177" t="s">
        <v>19</v>
      </c>
      <c r="AG14" s="177" t="s">
        <v>19</v>
      </c>
      <c r="AH14" s="177" t="s">
        <v>19</v>
      </c>
      <c r="AI14" s="177" t="s">
        <v>19</v>
      </c>
      <c r="AJ14" s="177" t="s">
        <v>19</v>
      </c>
      <c r="AK14" s="177"/>
      <c r="AL14" s="177" t="s">
        <v>19</v>
      </c>
      <c r="AM14" s="179" t="s">
        <v>19</v>
      </c>
      <c r="AN14" s="180" t="s">
        <v>19</v>
      </c>
    </row>
    <row r="15" spans="2:40" s="119" customFormat="1" x14ac:dyDescent="0.25">
      <c r="B15" s="166"/>
      <c r="C15" s="167" t="s">
        <v>182</v>
      </c>
      <c r="D15" s="167"/>
      <c r="E15" s="168"/>
      <c r="F15" s="169"/>
      <c r="G15" s="181">
        <v>6578462</v>
      </c>
      <c r="H15" s="182"/>
      <c r="I15" s="183">
        <f>G15-H15</f>
        <v>6578462</v>
      </c>
      <c r="J15" s="184"/>
      <c r="K15" s="185"/>
      <c r="L15" s="185"/>
      <c r="M15" s="185"/>
      <c r="N15" s="185"/>
      <c r="O15" s="186"/>
      <c r="P15" s="187"/>
      <c r="Q15" s="188"/>
      <c r="R15" s="188"/>
      <c r="S15" s="188"/>
      <c r="T15" s="188"/>
      <c r="U15" s="188"/>
      <c r="V15" s="188"/>
      <c r="W15" s="188"/>
      <c r="X15" s="188"/>
      <c r="Y15" s="188"/>
      <c r="Z15" s="189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90"/>
      <c r="AN15" s="191"/>
    </row>
    <row r="16" spans="2:40" x14ac:dyDescent="0.25">
      <c r="B16" s="192">
        <v>44805</v>
      </c>
      <c r="C16" s="193" t="s">
        <v>44</v>
      </c>
      <c r="D16" s="194" t="s">
        <v>48</v>
      </c>
      <c r="E16" s="195" t="s">
        <v>45</v>
      </c>
      <c r="F16" s="196" t="s">
        <v>54</v>
      </c>
      <c r="G16" s="197">
        <v>0</v>
      </c>
      <c r="H16" s="257">
        <v>50000</v>
      </c>
      <c r="I16" s="199">
        <f>I15+G16-H16</f>
        <v>6528462</v>
      </c>
      <c r="J16" s="200">
        <v>0</v>
      </c>
      <c r="K16" s="201"/>
      <c r="L16" s="201"/>
      <c r="M16" s="201"/>
      <c r="N16" s="201"/>
      <c r="O16" s="202"/>
      <c r="P16" s="203">
        <f>IF($D16=P$13,$H16, 0)</f>
        <v>0</v>
      </c>
      <c r="Q16" s="203">
        <f>IF($D16=Q$13,$H16, 0)</f>
        <v>0</v>
      </c>
      <c r="R16" s="203">
        <f t="shared" ref="R16:AN20" si="0">IF($D16=R$13,$H16, 0)</f>
        <v>0</v>
      </c>
      <c r="S16" s="203">
        <f t="shared" si="0"/>
        <v>0</v>
      </c>
      <c r="T16" s="203">
        <f t="shared" si="0"/>
        <v>0</v>
      </c>
      <c r="U16" s="203">
        <f t="shared" si="0"/>
        <v>0</v>
      </c>
      <c r="V16" s="203">
        <f t="shared" si="0"/>
        <v>0</v>
      </c>
      <c r="W16" s="203">
        <f t="shared" si="0"/>
        <v>0</v>
      </c>
      <c r="X16" s="203">
        <f t="shared" si="0"/>
        <v>0</v>
      </c>
      <c r="Y16" s="203">
        <f t="shared" si="0"/>
        <v>0</v>
      </c>
      <c r="Z16" s="203">
        <f t="shared" si="0"/>
        <v>0</v>
      </c>
      <c r="AA16" s="203">
        <f t="shared" si="0"/>
        <v>0</v>
      </c>
      <c r="AB16" s="203">
        <f t="shared" si="0"/>
        <v>0</v>
      </c>
      <c r="AC16" s="203">
        <f t="shared" si="0"/>
        <v>0</v>
      </c>
      <c r="AD16" s="203">
        <f t="shared" si="0"/>
        <v>0</v>
      </c>
      <c r="AE16" s="203">
        <f t="shared" si="0"/>
        <v>0</v>
      </c>
      <c r="AF16" s="203">
        <f t="shared" si="0"/>
        <v>0</v>
      </c>
      <c r="AG16" s="203">
        <f t="shared" si="0"/>
        <v>0</v>
      </c>
      <c r="AH16" s="203">
        <f t="shared" si="0"/>
        <v>0</v>
      </c>
      <c r="AI16" s="203">
        <f t="shared" si="0"/>
        <v>0</v>
      </c>
      <c r="AJ16" s="203">
        <f t="shared" si="0"/>
        <v>50000</v>
      </c>
      <c r="AK16" s="203">
        <f t="shared" si="0"/>
        <v>0</v>
      </c>
      <c r="AL16" s="203">
        <f t="shared" si="0"/>
        <v>0</v>
      </c>
      <c r="AM16" s="203">
        <f t="shared" si="0"/>
        <v>0</v>
      </c>
      <c r="AN16" s="203">
        <f t="shared" si="0"/>
        <v>0</v>
      </c>
    </row>
    <row r="17" spans="2:40" x14ac:dyDescent="0.25">
      <c r="B17" s="192">
        <v>44811</v>
      </c>
      <c r="C17" s="194" t="s">
        <v>51</v>
      </c>
      <c r="D17" s="194" t="s">
        <v>56</v>
      </c>
      <c r="E17" s="204" t="s">
        <v>53</v>
      </c>
      <c r="F17" s="196" t="s">
        <v>46</v>
      </c>
      <c r="G17" s="197"/>
      <c r="H17" s="198">
        <v>58500</v>
      </c>
      <c r="I17" s="199">
        <f>I16+G17-H17</f>
        <v>6469962</v>
      </c>
      <c r="J17" s="205"/>
      <c r="K17" s="206"/>
      <c r="L17" s="206"/>
      <c r="M17" s="206"/>
      <c r="N17" s="206"/>
      <c r="O17" s="207"/>
      <c r="P17" s="203">
        <f t="shared" ref="P17:Q20" si="1">IF($D17=P$13,$H17, 0)</f>
        <v>0</v>
      </c>
      <c r="Q17" s="203">
        <f t="shared" si="1"/>
        <v>0</v>
      </c>
      <c r="R17" s="203">
        <f t="shared" si="0"/>
        <v>0</v>
      </c>
      <c r="S17" s="203">
        <f t="shared" si="0"/>
        <v>0</v>
      </c>
      <c r="T17" s="203">
        <f t="shared" si="0"/>
        <v>0</v>
      </c>
      <c r="U17" s="203">
        <f t="shared" si="0"/>
        <v>0</v>
      </c>
      <c r="V17" s="203">
        <f t="shared" si="0"/>
        <v>0</v>
      </c>
      <c r="W17" s="203">
        <f t="shared" si="0"/>
        <v>0</v>
      </c>
      <c r="X17" s="203">
        <f t="shared" si="0"/>
        <v>0</v>
      </c>
      <c r="Y17" s="203">
        <f t="shared" si="0"/>
        <v>0</v>
      </c>
      <c r="Z17" s="203">
        <f t="shared" si="0"/>
        <v>0</v>
      </c>
      <c r="AA17" s="203">
        <f t="shared" si="0"/>
        <v>0</v>
      </c>
      <c r="AB17" s="203">
        <f t="shared" si="0"/>
        <v>0</v>
      </c>
      <c r="AC17" s="203">
        <f t="shared" si="0"/>
        <v>0</v>
      </c>
      <c r="AD17" s="203">
        <f t="shared" si="0"/>
        <v>0</v>
      </c>
      <c r="AE17" s="203">
        <f t="shared" si="0"/>
        <v>0</v>
      </c>
      <c r="AF17" s="203">
        <f t="shared" si="0"/>
        <v>0</v>
      </c>
      <c r="AG17" s="203">
        <f t="shared" si="0"/>
        <v>0</v>
      </c>
      <c r="AH17" s="203">
        <f t="shared" si="0"/>
        <v>0</v>
      </c>
      <c r="AI17" s="203">
        <f t="shared" si="0"/>
        <v>0</v>
      </c>
      <c r="AJ17" s="203">
        <f t="shared" si="0"/>
        <v>0</v>
      </c>
      <c r="AK17" s="203">
        <f t="shared" si="0"/>
        <v>58500</v>
      </c>
      <c r="AL17" s="203">
        <f t="shared" si="0"/>
        <v>0</v>
      </c>
      <c r="AM17" s="203">
        <f t="shared" si="0"/>
        <v>0</v>
      </c>
      <c r="AN17" s="203">
        <f t="shared" si="0"/>
        <v>0</v>
      </c>
    </row>
    <row r="18" spans="2:40" x14ac:dyDescent="0.25">
      <c r="B18" s="192">
        <v>44812</v>
      </c>
      <c r="C18" s="194" t="s">
        <v>47</v>
      </c>
      <c r="D18" s="194" t="s">
        <v>52</v>
      </c>
      <c r="E18" s="204" t="s">
        <v>50</v>
      </c>
      <c r="F18" s="210" t="s">
        <v>54</v>
      </c>
      <c r="G18" s="197"/>
      <c r="H18" s="198">
        <v>50000</v>
      </c>
      <c r="I18" s="199">
        <f t="shared" ref="I18:I81" si="2">I17+G18-H18</f>
        <v>6419962</v>
      </c>
      <c r="J18" s="205"/>
      <c r="K18" s="206"/>
      <c r="L18" s="206"/>
      <c r="M18" s="206"/>
      <c r="N18" s="206"/>
      <c r="O18" s="207"/>
      <c r="P18" s="203">
        <f t="shared" si="1"/>
        <v>0</v>
      </c>
      <c r="Q18" s="203">
        <f t="shared" si="1"/>
        <v>0</v>
      </c>
      <c r="R18" s="203">
        <f t="shared" si="0"/>
        <v>0</v>
      </c>
      <c r="S18" s="203">
        <f t="shared" si="0"/>
        <v>0</v>
      </c>
      <c r="T18" s="203">
        <f t="shared" si="0"/>
        <v>0</v>
      </c>
      <c r="U18" s="203">
        <f t="shared" si="0"/>
        <v>0</v>
      </c>
      <c r="V18" s="203">
        <f t="shared" si="0"/>
        <v>50000</v>
      </c>
      <c r="W18" s="203">
        <f t="shared" si="0"/>
        <v>0</v>
      </c>
      <c r="X18" s="203">
        <f t="shared" si="0"/>
        <v>0</v>
      </c>
      <c r="Y18" s="203">
        <f t="shared" si="0"/>
        <v>0</v>
      </c>
      <c r="Z18" s="203">
        <f t="shared" si="0"/>
        <v>0</v>
      </c>
      <c r="AA18" s="203">
        <f t="shared" si="0"/>
        <v>0</v>
      </c>
      <c r="AB18" s="203">
        <f t="shared" si="0"/>
        <v>0</v>
      </c>
      <c r="AC18" s="203">
        <f t="shared" si="0"/>
        <v>0</v>
      </c>
      <c r="AD18" s="203">
        <f t="shared" si="0"/>
        <v>0</v>
      </c>
      <c r="AE18" s="203">
        <f t="shared" si="0"/>
        <v>0</v>
      </c>
      <c r="AF18" s="203">
        <f t="shared" si="0"/>
        <v>0</v>
      </c>
      <c r="AG18" s="203">
        <f t="shared" si="0"/>
        <v>0</v>
      </c>
      <c r="AH18" s="203">
        <f t="shared" si="0"/>
        <v>0</v>
      </c>
      <c r="AI18" s="203">
        <f t="shared" si="0"/>
        <v>0</v>
      </c>
      <c r="AJ18" s="203">
        <f t="shared" si="0"/>
        <v>0</v>
      </c>
      <c r="AK18" s="203">
        <f t="shared" si="0"/>
        <v>0</v>
      </c>
      <c r="AL18" s="203">
        <f t="shared" si="0"/>
        <v>0</v>
      </c>
      <c r="AM18" s="203">
        <f t="shared" si="0"/>
        <v>0</v>
      </c>
      <c r="AN18" s="203">
        <f t="shared" si="0"/>
        <v>0</v>
      </c>
    </row>
    <row r="19" spans="2:40" x14ac:dyDescent="0.25">
      <c r="B19" s="192">
        <v>44812</v>
      </c>
      <c r="C19" s="194" t="s">
        <v>49</v>
      </c>
      <c r="D19" s="194" t="s">
        <v>52</v>
      </c>
      <c r="E19" s="204" t="s">
        <v>50</v>
      </c>
      <c r="F19" s="210" t="s">
        <v>54</v>
      </c>
      <c r="G19" s="197"/>
      <c r="H19" s="198">
        <v>50000</v>
      </c>
      <c r="I19" s="199">
        <f t="shared" si="2"/>
        <v>6369962</v>
      </c>
      <c r="J19" s="205"/>
      <c r="K19" s="206"/>
      <c r="L19" s="206"/>
      <c r="M19" s="206"/>
      <c r="N19" s="206"/>
      <c r="O19" s="207"/>
      <c r="P19" s="203">
        <f t="shared" si="1"/>
        <v>0</v>
      </c>
      <c r="Q19" s="203">
        <f t="shared" si="1"/>
        <v>0</v>
      </c>
      <c r="R19" s="203">
        <f t="shared" si="0"/>
        <v>0</v>
      </c>
      <c r="S19" s="203">
        <f t="shared" si="0"/>
        <v>0</v>
      </c>
      <c r="T19" s="203">
        <f t="shared" si="0"/>
        <v>0</v>
      </c>
      <c r="U19" s="203">
        <f t="shared" si="0"/>
        <v>0</v>
      </c>
      <c r="V19" s="203">
        <f t="shared" si="0"/>
        <v>50000</v>
      </c>
      <c r="W19" s="203">
        <f t="shared" si="0"/>
        <v>0</v>
      </c>
      <c r="X19" s="203">
        <f t="shared" si="0"/>
        <v>0</v>
      </c>
      <c r="Y19" s="203">
        <f t="shared" si="0"/>
        <v>0</v>
      </c>
      <c r="Z19" s="203">
        <f t="shared" si="0"/>
        <v>0</v>
      </c>
      <c r="AA19" s="203">
        <f t="shared" si="0"/>
        <v>0</v>
      </c>
      <c r="AB19" s="203">
        <f t="shared" si="0"/>
        <v>0</v>
      </c>
      <c r="AC19" s="203">
        <f t="shared" si="0"/>
        <v>0</v>
      </c>
      <c r="AD19" s="203">
        <f t="shared" si="0"/>
        <v>0</v>
      </c>
      <c r="AE19" s="203">
        <f t="shared" si="0"/>
        <v>0</v>
      </c>
      <c r="AF19" s="203">
        <f t="shared" si="0"/>
        <v>0</v>
      </c>
      <c r="AG19" s="203">
        <f t="shared" si="0"/>
        <v>0</v>
      </c>
      <c r="AH19" s="203">
        <f t="shared" si="0"/>
        <v>0</v>
      </c>
      <c r="AI19" s="203">
        <f t="shared" si="0"/>
        <v>0</v>
      </c>
      <c r="AJ19" s="203">
        <f t="shared" si="0"/>
        <v>0</v>
      </c>
      <c r="AK19" s="203">
        <f t="shared" si="0"/>
        <v>0</v>
      </c>
      <c r="AL19" s="203">
        <f t="shared" si="0"/>
        <v>0</v>
      </c>
      <c r="AM19" s="203">
        <f t="shared" si="0"/>
        <v>0</v>
      </c>
      <c r="AN19" s="203">
        <f t="shared" si="0"/>
        <v>0</v>
      </c>
    </row>
    <row r="20" spans="2:40" x14ac:dyDescent="0.25">
      <c r="B20" s="192">
        <v>44812</v>
      </c>
      <c r="C20" s="194" t="s">
        <v>60</v>
      </c>
      <c r="D20" s="194" t="s">
        <v>111</v>
      </c>
      <c r="E20" s="204" t="s">
        <v>61</v>
      </c>
      <c r="F20" s="210" t="s">
        <v>54</v>
      </c>
      <c r="G20" s="197"/>
      <c r="H20" s="211">
        <v>30000</v>
      </c>
      <c r="I20" s="199">
        <f t="shared" si="2"/>
        <v>6339962</v>
      </c>
      <c r="J20" s="212"/>
      <c r="K20" s="213"/>
      <c r="L20" s="213"/>
      <c r="M20" s="213"/>
      <c r="N20" s="213"/>
      <c r="O20" s="214"/>
      <c r="P20" s="203">
        <f t="shared" si="1"/>
        <v>0</v>
      </c>
      <c r="Q20" s="203">
        <f t="shared" si="1"/>
        <v>0</v>
      </c>
      <c r="R20" s="203">
        <f t="shared" si="0"/>
        <v>0</v>
      </c>
      <c r="S20" s="203">
        <f t="shared" si="0"/>
        <v>30000</v>
      </c>
      <c r="T20" s="203">
        <f t="shared" si="0"/>
        <v>0</v>
      </c>
      <c r="U20" s="203">
        <f t="shared" si="0"/>
        <v>0</v>
      </c>
      <c r="V20" s="203">
        <f t="shared" si="0"/>
        <v>0</v>
      </c>
      <c r="W20" s="203">
        <f t="shared" si="0"/>
        <v>0</v>
      </c>
      <c r="X20" s="203">
        <f t="shared" si="0"/>
        <v>0</v>
      </c>
      <c r="Y20" s="203">
        <f t="shared" si="0"/>
        <v>0</v>
      </c>
      <c r="Z20" s="203">
        <f t="shared" si="0"/>
        <v>0</v>
      </c>
      <c r="AA20" s="203">
        <f t="shared" si="0"/>
        <v>0</v>
      </c>
      <c r="AB20" s="203">
        <f t="shared" si="0"/>
        <v>0</v>
      </c>
      <c r="AC20" s="203">
        <f t="shared" si="0"/>
        <v>0</v>
      </c>
      <c r="AD20" s="203">
        <f t="shared" si="0"/>
        <v>0</v>
      </c>
      <c r="AE20" s="203">
        <f t="shared" si="0"/>
        <v>0</v>
      </c>
      <c r="AF20" s="203">
        <f t="shared" si="0"/>
        <v>0</v>
      </c>
      <c r="AG20" s="203">
        <f t="shared" si="0"/>
        <v>0</v>
      </c>
      <c r="AH20" s="203">
        <f t="shared" si="0"/>
        <v>0</v>
      </c>
      <c r="AI20" s="203">
        <f t="shared" si="0"/>
        <v>0</v>
      </c>
      <c r="AJ20" s="203">
        <f t="shared" si="0"/>
        <v>0</v>
      </c>
      <c r="AK20" s="203">
        <f t="shared" si="0"/>
        <v>0</v>
      </c>
      <c r="AL20" s="203">
        <f t="shared" si="0"/>
        <v>0</v>
      </c>
      <c r="AM20" s="203">
        <f t="shared" si="0"/>
        <v>0</v>
      </c>
      <c r="AN20" s="203">
        <f t="shared" si="0"/>
        <v>0</v>
      </c>
    </row>
    <row r="21" spans="2:40" ht="19" x14ac:dyDescent="0.25">
      <c r="B21" s="192">
        <v>44812</v>
      </c>
      <c r="C21" s="194" t="s">
        <v>107</v>
      </c>
      <c r="D21" s="194" t="s">
        <v>1</v>
      </c>
      <c r="E21" s="204" t="s">
        <v>62</v>
      </c>
      <c r="F21" s="210" t="s">
        <v>91</v>
      </c>
      <c r="G21" s="197"/>
      <c r="H21" s="215">
        <v>130000</v>
      </c>
      <c r="I21" s="199">
        <f t="shared" si="2"/>
        <v>6209962</v>
      </c>
      <c r="J21" s="205"/>
      <c r="K21" s="206"/>
      <c r="L21" s="206"/>
      <c r="M21" s="206"/>
      <c r="N21" s="206"/>
      <c r="O21" s="207"/>
      <c r="P21" s="208"/>
      <c r="Q21" s="11"/>
      <c r="R21" s="14"/>
      <c r="S21" s="15"/>
      <c r="T21" s="15">
        <v>307000</v>
      </c>
      <c r="U21" s="15">
        <v>307000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79"/>
      <c r="AN21" s="45"/>
    </row>
    <row r="22" spans="2:40" ht="19" x14ac:dyDescent="0.25">
      <c r="B22" s="192">
        <v>44812</v>
      </c>
      <c r="C22" s="194" t="s">
        <v>110</v>
      </c>
      <c r="D22" s="194" t="s">
        <v>1</v>
      </c>
      <c r="E22" s="204"/>
      <c r="F22" s="210" t="s">
        <v>91</v>
      </c>
      <c r="G22" s="197">
        <v>4200</v>
      </c>
      <c r="H22" s="215">
        <v>0</v>
      </c>
      <c r="I22" s="199">
        <f t="shared" si="2"/>
        <v>6214162</v>
      </c>
      <c r="J22" s="205"/>
      <c r="K22" s="206"/>
      <c r="L22" s="206"/>
      <c r="M22" s="206"/>
      <c r="N22" s="206"/>
      <c r="O22" s="207"/>
      <c r="P22" s="216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>
        <v>10000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79"/>
      <c r="AN22" s="45"/>
    </row>
    <row r="23" spans="2:40" ht="19" x14ac:dyDescent="0.25">
      <c r="B23" s="192">
        <v>44812</v>
      </c>
      <c r="C23" s="194" t="s">
        <v>107</v>
      </c>
      <c r="D23" s="194" t="s">
        <v>1</v>
      </c>
      <c r="E23" s="204" t="s">
        <v>63</v>
      </c>
      <c r="F23" s="210" t="s">
        <v>91</v>
      </c>
      <c r="G23" s="197"/>
      <c r="H23" s="215">
        <v>207000</v>
      </c>
      <c r="I23" s="199">
        <f t="shared" si="2"/>
        <v>6007162</v>
      </c>
      <c r="J23" s="205"/>
      <c r="K23" s="206"/>
      <c r="L23" s="206"/>
      <c r="M23" s="206"/>
      <c r="N23" s="206"/>
      <c r="O23" s="207"/>
      <c r="P23" s="208"/>
      <c r="Q23" s="11"/>
      <c r="R23" s="11"/>
      <c r="S23" s="11"/>
      <c r="T23" s="11">
        <v>207000</v>
      </c>
      <c r="U23" s="11">
        <v>207000</v>
      </c>
      <c r="V23" s="209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79"/>
      <c r="AN23" s="45"/>
    </row>
    <row r="24" spans="2:40" x14ac:dyDescent="0.25">
      <c r="B24" s="192">
        <v>44813</v>
      </c>
      <c r="C24" s="194" t="s">
        <v>65</v>
      </c>
      <c r="D24" s="194" t="s">
        <v>24</v>
      </c>
      <c r="E24" s="204" t="s">
        <v>64</v>
      </c>
      <c r="F24" s="210" t="s">
        <v>46</v>
      </c>
      <c r="G24" s="197"/>
      <c r="H24" s="215">
        <v>100000</v>
      </c>
      <c r="I24" s="199">
        <f t="shared" si="2"/>
        <v>5907162</v>
      </c>
      <c r="J24" s="205"/>
      <c r="K24" s="206"/>
      <c r="L24" s="206"/>
      <c r="M24" s="206"/>
      <c r="N24" s="206"/>
      <c r="O24" s="207"/>
      <c r="P24" s="203">
        <f t="shared" ref="P24:AF27" si="3">IF($D24=P$13,$H24, 0)</f>
        <v>0</v>
      </c>
      <c r="Q24" s="203">
        <f t="shared" si="3"/>
        <v>0</v>
      </c>
      <c r="R24" s="203">
        <f t="shared" si="3"/>
        <v>0</v>
      </c>
      <c r="S24" s="203">
        <f t="shared" si="3"/>
        <v>0</v>
      </c>
      <c r="T24" s="203">
        <f t="shared" si="3"/>
        <v>0</v>
      </c>
      <c r="U24" s="203">
        <f t="shared" si="3"/>
        <v>0</v>
      </c>
      <c r="V24" s="203">
        <f t="shared" si="3"/>
        <v>0</v>
      </c>
      <c r="W24" s="203">
        <f t="shared" si="3"/>
        <v>0</v>
      </c>
      <c r="X24" s="203">
        <f t="shared" si="3"/>
        <v>0</v>
      </c>
      <c r="Y24" s="203">
        <f t="shared" si="3"/>
        <v>0</v>
      </c>
      <c r="Z24" s="203">
        <f t="shared" si="3"/>
        <v>0</v>
      </c>
      <c r="AA24" s="203">
        <f t="shared" si="3"/>
        <v>0</v>
      </c>
      <c r="AB24" s="203">
        <f t="shared" si="3"/>
        <v>0</v>
      </c>
      <c r="AC24" s="203">
        <f t="shared" si="3"/>
        <v>100000</v>
      </c>
      <c r="AD24" s="203">
        <f t="shared" si="3"/>
        <v>0</v>
      </c>
      <c r="AE24" s="203">
        <f t="shared" si="3"/>
        <v>0</v>
      </c>
      <c r="AF24" s="203">
        <f t="shared" si="3"/>
        <v>0</v>
      </c>
      <c r="AG24" s="203">
        <f t="shared" ref="AG24:AN27" si="4">IF($D24=AG$13,$H24, 0)</f>
        <v>0</v>
      </c>
      <c r="AH24" s="203">
        <f t="shared" si="4"/>
        <v>0</v>
      </c>
      <c r="AI24" s="203">
        <f t="shared" si="4"/>
        <v>0</v>
      </c>
      <c r="AJ24" s="203">
        <f t="shared" si="4"/>
        <v>0</v>
      </c>
      <c r="AK24" s="203">
        <f t="shared" si="4"/>
        <v>0</v>
      </c>
      <c r="AL24" s="203">
        <f t="shared" si="4"/>
        <v>0</v>
      </c>
      <c r="AM24" s="203">
        <f t="shared" si="4"/>
        <v>0</v>
      </c>
      <c r="AN24" s="203">
        <f t="shared" si="4"/>
        <v>0</v>
      </c>
    </row>
    <row r="25" spans="2:40" x14ac:dyDescent="0.25">
      <c r="B25" s="192">
        <v>44816</v>
      </c>
      <c r="C25" s="194" t="s">
        <v>66</v>
      </c>
      <c r="D25" s="194" t="s">
        <v>111</v>
      </c>
      <c r="E25" s="204" t="s">
        <v>67</v>
      </c>
      <c r="F25" s="210" t="s">
        <v>54</v>
      </c>
      <c r="G25" s="197"/>
      <c r="H25" s="215">
        <v>80000</v>
      </c>
      <c r="I25" s="199">
        <f t="shared" si="2"/>
        <v>5827162</v>
      </c>
      <c r="J25" s="205"/>
      <c r="K25" s="206"/>
      <c r="L25" s="206"/>
      <c r="M25" s="206"/>
      <c r="N25" s="206"/>
      <c r="O25" s="207"/>
      <c r="P25" s="203">
        <f t="shared" si="3"/>
        <v>0</v>
      </c>
      <c r="Q25" s="203">
        <f t="shared" si="3"/>
        <v>0</v>
      </c>
      <c r="R25" s="203">
        <f t="shared" si="3"/>
        <v>0</v>
      </c>
      <c r="S25" s="203">
        <f t="shared" si="3"/>
        <v>80000</v>
      </c>
      <c r="T25" s="203">
        <f t="shared" si="3"/>
        <v>0</v>
      </c>
      <c r="U25" s="203">
        <f t="shared" si="3"/>
        <v>0</v>
      </c>
      <c r="V25" s="203">
        <f t="shared" si="3"/>
        <v>0</v>
      </c>
      <c r="W25" s="203">
        <f t="shared" si="3"/>
        <v>0</v>
      </c>
      <c r="X25" s="203">
        <f t="shared" si="3"/>
        <v>0</v>
      </c>
      <c r="Y25" s="203">
        <f t="shared" si="3"/>
        <v>0</v>
      </c>
      <c r="Z25" s="203">
        <f t="shared" si="3"/>
        <v>0</v>
      </c>
      <c r="AA25" s="203">
        <f t="shared" si="3"/>
        <v>0</v>
      </c>
      <c r="AB25" s="203">
        <f t="shared" si="3"/>
        <v>0</v>
      </c>
      <c r="AC25" s="203">
        <f t="shared" si="3"/>
        <v>0</v>
      </c>
      <c r="AD25" s="203">
        <f t="shared" si="3"/>
        <v>0</v>
      </c>
      <c r="AE25" s="203">
        <f t="shared" si="3"/>
        <v>0</v>
      </c>
      <c r="AF25" s="203">
        <f t="shared" si="3"/>
        <v>0</v>
      </c>
      <c r="AG25" s="203">
        <f t="shared" si="4"/>
        <v>0</v>
      </c>
      <c r="AH25" s="203">
        <f t="shared" si="4"/>
        <v>0</v>
      </c>
      <c r="AI25" s="203">
        <f t="shared" si="4"/>
        <v>0</v>
      </c>
      <c r="AJ25" s="203">
        <f t="shared" si="4"/>
        <v>0</v>
      </c>
      <c r="AK25" s="203">
        <f t="shared" si="4"/>
        <v>0</v>
      </c>
      <c r="AL25" s="203">
        <f t="shared" si="4"/>
        <v>0</v>
      </c>
      <c r="AM25" s="203">
        <f t="shared" si="4"/>
        <v>0</v>
      </c>
      <c r="AN25" s="203">
        <f t="shared" si="4"/>
        <v>0</v>
      </c>
    </row>
    <row r="26" spans="2:40" x14ac:dyDescent="0.25">
      <c r="B26" s="192">
        <v>44816</v>
      </c>
      <c r="C26" s="194" t="s">
        <v>68</v>
      </c>
      <c r="D26" s="194" t="s">
        <v>111</v>
      </c>
      <c r="E26" s="204" t="s">
        <v>69</v>
      </c>
      <c r="F26" s="210" t="s">
        <v>54</v>
      </c>
      <c r="G26" s="197"/>
      <c r="H26" s="215">
        <v>175000</v>
      </c>
      <c r="I26" s="199">
        <f t="shared" si="2"/>
        <v>5652162</v>
      </c>
      <c r="J26" s="205"/>
      <c r="K26" s="206"/>
      <c r="L26" s="206"/>
      <c r="M26" s="206"/>
      <c r="N26" s="206"/>
      <c r="O26" s="207"/>
      <c r="P26" s="203">
        <f t="shared" si="3"/>
        <v>0</v>
      </c>
      <c r="Q26" s="203">
        <f t="shared" si="3"/>
        <v>0</v>
      </c>
      <c r="R26" s="203">
        <f t="shared" si="3"/>
        <v>0</v>
      </c>
      <c r="S26" s="203">
        <f t="shared" si="3"/>
        <v>175000</v>
      </c>
      <c r="T26" s="203">
        <f t="shared" si="3"/>
        <v>0</v>
      </c>
      <c r="U26" s="203">
        <f t="shared" si="3"/>
        <v>0</v>
      </c>
      <c r="V26" s="203">
        <f t="shared" si="3"/>
        <v>0</v>
      </c>
      <c r="W26" s="203">
        <f t="shared" si="3"/>
        <v>0</v>
      </c>
      <c r="X26" s="203">
        <f t="shared" si="3"/>
        <v>0</v>
      </c>
      <c r="Y26" s="203">
        <f t="shared" si="3"/>
        <v>0</v>
      </c>
      <c r="Z26" s="203">
        <f t="shared" si="3"/>
        <v>0</v>
      </c>
      <c r="AA26" s="203">
        <f t="shared" si="3"/>
        <v>0</v>
      </c>
      <c r="AB26" s="203">
        <f t="shared" si="3"/>
        <v>0</v>
      </c>
      <c r="AC26" s="203">
        <f t="shared" si="3"/>
        <v>0</v>
      </c>
      <c r="AD26" s="203">
        <f t="shared" si="3"/>
        <v>0</v>
      </c>
      <c r="AE26" s="203">
        <f t="shared" si="3"/>
        <v>0</v>
      </c>
      <c r="AF26" s="203">
        <f t="shared" si="3"/>
        <v>0</v>
      </c>
      <c r="AG26" s="203">
        <f t="shared" si="4"/>
        <v>0</v>
      </c>
      <c r="AH26" s="203">
        <f t="shared" si="4"/>
        <v>0</v>
      </c>
      <c r="AI26" s="203">
        <f t="shared" si="4"/>
        <v>0</v>
      </c>
      <c r="AJ26" s="203">
        <f t="shared" si="4"/>
        <v>0</v>
      </c>
      <c r="AK26" s="203">
        <f t="shared" si="4"/>
        <v>0</v>
      </c>
      <c r="AL26" s="203">
        <f t="shared" si="4"/>
        <v>0</v>
      </c>
      <c r="AM26" s="203">
        <f t="shared" si="4"/>
        <v>0</v>
      </c>
      <c r="AN26" s="203">
        <f t="shared" si="4"/>
        <v>0</v>
      </c>
    </row>
    <row r="27" spans="2:40" x14ac:dyDescent="0.25">
      <c r="B27" s="192">
        <v>44816</v>
      </c>
      <c r="C27" s="194" t="s">
        <v>44</v>
      </c>
      <c r="D27" s="194" t="s">
        <v>48</v>
      </c>
      <c r="E27" s="204" t="s">
        <v>70</v>
      </c>
      <c r="F27" s="210" t="s">
        <v>54</v>
      </c>
      <c r="G27" s="197"/>
      <c r="H27" s="215">
        <v>50000</v>
      </c>
      <c r="I27" s="199">
        <f t="shared" si="2"/>
        <v>5602162</v>
      </c>
      <c r="J27" s="205"/>
      <c r="K27" s="206"/>
      <c r="L27" s="206"/>
      <c r="M27" s="206"/>
      <c r="N27" s="206"/>
      <c r="O27" s="207"/>
      <c r="P27" s="203">
        <f t="shared" si="3"/>
        <v>0</v>
      </c>
      <c r="Q27" s="203">
        <f t="shared" si="3"/>
        <v>0</v>
      </c>
      <c r="R27" s="203">
        <f t="shared" si="3"/>
        <v>0</v>
      </c>
      <c r="S27" s="203">
        <f t="shared" si="3"/>
        <v>0</v>
      </c>
      <c r="T27" s="203">
        <f t="shared" si="3"/>
        <v>0</v>
      </c>
      <c r="U27" s="203">
        <f t="shared" si="3"/>
        <v>0</v>
      </c>
      <c r="V27" s="203">
        <f t="shared" si="3"/>
        <v>0</v>
      </c>
      <c r="W27" s="203">
        <f t="shared" si="3"/>
        <v>0</v>
      </c>
      <c r="X27" s="203">
        <f t="shared" si="3"/>
        <v>0</v>
      </c>
      <c r="Y27" s="203">
        <f t="shared" si="3"/>
        <v>0</v>
      </c>
      <c r="Z27" s="203">
        <f t="shared" si="3"/>
        <v>0</v>
      </c>
      <c r="AA27" s="203">
        <f t="shared" si="3"/>
        <v>0</v>
      </c>
      <c r="AB27" s="203">
        <f t="shared" si="3"/>
        <v>0</v>
      </c>
      <c r="AC27" s="203">
        <f t="shared" si="3"/>
        <v>0</v>
      </c>
      <c r="AD27" s="203">
        <f t="shared" si="3"/>
        <v>0</v>
      </c>
      <c r="AE27" s="203">
        <f t="shared" si="3"/>
        <v>0</v>
      </c>
      <c r="AF27" s="203">
        <f t="shared" si="3"/>
        <v>0</v>
      </c>
      <c r="AG27" s="203">
        <f t="shared" si="4"/>
        <v>0</v>
      </c>
      <c r="AH27" s="203">
        <f t="shared" si="4"/>
        <v>0</v>
      </c>
      <c r="AI27" s="203">
        <f t="shared" si="4"/>
        <v>0</v>
      </c>
      <c r="AJ27" s="203">
        <f t="shared" si="4"/>
        <v>50000</v>
      </c>
      <c r="AK27" s="203">
        <f t="shared" si="4"/>
        <v>0</v>
      </c>
      <c r="AL27" s="203">
        <f t="shared" si="4"/>
        <v>0</v>
      </c>
      <c r="AM27" s="203">
        <f t="shared" si="4"/>
        <v>0</v>
      </c>
      <c r="AN27" s="203">
        <f t="shared" si="4"/>
        <v>0</v>
      </c>
    </row>
    <row r="28" spans="2:40" x14ac:dyDescent="0.25">
      <c r="B28" s="192">
        <v>44816</v>
      </c>
      <c r="C28" s="194" t="s">
        <v>74</v>
      </c>
      <c r="D28" s="194" t="s">
        <v>71</v>
      </c>
      <c r="E28" s="204" t="s">
        <v>72</v>
      </c>
      <c r="F28" s="210" t="s">
        <v>73</v>
      </c>
      <c r="G28" s="197"/>
      <c r="H28" s="215">
        <v>20000</v>
      </c>
      <c r="I28" s="199">
        <f t="shared" si="2"/>
        <v>5582162</v>
      </c>
      <c r="J28" s="205"/>
      <c r="K28" s="206"/>
      <c r="L28" s="206"/>
      <c r="M28" s="206"/>
      <c r="N28" s="206"/>
      <c r="O28" s="207"/>
      <c r="P28" s="208"/>
      <c r="Q28" s="11"/>
      <c r="R28" s="11"/>
      <c r="S28" s="11"/>
      <c r="T28" s="11"/>
      <c r="U28" s="11"/>
      <c r="V28" s="11"/>
      <c r="W28" s="209"/>
      <c r="X28" s="209"/>
      <c r="Y28" s="11"/>
      <c r="Z28" s="11"/>
      <c r="AA28" s="11">
        <v>20000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79"/>
      <c r="AN28" s="45"/>
    </row>
    <row r="29" spans="2:40" x14ac:dyDescent="0.25">
      <c r="B29" s="192">
        <v>44818</v>
      </c>
      <c r="C29" s="194" t="s">
        <v>75</v>
      </c>
      <c r="D29" s="194" t="s">
        <v>71</v>
      </c>
      <c r="E29" s="204" t="s">
        <v>76</v>
      </c>
      <c r="F29" s="210" t="s">
        <v>73</v>
      </c>
      <c r="G29" s="197"/>
      <c r="H29" s="215">
        <v>71000</v>
      </c>
      <c r="I29" s="199">
        <f t="shared" si="2"/>
        <v>5511162</v>
      </c>
      <c r="J29" s="205"/>
      <c r="K29" s="206"/>
      <c r="L29" s="206"/>
      <c r="M29" s="206"/>
      <c r="N29" s="206"/>
      <c r="O29" s="207"/>
      <c r="P29" s="208"/>
      <c r="Q29" s="11"/>
      <c r="R29" s="11"/>
      <c r="S29" s="11"/>
      <c r="T29" s="11"/>
      <c r="U29" s="11"/>
      <c r="V29" s="11"/>
      <c r="W29" s="11"/>
      <c r="X29" s="11"/>
      <c r="Y29" s="16"/>
      <c r="Z29" s="11"/>
      <c r="AA29" s="11">
        <v>71000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79"/>
      <c r="AN29" s="45"/>
    </row>
    <row r="30" spans="2:40" ht="19" x14ac:dyDescent="0.25">
      <c r="B30" s="192">
        <v>44818</v>
      </c>
      <c r="C30" s="194" t="s">
        <v>78</v>
      </c>
      <c r="D30" s="194" t="s">
        <v>79</v>
      </c>
      <c r="E30" s="204" t="s">
        <v>80</v>
      </c>
      <c r="F30" s="210" t="s">
        <v>91</v>
      </c>
      <c r="G30" s="197"/>
      <c r="H30" s="215">
        <v>308000</v>
      </c>
      <c r="I30" s="199">
        <f t="shared" si="2"/>
        <v>5203162</v>
      </c>
      <c r="J30" s="205"/>
      <c r="K30" s="206"/>
      <c r="L30" s="206"/>
      <c r="M30" s="206"/>
      <c r="N30" s="206"/>
      <c r="O30" s="207"/>
      <c r="P30" s="208"/>
      <c r="Q30" s="11"/>
      <c r="R30" s="11"/>
      <c r="S30" s="11"/>
      <c r="T30" s="11"/>
      <c r="U30" s="11"/>
      <c r="V30" s="11"/>
      <c r="W30" s="11"/>
      <c r="X30" s="11"/>
      <c r="Y30" s="16"/>
      <c r="Z30" s="11"/>
      <c r="AA30" s="11"/>
      <c r="AB30" s="11"/>
      <c r="AC30" s="11"/>
      <c r="AD30" s="11"/>
      <c r="AE30" s="11"/>
      <c r="AF30" s="11"/>
      <c r="AG30" s="11"/>
      <c r="AH30" s="11"/>
      <c r="AI30" s="11">
        <v>308000</v>
      </c>
      <c r="AJ30" s="11"/>
      <c r="AK30" s="11"/>
      <c r="AL30" s="11"/>
      <c r="AM30" s="79"/>
      <c r="AN30" s="45"/>
    </row>
    <row r="31" spans="2:40" x14ac:dyDescent="0.25">
      <c r="B31" s="192">
        <v>44819</v>
      </c>
      <c r="C31" s="194" t="s">
        <v>83</v>
      </c>
      <c r="D31" s="194" t="s">
        <v>81</v>
      </c>
      <c r="E31" s="204" t="s">
        <v>82</v>
      </c>
      <c r="F31" s="210" t="s">
        <v>54</v>
      </c>
      <c r="G31" s="197"/>
      <c r="H31" s="215">
        <v>212000</v>
      </c>
      <c r="I31" s="199">
        <f t="shared" si="2"/>
        <v>4991162</v>
      </c>
      <c r="J31" s="205"/>
      <c r="K31" s="206"/>
      <c r="L31" s="206"/>
      <c r="M31" s="206"/>
      <c r="N31" s="206"/>
      <c r="O31" s="207"/>
      <c r="P31" s="203">
        <f>IF($D31=P$13,$H31, 0)</f>
        <v>0</v>
      </c>
      <c r="Q31" s="203">
        <f>IF($D31=Q$13,$H31, 0)</f>
        <v>0</v>
      </c>
      <c r="R31" s="203">
        <f t="shared" ref="R31:AN31" si="5">IF($D31=R$13,$H31, 0)</f>
        <v>0</v>
      </c>
      <c r="S31" s="203">
        <f t="shared" si="5"/>
        <v>0</v>
      </c>
      <c r="T31" s="203">
        <f t="shared" si="5"/>
        <v>0</v>
      </c>
      <c r="U31" s="203">
        <f t="shared" si="5"/>
        <v>0</v>
      </c>
      <c r="V31" s="203">
        <f t="shared" si="5"/>
        <v>0</v>
      </c>
      <c r="W31" s="203">
        <f t="shared" si="5"/>
        <v>0</v>
      </c>
      <c r="X31" s="203">
        <f t="shared" si="5"/>
        <v>0</v>
      </c>
      <c r="Y31" s="203">
        <f t="shared" si="5"/>
        <v>0</v>
      </c>
      <c r="Z31" s="203">
        <f t="shared" si="5"/>
        <v>0</v>
      </c>
      <c r="AA31" s="203">
        <f t="shared" si="5"/>
        <v>0</v>
      </c>
      <c r="AB31" s="203">
        <f t="shared" si="5"/>
        <v>212000</v>
      </c>
      <c r="AC31" s="203">
        <f t="shared" si="5"/>
        <v>0</v>
      </c>
      <c r="AD31" s="203">
        <f t="shared" si="5"/>
        <v>0</v>
      </c>
      <c r="AE31" s="203">
        <f t="shared" si="5"/>
        <v>0</v>
      </c>
      <c r="AF31" s="203">
        <f t="shared" si="5"/>
        <v>0</v>
      </c>
      <c r="AG31" s="203">
        <f t="shared" si="5"/>
        <v>0</v>
      </c>
      <c r="AH31" s="203">
        <f t="shared" si="5"/>
        <v>0</v>
      </c>
      <c r="AI31" s="203">
        <f t="shared" si="5"/>
        <v>0</v>
      </c>
      <c r="AJ31" s="203">
        <f t="shared" si="5"/>
        <v>0</v>
      </c>
      <c r="AK31" s="203">
        <f t="shared" si="5"/>
        <v>0</v>
      </c>
      <c r="AL31" s="203">
        <f t="shared" si="5"/>
        <v>0</v>
      </c>
      <c r="AM31" s="203">
        <f t="shared" si="5"/>
        <v>0</v>
      </c>
      <c r="AN31" s="203">
        <f t="shared" si="5"/>
        <v>0</v>
      </c>
    </row>
    <row r="32" spans="2:40" ht="19" x14ac:dyDescent="0.25">
      <c r="B32" s="192">
        <v>44819</v>
      </c>
      <c r="C32" s="194" t="s">
        <v>85</v>
      </c>
      <c r="D32" s="194" t="s">
        <v>90</v>
      </c>
      <c r="E32" s="204" t="s">
        <v>84</v>
      </c>
      <c r="F32" s="210" t="s">
        <v>91</v>
      </c>
      <c r="G32" s="197"/>
      <c r="H32" s="215">
        <v>40000</v>
      </c>
      <c r="I32" s="199">
        <f t="shared" si="2"/>
        <v>4951162</v>
      </c>
      <c r="J32" s="205"/>
      <c r="K32" s="206"/>
      <c r="L32" s="206"/>
      <c r="M32" s="206"/>
      <c r="N32" s="206"/>
      <c r="O32" s="207"/>
      <c r="P32" s="208"/>
      <c r="Q32" s="11"/>
      <c r="R32" s="11"/>
      <c r="S32" s="11"/>
      <c r="T32" s="11"/>
      <c r="U32" s="11"/>
      <c r="V32" s="11"/>
      <c r="W32" s="11"/>
      <c r="X32" s="11"/>
      <c r="Y32" s="16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79"/>
      <c r="AN32" s="45"/>
    </row>
    <row r="33" spans="2:40" x14ac:dyDescent="0.25">
      <c r="B33" s="192">
        <v>44819</v>
      </c>
      <c r="C33" s="194" t="s">
        <v>87</v>
      </c>
      <c r="D33" s="194" t="s">
        <v>56</v>
      </c>
      <c r="E33" s="204" t="s">
        <v>86</v>
      </c>
      <c r="F33" s="210" t="s">
        <v>46</v>
      </c>
      <c r="G33" s="197"/>
      <c r="H33" s="215">
        <v>516361.63</v>
      </c>
      <c r="I33" s="199">
        <f t="shared" si="2"/>
        <v>4434800.37</v>
      </c>
      <c r="J33" s="205"/>
      <c r="K33" s="206"/>
      <c r="L33" s="206"/>
      <c r="M33" s="206"/>
      <c r="N33" s="206"/>
      <c r="O33" s="207"/>
      <c r="P33" s="203">
        <f>IF($D33=P$13,$H33, 0)</f>
        <v>0</v>
      </c>
      <c r="Q33" s="203">
        <f>IF($D33=Q$13,$H33, 0)</f>
        <v>0</v>
      </c>
      <c r="R33" s="203">
        <f t="shared" ref="R33:AN33" si="6">IF($D33=R$13,$H33, 0)</f>
        <v>0</v>
      </c>
      <c r="S33" s="203">
        <f t="shared" si="6"/>
        <v>0</v>
      </c>
      <c r="T33" s="203">
        <f t="shared" si="6"/>
        <v>0</v>
      </c>
      <c r="U33" s="203">
        <f t="shared" si="6"/>
        <v>0</v>
      </c>
      <c r="V33" s="203">
        <f t="shared" si="6"/>
        <v>0</v>
      </c>
      <c r="W33" s="203">
        <f t="shared" si="6"/>
        <v>0</v>
      </c>
      <c r="X33" s="203">
        <f t="shared" si="6"/>
        <v>0</v>
      </c>
      <c r="Y33" s="203">
        <f t="shared" si="6"/>
        <v>0</v>
      </c>
      <c r="Z33" s="203">
        <f t="shared" si="6"/>
        <v>0</v>
      </c>
      <c r="AA33" s="203">
        <f t="shared" si="6"/>
        <v>0</v>
      </c>
      <c r="AB33" s="203">
        <f t="shared" si="6"/>
        <v>0</v>
      </c>
      <c r="AC33" s="203">
        <f t="shared" si="6"/>
        <v>0</v>
      </c>
      <c r="AD33" s="203">
        <f t="shared" si="6"/>
        <v>0</v>
      </c>
      <c r="AE33" s="203">
        <f t="shared" si="6"/>
        <v>0</v>
      </c>
      <c r="AF33" s="203">
        <f t="shared" si="6"/>
        <v>0</v>
      </c>
      <c r="AG33" s="203">
        <f t="shared" si="6"/>
        <v>0</v>
      </c>
      <c r="AH33" s="203">
        <f t="shared" si="6"/>
        <v>0</v>
      </c>
      <c r="AI33" s="203">
        <f t="shared" si="6"/>
        <v>0</v>
      </c>
      <c r="AJ33" s="203">
        <f t="shared" si="6"/>
        <v>0</v>
      </c>
      <c r="AK33" s="203">
        <f t="shared" si="6"/>
        <v>516361.63</v>
      </c>
      <c r="AL33" s="203">
        <f t="shared" si="6"/>
        <v>0</v>
      </c>
      <c r="AM33" s="203">
        <f t="shared" si="6"/>
        <v>0</v>
      </c>
      <c r="AN33" s="203">
        <f t="shared" si="6"/>
        <v>0</v>
      </c>
    </row>
    <row r="34" spans="2:40" ht="19" x14ac:dyDescent="0.25">
      <c r="B34" s="192">
        <v>44819</v>
      </c>
      <c r="C34" s="194" t="s">
        <v>89</v>
      </c>
      <c r="D34" s="194" t="s">
        <v>90</v>
      </c>
      <c r="E34" s="204" t="s">
        <v>88</v>
      </c>
      <c r="F34" s="210" t="s">
        <v>91</v>
      </c>
      <c r="G34" s="197"/>
      <c r="H34" s="215">
        <v>17500</v>
      </c>
      <c r="I34" s="199">
        <f t="shared" si="2"/>
        <v>4417300.37</v>
      </c>
      <c r="J34" s="205"/>
      <c r="K34" s="206"/>
      <c r="L34" s="206"/>
      <c r="M34" s="206"/>
      <c r="N34" s="206"/>
      <c r="O34" s="207"/>
      <c r="P34" s="208"/>
      <c r="Q34" s="11"/>
      <c r="R34" s="11"/>
      <c r="S34" s="11"/>
      <c r="T34" s="11"/>
      <c r="U34" s="11"/>
      <c r="V34" s="11"/>
      <c r="W34" s="11"/>
      <c r="X34" s="11"/>
      <c r="Y34" s="16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79"/>
      <c r="AN34" s="45"/>
    </row>
    <row r="35" spans="2:40" x14ac:dyDescent="0.25">
      <c r="B35" s="192">
        <v>44820</v>
      </c>
      <c r="C35" s="194" t="s">
        <v>114</v>
      </c>
      <c r="D35" s="194" t="s">
        <v>111</v>
      </c>
      <c r="E35" s="204" t="s">
        <v>93</v>
      </c>
      <c r="F35" s="210" t="s">
        <v>54</v>
      </c>
      <c r="G35" s="197"/>
      <c r="H35" s="215">
        <v>35700</v>
      </c>
      <c r="I35" s="199">
        <f t="shared" si="2"/>
        <v>4381600.37</v>
      </c>
      <c r="J35" s="205"/>
      <c r="K35" s="206"/>
      <c r="L35" s="206"/>
      <c r="M35" s="206"/>
      <c r="N35" s="206"/>
      <c r="O35" s="207"/>
      <c r="P35" s="203">
        <f t="shared" ref="P35:AF39" si="7">IF($D35=P$13,$H35, 0)</f>
        <v>0</v>
      </c>
      <c r="Q35" s="203">
        <f t="shared" si="7"/>
        <v>0</v>
      </c>
      <c r="R35" s="203">
        <f t="shared" si="7"/>
        <v>0</v>
      </c>
      <c r="S35" s="203">
        <f t="shared" si="7"/>
        <v>35700</v>
      </c>
      <c r="T35" s="203">
        <f t="shared" si="7"/>
        <v>0</v>
      </c>
      <c r="U35" s="203">
        <f t="shared" si="7"/>
        <v>0</v>
      </c>
      <c r="V35" s="203">
        <f t="shared" si="7"/>
        <v>0</v>
      </c>
      <c r="W35" s="203">
        <f t="shared" si="7"/>
        <v>0</v>
      </c>
      <c r="X35" s="203">
        <f t="shared" si="7"/>
        <v>0</v>
      </c>
      <c r="Y35" s="203">
        <f t="shared" si="7"/>
        <v>0</v>
      </c>
      <c r="Z35" s="203">
        <f t="shared" si="7"/>
        <v>0</v>
      </c>
      <c r="AA35" s="203">
        <f t="shared" si="7"/>
        <v>0</v>
      </c>
      <c r="AB35" s="203">
        <f t="shared" si="7"/>
        <v>0</v>
      </c>
      <c r="AC35" s="203">
        <f t="shared" si="7"/>
        <v>0</v>
      </c>
      <c r="AD35" s="203">
        <f t="shared" si="7"/>
        <v>0</v>
      </c>
      <c r="AE35" s="203">
        <f t="shared" si="7"/>
        <v>0</v>
      </c>
      <c r="AF35" s="203">
        <f t="shared" si="7"/>
        <v>0</v>
      </c>
      <c r="AG35" s="203">
        <f t="shared" ref="AG35:AN39" si="8">IF($D35=AG$13,$H35, 0)</f>
        <v>0</v>
      </c>
      <c r="AH35" s="203">
        <f t="shared" si="8"/>
        <v>0</v>
      </c>
      <c r="AI35" s="203">
        <f t="shared" si="8"/>
        <v>0</v>
      </c>
      <c r="AJ35" s="203">
        <f t="shared" si="8"/>
        <v>0</v>
      </c>
      <c r="AK35" s="203">
        <f t="shared" si="8"/>
        <v>0</v>
      </c>
      <c r="AL35" s="203">
        <f t="shared" si="8"/>
        <v>0</v>
      </c>
      <c r="AM35" s="203">
        <f t="shared" si="8"/>
        <v>0</v>
      </c>
      <c r="AN35" s="203">
        <f t="shared" si="8"/>
        <v>0</v>
      </c>
    </row>
    <row r="36" spans="2:40" x14ac:dyDescent="0.25">
      <c r="B36" s="192">
        <v>44823</v>
      </c>
      <c r="C36" s="194" t="s">
        <v>92</v>
      </c>
      <c r="D36" s="194" t="s">
        <v>24</v>
      </c>
      <c r="E36" s="204" t="s">
        <v>95</v>
      </c>
      <c r="F36" s="210" t="s">
        <v>54</v>
      </c>
      <c r="G36" s="197"/>
      <c r="H36" s="215">
        <v>80000</v>
      </c>
      <c r="I36" s="199">
        <f t="shared" si="2"/>
        <v>4301600.37</v>
      </c>
      <c r="J36" s="205"/>
      <c r="K36" s="206"/>
      <c r="L36" s="206"/>
      <c r="M36" s="206"/>
      <c r="N36" s="206"/>
      <c r="O36" s="207"/>
      <c r="P36" s="203">
        <f t="shared" si="7"/>
        <v>0</v>
      </c>
      <c r="Q36" s="203">
        <f t="shared" si="7"/>
        <v>0</v>
      </c>
      <c r="R36" s="203">
        <f t="shared" si="7"/>
        <v>0</v>
      </c>
      <c r="S36" s="203">
        <f t="shared" si="7"/>
        <v>0</v>
      </c>
      <c r="T36" s="203">
        <f t="shared" si="7"/>
        <v>0</v>
      </c>
      <c r="U36" s="203">
        <f t="shared" si="7"/>
        <v>0</v>
      </c>
      <c r="V36" s="203">
        <f t="shared" si="7"/>
        <v>0</v>
      </c>
      <c r="W36" s="203">
        <f t="shared" si="7"/>
        <v>0</v>
      </c>
      <c r="X36" s="203">
        <f t="shared" si="7"/>
        <v>0</v>
      </c>
      <c r="Y36" s="203">
        <f t="shared" si="7"/>
        <v>0</v>
      </c>
      <c r="Z36" s="203">
        <f t="shared" si="7"/>
        <v>0</v>
      </c>
      <c r="AA36" s="203">
        <f t="shared" si="7"/>
        <v>0</v>
      </c>
      <c r="AB36" s="203">
        <f t="shared" si="7"/>
        <v>0</v>
      </c>
      <c r="AC36" s="203">
        <f t="shared" si="7"/>
        <v>80000</v>
      </c>
      <c r="AD36" s="203">
        <f t="shared" si="7"/>
        <v>0</v>
      </c>
      <c r="AE36" s="203">
        <f t="shared" si="7"/>
        <v>0</v>
      </c>
      <c r="AF36" s="203">
        <f t="shared" si="7"/>
        <v>0</v>
      </c>
      <c r="AG36" s="203">
        <f t="shared" si="8"/>
        <v>0</v>
      </c>
      <c r="AH36" s="203">
        <f t="shared" si="8"/>
        <v>0</v>
      </c>
      <c r="AI36" s="203">
        <f t="shared" si="8"/>
        <v>0</v>
      </c>
      <c r="AJ36" s="203">
        <f t="shared" si="8"/>
        <v>0</v>
      </c>
      <c r="AK36" s="203">
        <f t="shared" si="8"/>
        <v>0</v>
      </c>
      <c r="AL36" s="203">
        <f t="shared" si="8"/>
        <v>0</v>
      </c>
      <c r="AM36" s="203">
        <f t="shared" si="8"/>
        <v>0</v>
      </c>
      <c r="AN36" s="203">
        <f t="shared" si="8"/>
        <v>0</v>
      </c>
    </row>
    <row r="37" spans="2:40" x14ac:dyDescent="0.25">
      <c r="B37" s="192">
        <v>44824</v>
      </c>
      <c r="C37" s="194" t="s">
        <v>99</v>
      </c>
      <c r="D37" s="194" t="s">
        <v>94</v>
      </c>
      <c r="E37" s="204" t="s">
        <v>97</v>
      </c>
      <c r="F37" s="210" t="s">
        <v>54</v>
      </c>
      <c r="G37" s="197"/>
      <c r="H37" s="215">
        <v>7500</v>
      </c>
      <c r="I37" s="199">
        <f t="shared" si="2"/>
        <v>4294100.37</v>
      </c>
      <c r="J37" s="205"/>
      <c r="K37" s="206"/>
      <c r="L37" s="206"/>
      <c r="M37" s="206"/>
      <c r="N37" s="206"/>
      <c r="O37" s="207"/>
      <c r="P37" s="203">
        <f t="shared" si="7"/>
        <v>7500</v>
      </c>
      <c r="Q37" s="203">
        <f t="shared" si="7"/>
        <v>0</v>
      </c>
      <c r="R37" s="203">
        <f t="shared" si="7"/>
        <v>0</v>
      </c>
      <c r="S37" s="203">
        <f t="shared" si="7"/>
        <v>0</v>
      </c>
      <c r="T37" s="203">
        <f t="shared" si="7"/>
        <v>0</v>
      </c>
      <c r="U37" s="203">
        <f t="shared" si="7"/>
        <v>0</v>
      </c>
      <c r="V37" s="203">
        <f t="shared" si="7"/>
        <v>0</v>
      </c>
      <c r="W37" s="203">
        <f t="shared" si="7"/>
        <v>0</v>
      </c>
      <c r="X37" s="203">
        <f t="shared" si="7"/>
        <v>0</v>
      </c>
      <c r="Y37" s="203">
        <f t="shared" si="7"/>
        <v>0</v>
      </c>
      <c r="Z37" s="203">
        <f t="shared" si="7"/>
        <v>0</v>
      </c>
      <c r="AA37" s="203">
        <f t="shared" si="7"/>
        <v>0</v>
      </c>
      <c r="AB37" s="203">
        <f t="shared" si="7"/>
        <v>0</v>
      </c>
      <c r="AC37" s="203">
        <f t="shared" si="7"/>
        <v>0</v>
      </c>
      <c r="AD37" s="203">
        <f t="shared" si="7"/>
        <v>0</v>
      </c>
      <c r="AE37" s="203">
        <f t="shared" si="7"/>
        <v>0</v>
      </c>
      <c r="AF37" s="203">
        <f t="shared" si="7"/>
        <v>0</v>
      </c>
      <c r="AG37" s="203">
        <f t="shared" si="8"/>
        <v>0</v>
      </c>
      <c r="AH37" s="203">
        <f t="shared" si="8"/>
        <v>0</v>
      </c>
      <c r="AI37" s="203">
        <f t="shared" si="8"/>
        <v>0</v>
      </c>
      <c r="AJ37" s="203">
        <f t="shared" si="8"/>
        <v>0</v>
      </c>
      <c r="AK37" s="203">
        <f t="shared" si="8"/>
        <v>0</v>
      </c>
      <c r="AL37" s="203">
        <f t="shared" si="8"/>
        <v>0</v>
      </c>
      <c r="AM37" s="203">
        <f t="shared" si="8"/>
        <v>0</v>
      </c>
      <c r="AN37" s="203">
        <f t="shared" si="8"/>
        <v>0</v>
      </c>
    </row>
    <row r="38" spans="2:40" x14ac:dyDescent="0.25">
      <c r="B38" s="192">
        <v>44826</v>
      </c>
      <c r="C38" s="194" t="s">
        <v>114</v>
      </c>
      <c r="D38" s="194" t="s">
        <v>111</v>
      </c>
      <c r="E38" s="204" t="s">
        <v>98</v>
      </c>
      <c r="F38" s="210" t="s">
        <v>54</v>
      </c>
      <c r="G38" s="197"/>
      <c r="H38" s="215">
        <v>14000</v>
      </c>
      <c r="I38" s="199">
        <f t="shared" si="2"/>
        <v>4280100.37</v>
      </c>
      <c r="J38" s="205"/>
      <c r="K38" s="206"/>
      <c r="L38" s="206"/>
      <c r="M38" s="206"/>
      <c r="N38" s="206"/>
      <c r="O38" s="207"/>
      <c r="P38" s="203">
        <f t="shared" si="7"/>
        <v>0</v>
      </c>
      <c r="Q38" s="203">
        <f t="shared" si="7"/>
        <v>0</v>
      </c>
      <c r="R38" s="203">
        <f t="shared" si="7"/>
        <v>0</v>
      </c>
      <c r="S38" s="203">
        <f t="shared" si="7"/>
        <v>14000</v>
      </c>
      <c r="T38" s="203">
        <f t="shared" si="7"/>
        <v>0</v>
      </c>
      <c r="U38" s="203">
        <f t="shared" si="7"/>
        <v>0</v>
      </c>
      <c r="V38" s="203">
        <f t="shared" si="7"/>
        <v>0</v>
      </c>
      <c r="W38" s="203">
        <f t="shared" si="7"/>
        <v>0</v>
      </c>
      <c r="X38" s="203">
        <f t="shared" si="7"/>
        <v>0</v>
      </c>
      <c r="Y38" s="203">
        <f t="shared" si="7"/>
        <v>0</v>
      </c>
      <c r="Z38" s="203">
        <f t="shared" si="7"/>
        <v>0</v>
      </c>
      <c r="AA38" s="203">
        <f t="shared" si="7"/>
        <v>0</v>
      </c>
      <c r="AB38" s="203">
        <f t="shared" si="7"/>
        <v>0</v>
      </c>
      <c r="AC38" s="203">
        <f t="shared" si="7"/>
        <v>0</v>
      </c>
      <c r="AD38" s="203">
        <f t="shared" si="7"/>
        <v>0</v>
      </c>
      <c r="AE38" s="203">
        <f t="shared" si="7"/>
        <v>0</v>
      </c>
      <c r="AF38" s="203">
        <f t="shared" si="7"/>
        <v>0</v>
      </c>
      <c r="AG38" s="203">
        <f t="shared" si="8"/>
        <v>0</v>
      </c>
      <c r="AH38" s="203">
        <f t="shared" si="8"/>
        <v>0</v>
      </c>
      <c r="AI38" s="203">
        <f t="shared" si="8"/>
        <v>0</v>
      </c>
      <c r="AJ38" s="203">
        <f t="shared" si="8"/>
        <v>0</v>
      </c>
      <c r="AK38" s="203">
        <f t="shared" si="8"/>
        <v>0</v>
      </c>
      <c r="AL38" s="203">
        <f t="shared" si="8"/>
        <v>0</v>
      </c>
      <c r="AM38" s="203">
        <f t="shared" si="8"/>
        <v>0</v>
      </c>
      <c r="AN38" s="203">
        <f t="shared" si="8"/>
        <v>0</v>
      </c>
    </row>
    <row r="39" spans="2:40" x14ac:dyDescent="0.25">
      <c r="B39" s="192">
        <v>44826</v>
      </c>
      <c r="C39" s="194" t="s">
        <v>102</v>
      </c>
      <c r="D39" s="194" t="s">
        <v>103</v>
      </c>
      <c r="E39" s="204" t="s">
        <v>100</v>
      </c>
      <c r="F39" s="210" t="s">
        <v>130</v>
      </c>
      <c r="G39" s="197"/>
      <c r="H39" s="215">
        <v>3540000</v>
      </c>
      <c r="I39" s="199">
        <f t="shared" si="2"/>
        <v>740100.37000000011</v>
      </c>
      <c r="J39" s="205"/>
      <c r="K39" s="206"/>
      <c r="L39" s="206"/>
      <c r="M39" s="206"/>
      <c r="N39" s="206"/>
      <c r="O39" s="207"/>
      <c r="P39" s="203">
        <f t="shared" si="7"/>
        <v>0</v>
      </c>
      <c r="Q39" s="203">
        <f t="shared" si="7"/>
        <v>0</v>
      </c>
      <c r="R39" s="203">
        <f t="shared" si="7"/>
        <v>0</v>
      </c>
      <c r="S39" s="203">
        <f t="shared" si="7"/>
        <v>0</v>
      </c>
      <c r="T39" s="203">
        <f t="shared" si="7"/>
        <v>0</v>
      </c>
      <c r="U39" s="203">
        <f t="shared" si="7"/>
        <v>0</v>
      </c>
      <c r="V39" s="203">
        <f t="shared" si="7"/>
        <v>0</v>
      </c>
      <c r="W39" s="203">
        <f t="shared" si="7"/>
        <v>0</v>
      </c>
      <c r="X39" s="203">
        <f t="shared" si="7"/>
        <v>0</v>
      </c>
      <c r="Y39" s="203">
        <f t="shared" si="7"/>
        <v>3540000</v>
      </c>
      <c r="Z39" s="203">
        <f t="shared" si="7"/>
        <v>0</v>
      </c>
      <c r="AA39" s="203">
        <f t="shared" si="7"/>
        <v>0</v>
      </c>
      <c r="AB39" s="203">
        <f t="shared" si="7"/>
        <v>0</v>
      </c>
      <c r="AC39" s="203">
        <f t="shared" si="7"/>
        <v>0</v>
      </c>
      <c r="AD39" s="203">
        <f t="shared" si="7"/>
        <v>0</v>
      </c>
      <c r="AE39" s="203">
        <f t="shared" si="7"/>
        <v>0</v>
      </c>
      <c r="AF39" s="203">
        <f t="shared" si="7"/>
        <v>0</v>
      </c>
      <c r="AG39" s="203">
        <f t="shared" si="8"/>
        <v>0</v>
      </c>
      <c r="AH39" s="203">
        <f t="shared" si="8"/>
        <v>0</v>
      </c>
      <c r="AI39" s="203">
        <f t="shared" si="8"/>
        <v>0</v>
      </c>
      <c r="AJ39" s="203">
        <f t="shared" si="8"/>
        <v>0</v>
      </c>
      <c r="AK39" s="203">
        <f t="shared" si="8"/>
        <v>0</v>
      </c>
      <c r="AL39" s="203">
        <f t="shared" si="8"/>
        <v>0</v>
      </c>
      <c r="AM39" s="203">
        <f t="shared" si="8"/>
        <v>0</v>
      </c>
      <c r="AN39" s="203">
        <f t="shared" si="8"/>
        <v>0</v>
      </c>
    </row>
    <row r="40" spans="2:40" x14ac:dyDescent="0.25">
      <c r="B40" s="192">
        <v>44826</v>
      </c>
      <c r="C40" s="194" t="s">
        <v>96</v>
      </c>
      <c r="D40" s="194" t="s">
        <v>94</v>
      </c>
      <c r="E40" s="204" t="s">
        <v>101</v>
      </c>
      <c r="F40" s="210" t="s">
        <v>73</v>
      </c>
      <c r="G40" s="197"/>
      <c r="H40" s="215">
        <v>28000</v>
      </c>
      <c r="I40" s="199">
        <f t="shared" si="2"/>
        <v>712100.37000000011</v>
      </c>
      <c r="J40" s="205"/>
      <c r="K40" s="206"/>
      <c r="L40" s="206"/>
      <c r="M40" s="206"/>
      <c r="N40" s="206"/>
      <c r="O40" s="207"/>
      <c r="P40" s="208"/>
      <c r="Q40" s="11"/>
      <c r="R40" s="11"/>
      <c r="S40" s="11"/>
      <c r="T40" s="11"/>
      <c r="U40" s="11"/>
      <c r="V40" s="11"/>
      <c r="W40" s="11"/>
      <c r="X40" s="11"/>
      <c r="Y40" s="11"/>
      <c r="Z40" s="14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79"/>
      <c r="AN40" s="45"/>
    </row>
    <row r="41" spans="2:40" x14ac:dyDescent="0.25">
      <c r="B41" s="192">
        <v>44827</v>
      </c>
      <c r="C41" s="194" t="s">
        <v>44</v>
      </c>
      <c r="D41" s="194" t="s">
        <v>48</v>
      </c>
      <c r="E41" s="204" t="s">
        <v>108</v>
      </c>
      <c r="F41" s="210" t="s">
        <v>54</v>
      </c>
      <c r="G41" s="197"/>
      <c r="H41" s="215">
        <v>50000</v>
      </c>
      <c r="I41" s="199">
        <f t="shared" si="2"/>
        <v>662100.37000000011</v>
      </c>
      <c r="J41" s="205"/>
      <c r="K41" s="206"/>
      <c r="L41" s="206"/>
      <c r="M41" s="206"/>
      <c r="N41" s="206"/>
      <c r="O41" s="207"/>
      <c r="P41" s="203">
        <f t="shared" ref="P41:AF46" si="9">IF($D41=P$13,$H41, 0)</f>
        <v>0</v>
      </c>
      <c r="Q41" s="203">
        <f t="shared" si="9"/>
        <v>0</v>
      </c>
      <c r="R41" s="203">
        <f t="shared" si="9"/>
        <v>0</v>
      </c>
      <c r="S41" s="203">
        <f t="shared" si="9"/>
        <v>0</v>
      </c>
      <c r="T41" s="203">
        <f t="shared" si="9"/>
        <v>0</v>
      </c>
      <c r="U41" s="203">
        <f t="shared" si="9"/>
        <v>0</v>
      </c>
      <c r="V41" s="203">
        <f t="shared" si="9"/>
        <v>0</v>
      </c>
      <c r="W41" s="203">
        <f t="shared" si="9"/>
        <v>0</v>
      </c>
      <c r="X41" s="203">
        <f t="shared" si="9"/>
        <v>0</v>
      </c>
      <c r="Y41" s="203">
        <f t="shared" si="9"/>
        <v>0</v>
      </c>
      <c r="Z41" s="203">
        <f t="shared" si="9"/>
        <v>0</v>
      </c>
      <c r="AA41" s="203">
        <f t="shared" si="9"/>
        <v>0</v>
      </c>
      <c r="AB41" s="203">
        <f t="shared" si="9"/>
        <v>0</v>
      </c>
      <c r="AC41" s="203">
        <f t="shared" si="9"/>
        <v>0</v>
      </c>
      <c r="AD41" s="203">
        <f t="shared" si="9"/>
        <v>0</v>
      </c>
      <c r="AE41" s="203">
        <f t="shared" si="9"/>
        <v>0</v>
      </c>
      <c r="AF41" s="203">
        <f t="shared" si="9"/>
        <v>0</v>
      </c>
      <c r="AG41" s="203">
        <f t="shared" ref="AG41:AN46" si="10">IF($D41=AG$13,$H41, 0)</f>
        <v>0</v>
      </c>
      <c r="AH41" s="203">
        <f t="shared" si="10"/>
        <v>0</v>
      </c>
      <c r="AI41" s="203">
        <f t="shared" si="10"/>
        <v>0</v>
      </c>
      <c r="AJ41" s="203">
        <f t="shared" si="10"/>
        <v>50000</v>
      </c>
      <c r="AK41" s="203">
        <f t="shared" si="10"/>
        <v>0</v>
      </c>
      <c r="AL41" s="203">
        <f t="shared" si="10"/>
        <v>0</v>
      </c>
      <c r="AM41" s="203">
        <f t="shared" si="10"/>
        <v>0</v>
      </c>
      <c r="AN41" s="203">
        <f t="shared" si="10"/>
        <v>0</v>
      </c>
    </row>
    <row r="42" spans="2:40" x14ac:dyDescent="0.25">
      <c r="B42" s="192">
        <v>44830</v>
      </c>
      <c r="C42" s="194" t="s">
        <v>114</v>
      </c>
      <c r="D42" s="194" t="s">
        <v>111</v>
      </c>
      <c r="E42" s="204" t="s">
        <v>109</v>
      </c>
      <c r="F42" s="210" t="s">
        <v>54</v>
      </c>
      <c r="G42" s="197"/>
      <c r="H42" s="215">
        <v>139400</v>
      </c>
      <c r="I42" s="199">
        <f t="shared" si="2"/>
        <v>522700.37000000011</v>
      </c>
      <c r="J42" s="205"/>
      <c r="K42" s="206"/>
      <c r="L42" s="206"/>
      <c r="M42" s="206"/>
      <c r="N42" s="206"/>
      <c r="O42" s="207"/>
      <c r="P42" s="203">
        <f t="shared" si="9"/>
        <v>0</v>
      </c>
      <c r="Q42" s="203">
        <f t="shared" si="9"/>
        <v>0</v>
      </c>
      <c r="R42" s="203">
        <f t="shared" si="9"/>
        <v>0</v>
      </c>
      <c r="S42" s="203">
        <f t="shared" si="9"/>
        <v>139400</v>
      </c>
      <c r="T42" s="203">
        <f t="shared" si="9"/>
        <v>0</v>
      </c>
      <c r="U42" s="203">
        <f t="shared" si="9"/>
        <v>0</v>
      </c>
      <c r="V42" s="203">
        <f t="shared" si="9"/>
        <v>0</v>
      </c>
      <c r="W42" s="203">
        <f t="shared" si="9"/>
        <v>0</v>
      </c>
      <c r="X42" s="203">
        <f t="shared" si="9"/>
        <v>0</v>
      </c>
      <c r="Y42" s="203">
        <f t="shared" si="9"/>
        <v>0</v>
      </c>
      <c r="Z42" s="203">
        <f t="shared" si="9"/>
        <v>0</v>
      </c>
      <c r="AA42" s="203">
        <f t="shared" si="9"/>
        <v>0</v>
      </c>
      <c r="AB42" s="203">
        <f t="shared" si="9"/>
        <v>0</v>
      </c>
      <c r="AC42" s="203">
        <f t="shared" si="9"/>
        <v>0</v>
      </c>
      <c r="AD42" s="203">
        <f t="shared" si="9"/>
        <v>0</v>
      </c>
      <c r="AE42" s="203">
        <f t="shared" si="9"/>
        <v>0</v>
      </c>
      <c r="AF42" s="203">
        <f t="shared" si="9"/>
        <v>0</v>
      </c>
      <c r="AG42" s="203">
        <f t="shared" si="10"/>
        <v>0</v>
      </c>
      <c r="AH42" s="203">
        <f t="shared" si="10"/>
        <v>0</v>
      </c>
      <c r="AI42" s="203">
        <f t="shared" si="10"/>
        <v>0</v>
      </c>
      <c r="AJ42" s="203">
        <f t="shared" si="10"/>
        <v>0</v>
      </c>
      <c r="AK42" s="203">
        <f t="shared" si="10"/>
        <v>0</v>
      </c>
      <c r="AL42" s="203">
        <f t="shared" si="10"/>
        <v>0</v>
      </c>
      <c r="AM42" s="203">
        <f t="shared" si="10"/>
        <v>0</v>
      </c>
      <c r="AN42" s="203">
        <f t="shared" si="10"/>
        <v>0</v>
      </c>
    </row>
    <row r="43" spans="2:40" x14ac:dyDescent="0.25">
      <c r="B43" s="192">
        <v>44832</v>
      </c>
      <c r="C43" s="194" t="s">
        <v>112</v>
      </c>
      <c r="D43" s="194" t="s">
        <v>111</v>
      </c>
      <c r="E43" s="204" t="s">
        <v>113</v>
      </c>
      <c r="F43" s="210" t="s">
        <v>54</v>
      </c>
      <c r="G43" s="197"/>
      <c r="H43" s="215">
        <v>14500</v>
      </c>
      <c r="I43" s="199">
        <f t="shared" si="2"/>
        <v>508200.37000000011</v>
      </c>
      <c r="J43" s="205"/>
      <c r="K43" s="206"/>
      <c r="L43" s="206"/>
      <c r="M43" s="206"/>
      <c r="N43" s="206"/>
      <c r="O43" s="207"/>
      <c r="P43" s="203">
        <f t="shared" si="9"/>
        <v>0</v>
      </c>
      <c r="Q43" s="203">
        <f t="shared" si="9"/>
        <v>0</v>
      </c>
      <c r="R43" s="203">
        <f t="shared" si="9"/>
        <v>0</v>
      </c>
      <c r="S43" s="203">
        <f t="shared" si="9"/>
        <v>14500</v>
      </c>
      <c r="T43" s="203">
        <f t="shared" si="9"/>
        <v>0</v>
      </c>
      <c r="U43" s="203">
        <f t="shared" si="9"/>
        <v>0</v>
      </c>
      <c r="V43" s="203">
        <f t="shared" si="9"/>
        <v>0</v>
      </c>
      <c r="W43" s="203">
        <f t="shared" si="9"/>
        <v>0</v>
      </c>
      <c r="X43" s="203">
        <f t="shared" si="9"/>
        <v>0</v>
      </c>
      <c r="Y43" s="203">
        <f t="shared" si="9"/>
        <v>0</v>
      </c>
      <c r="Z43" s="203">
        <f t="shared" si="9"/>
        <v>0</v>
      </c>
      <c r="AA43" s="203">
        <f t="shared" si="9"/>
        <v>0</v>
      </c>
      <c r="AB43" s="203">
        <f t="shared" si="9"/>
        <v>0</v>
      </c>
      <c r="AC43" s="203">
        <f t="shared" si="9"/>
        <v>0</v>
      </c>
      <c r="AD43" s="203">
        <f t="shared" si="9"/>
        <v>0</v>
      </c>
      <c r="AE43" s="203">
        <f t="shared" si="9"/>
        <v>0</v>
      </c>
      <c r="AF43" s="203">
        <f t="shared" si="9"/>
        <v>0</v>
      </c>
      <c r="AG43" s="203">
        <f t="shared" si="10"/>
        <v>0</v>
      </c>
      <c r="AH43" s="203">
        <f t="shared" si="10"/>
        <v>0</v>
      </c>
      <c r="AI43" s="203">
        <f t="shared" si="10"/>
        <v>0</v>
      </c>
      <c r="AJ43" s="203">
        <f t="shared" si="10"/>
        <v>0</v>
      </c>
      <c r="AK43" s="203">
        <f t="shared" si="10"/>
        <v>0</v>
      </c>
      <c r="AL43" s="203">
        <f t="shared" si="10"/>
        <v>0</v>
      </c>
      <c r="AM43" s="203">
        <f t="shared" si="10"/>
        <v>0</v>
      </c>
      <c r="AN43" s="203">
        <f t="shared" si="10"/>
        <v>0</v>
      </c>
    </row>
    <row r="44" spans="2:40" x14ac:dyDescent="0.25">
      <c r="B44" s="192">
        <v>44833</v>
      </c>
      <c r="C44" s="194" t="s">
        <v>115</v>
      </c>
      <c r="D44" s="194" t="s">
        <v>24</v>
      </c>
      <c r="E44" s="204" t="s">
        <v>116</v>
      </c>
      <c r="F44" s="210" t="s">
        <v>54</v>
      </c>
      <c r="G44" s="197"/>
      <c r="H44" s="215">
        <v>254000</v>
      </c>
      <c r="I44" s="199">
        <f t="shared" si="2"/>
        <v>254200.37000000011</v>
      </c>
      <c r="J44" s="205"/>
      <c r="K44" s="206"/>
      <c r="L44" s="206"/>
      <c r="M44" s="206"/>
      <c r="N44" s="206"/>
      <c r="O44" s="207"/>
      <c r="P44" s="203">
        <f t="shared" si="9"/>
        <v>0</v>
      </c>
      <c r="Q44" s="203">
        <f t="shared" si="9"/>
        <v>0</v>
      </c>
      <c r="R44" s="203">
        <f t="shared" si="9"/>
        <v>0</v>
      </c>
      <c r="S44" s="203">
        <f t="shared" si="9"/>
        <v>0</v>
      </c>
      <c r="T44" s="203">
        <f t="shared" si="9"/>
        <v>0</v>
      </c>
      <c r="U44" s="203">
        <f t="shared" si="9"/>
        <v>0</v>
      </c>
      <c r="V44" s="203">
        <f t="shared" si="9"/>
        <v>0</v>
      </c>
      <c r="W44" s="203">
        <f t="shared" si="9"/>
        <v>0</v>
      </c>
      <c r="X44" s="203">
        <f t="shared" si="9"/>
        <v>0</v>
      </c>
      <c r="Y44" s="203">
        <f t="shared" si="9"/>
        <v>0</v>
      </c>
      <c r="Z44" s="203">
        <f t="shared" si="9"/>
        <v>0</v>
      </c>
      <c r="AA44" s="203">
        <f t="shared" si="9"/>
        <v>0</v>
      </c>
      <c r="AB44" s="203">
        <f t="shared" si="9"/>
        <v>0</v>
      </c>
      <c r="AC44" s="203">
        <f t="shared" si="9"/>
        <v>254000</v>
      </c>
      <c r="AD44" s="203">
        <f t="shared" si="9"/>
        <v>0</v>
      </c>
      <c r="AE44" s="203">
        <f t="shared" si="9"/>
        <v>0</v>
      </c>
      <c r="AF44" s="203">
        <f t="shared" si="9"/>
        <v>0</v>
      </c>
      <c r="AG44" s="203">
        <f t="shared" si="10"/>
        <v>0</v>
      </c>
      <c r="AH44" s="203">
        <f t="shared" si="10"/>
        <v>0</v>
      </c>
      <c r="AI44" s="203">
        <f t="shared" si="10"/>
        <v>0</v>
      </c>
      <c r="AJ44" s="203">
        <f t="shared" si="10"/>
        <v>0</v>
      </c>
      <c r="AK44" s="203">
        <f t="shared" si="10"/>
        <v>0</v>
      </c>
      <c r="AL44" s="203">
        <f t="shared" si="10"/>
        <v>0</v>
      </c>
      <c r="AM44" s="203">
        <f t="shared" si="10"/>
        <v>0</v>
      </c>
      <c r="AN44" s="203">
        <f t="shared" si="10"/>
        <v>0</v>
      </c>
    </row>
    <row r="45" spans="2:40" x14ac:dyDescent="0.25">
      <c r="B45" s="192">
        <v>44833</v>
      </c>
      <c r="C45" s="194" t="s">
        <v>118</v>
      </c>
      <c r="D45" s="194" t="s">
        <v>119</v>
      </c>
      <c r="E45" s="204" t="s">
        <v>117</v>
      </c>
      <c r="F45" s="210" t="s">
        <v>54</v>
      </c>
      <c r="G45" s="197"/>
      <c r="H45" s="215">
        <v>200000</v>
      </c>
      <c r="I45" s="199">
        <f t="shared" si="2"/>
        <v>54200.370000000112</v>
      </c>
      <c r="J45" s="205"/>
      <c r="K45" s="206"/>
      <c r="L45" s="206"/>
      <c r="M45" s="206"/>
      <c r="N45" s="206"/>
      <c r="O45" s="207"/>
      <c r="P45" s="203">
        <f t="shared" si="9"/>
        <v>0</v>
      </c>
      <c r="Q45" s="203">
        <f t="shared" si="9"/>
        <v>0</v>
      </c>
      <c r="R45" s="203">
        <f t="shared" si="9"/>
        <v>0</v>
      </c>
      <c r="S45" s="203">
        <f t="shared" si="9"/>
        <v>0</v>
      </c>
      <c r="T45" s="203">
        <f t="shared" si="9"/>
        <v>0</v>
      </c>
      <c r="U45" s="203">
        <f t="shared" si="9"/>
        <v>0</v>
      </c>
      <c r="V45" s="203">
        <f t="shared" si="9"/>
        <v>0</v>
      </c>
      <c r="W45" s="203">
        <f t="shared" si="9"/>
        <v>0</v>
      </c>
      <c r="X45" s="203">
        <f t="shared" si="9"/>
        <v>0</v>
      </c>
      <c r="Y45" s="203">
        <f t="shared" si="9"/>
        <v>0</v>
      </c>
      <c r="Z45" s="203">
        <f t="shared" si="9"/>
        <v>0</v>
      </c>
      <c r="AA45" s="203">
        <f t="shared" si="9"/>
        <v>0</v>
      </c>
      <c r="AB45" s="203">
        <f t="shared" si="9"/>
        <v>0</v>
      </c>
      <c r="AC45" s="203">
        <f t="shared" si="9"/>
        <v>0</v>
      </c>
      <c r="AD45" s="203">
        <f t="shared" si="9"/>
        <v>0</v>
      </c>
      <c r="AE45" s="203">
        <f t="shared" si="9"/>
        <v>0</v>
      </c>
      <c r="AF45" s="203">
        <f t="shared" si="9"/>
        <v>0</v>
      </c>
      <c r="AG45" s="203">
        <f t="shared" si="10"/>
        <v>200000</v>
      </c>
      <c r="AH45" s="203">
        <f t="shared" si="10"/>
        <v>0</v>
      </c>
      <c r="AI45" s="203">
        <f t="shared" si="10"/>
        <v>0</v>
      </c>
      <c r="AJ45" s="203">
        <f t="shared" si="10"/>
        <v>0</v>
      </c>
      <c r="AK45" s="203">
        <f t="shared" si="10"/>
        <v>0</v>
      </c>
      <c r="AL45" s="203">
        <f t="shared" si="10"/>
        <v>0</v>
      </c>
      <c r="AM45" s="203">
        <f t="shared" si="10"/>
        <v>0</v>
      </c>
      <c r="AN45" s="203">
        <f t="shared" si="10"/>
        <v>0</v>
      </c>
    </row>
    <row r="46" spans="2:40" x14ac:dyDescent="0.25">
      <c r="B46" s="192">
        <v>44839</v>
      </c>
      <c r="C46" s="194" t="s">
        <v>44</v>
      </c>
      <c r="D46" s="194" t="s">
        <v>48</v>
      </c>
      <c r="E46" s="204" t="s">
        <v>120</v>
      </c>
      <c r="F46" s="210" t="s">
        <v>54</v>
      </c>
      <c r="G46" s="197"/>
      <c r="H46" s="215">
        <v>50000</v>
      </c>
      <c r="I46" s="199">
        <f t="shared" si="2"/>
        <v>4200.3700000001118</v>
      </c>
      <c r="J46" s="205"/>
      <c r="K46" s="206"/>
      <c r="L46" s="206"/>
      <c r="M46" s="206"/>
      <c r="N46" s="206"/>
      <c r="O46" s="207"/>
      <c r="P46" s="203">
        <f t="shared" si="9"/>
        <v>0</v>
      </c>
      <c r="Q46" s="203">
        <f t="shared" si="9"/>
        <v>0</v>
      </c>
      <c r="R46" s="203">
        <f t="shared" si="9"/>
        <v>0</v>
      </c>
      <c r="S46" s="203">
        <f t="shared" si="9"/>
        <v>0</v>
      </c>
      <c r="T46" s="203">
        <f t="shared" si="9"/>
        <v>0</v>
      </c>
      <c r="U46" s="203">
        <f t="shared" si="9"/>
        <v>0</v>
      </c>
      <c r="V46" s="203">
        <f t="shared" si="9"/>
        <v>0</v>
      </c>
      <c r="W46" s="203">
        <f t="shared" si="9"/>
        <v>0</v>
      </c>
      <c r="X46" s="203">
        <f t="shared" si="9"/>
        <v>0</v>
      </c>
      <c r="Y46" s="203">
        <f t="shared" si="9"/>
        <v>0</v>
      </c>
      <c r="Z46" s="203">
        <f t="shared" si="9"/>
        <v>0</v>
      </c>
      <c r="AA46" s="203">
        <f t="shared" si="9"/>
        <v>0</v>
      </c>
      <c r="AB46" s="203">
        <f t="shared" si="9"/>
        <v>0</v>
      </c>
      <c r="AC46" s="203">
        <f t="shared" si="9"/>
        <v>0</v>
      </c>
      <c r="AD46" s="203">
        <f t="shared" si="9"/>
        <v>0</v>
      </c>
      <c r="AE46" s="203">
        <f t="shared" si="9"/>
        <v>0</v>
      </c>
      <c r="AF46" s="203">
        <f t="shared" si="9"/>
        <v>0</v>
      </c>
      <c r="AG46" s="203">
        <f t="shared" si="10"/>
        <v>0</v>
      </c>
      <c r="AH46" s="203">
        <f t="shared" si="10"/>
        <v>0</v>
      </c>
      <c r="AI46" s="203">
        <f t="shared" si="10"/>
        <v>0</v>
      </c>
      <c r="AJ46" s="203">
        <f t="shared" si="10"/>
        <v>50000</v>
      </c>
      <c r="AK46" s="203">
        <f t="shared" si="10"/>
        <v>0</v>
      </c>
      <c r="AL46" s="203">
        <f t="shared" si="10"/>
        <v>0</v>
      </c>
      <c r="AM46" s="203">
        <f t="shared" si="10"/>
        <v>0</v>
      </c>
      <c r="AN46" s="203">
        <f t="shared" si="10"/>
        <v>0</v>
      </c>
    </row>
    <row r="47" spans="2:40" x14ac:dyDescent="0.25">
      <c r="B47" s="192">
        <v>44839</v>
      </c>
      <c r="C47" s="217" t="s">
        <v>184</v>
      </c>
      <c r="D47" s="194"/>
      <c r="E47" s="204"/>
      <c r="F47" s="210"/>
      <c r="G47" s="197">
        <v>150000000</v>
      </c>
      <c r="H47" s="215"/>
      <c r="I47" s="199">
        <f t="shared" si="2"/>
        <v>150004200.37</v>
      </c>
      <c r="J47" s="205"/>
      <c r="K47" s="206"/>
      <c r="L47" s="206"/>
      <c r="M47" s="206"/>
      <c r="N47" s="206"/>
      <c r="O47" s="207"/>
      <c r="P47" s="208"/>
      <c r="Q47" s="11"/>
      <c r="R47" s="11"/>
      <c r="S47" s="11"/>
      <c r="T47" s="11"/>
      <c r="U47" s="11"/>
      <c r="V47" s="11"/>
      <c r="W47" s="11"/>
      <c r="X47" s="11"/>
      <c r="Y47" s="16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79"/>
      <c r="AN47" s="45"/>
    </row>
    <row r="48" spans="2:40" x14ac:dyDescent="0.25">
      <c r="B48" s="192">
        <v>44840</v>
      </c>
      <c r="C48" s="194" t="s">
        <v>128</v>
      </c>
      <c r="D48" s="194" t="s">
        <v>141</v>
      </c>
      <c r="E48" s="204" t="s">
        <v>129</v>
      </c>
      <c r="F48" s="210" t="s">
        <v>130</v>
      </c>
      <c r="G48" s="197"/>
      <c r="H48" s="215">
        <v>150000</v>
      </c>
      <c r="I48" s="199">
        <f t="shared" si="2"/>
        <v>149854200.37</v>
      </c>
      <c r="J48" s="205"/>
      <c r="K48" s="206"/>
      <c r="L48" s="206"/>
      <c r="M48" s="206"/>
      <c r="N48" s="206"/>
      <c r="O48" s="207"/>
      <c r="P48" s="203">
        <f t="shared" ref="P48:AF49" si="11">IF($D48=P$13,$H48, 0)</f>
        <v>0</v>
      </c>
      <c r="Q48" s="203">
        <f t="shared" si="11"/>
        <v>0</v>
      </c>
      <c r="R48" s="203">
        <f t="shared" si="11"/>
        <v>0</v>
      </c>
      <c r="S48" s="203">
        <f t="shared" si="11"/>
        <v>0</v>
      </c>
      <c r="T48" s="203">
        <f t="shared" si="11"/>
        <v>0</v>
      </c>
      <c r="U48" s="203">
        <f t="shared" si="11"/>
        <v>0</v>
      </c>
      <c r="V48" s="203">
        <f t="shared" si="11"/>
        <v>0</v>
      </c>
      <c r="W48" s="203">
        <f t="shared" si="11"/>
        <v>0</v>
      </c>
      <c r="X48" s="203">
        <f t="shared" si="11"/>
        <v>0</v>
      </c>
      <c r="Y48" s="203">
        <f t="shared" si="11"/>
        <v>150000</v>
      </c>
      <c r="Z48" s="203">
        <f t="shared" si="11"/>
        <v>0</v>
      </c>
      <c r="AA48" s="203">
        <f t="shared" si="11"/>
        <v>0</v>
      </c>
      <c r="AB48" s="203">
        <f t="shared" si="11"/>
        <v>0</v>
      </c>
      <c r="AC48" s="203">
        <f t="shared" si="11"/>
        <v>0</v>
      </c>
      <c r="AD48" s="203">
        <f t="shared" si="11"/>
        <v>0</v>
      </c>
      <c r="AE48" s="203">
        <f t="shared" si="11"/>
        <v>0</v>
      </c>
      <c r="AF48" s="203">
        <f t="shared" si="11"/>
        <v>0</v>
      </c>
      <c r="AG48" s="203">
        <f t="shared" ref="AG48:AN49" si="12">IF($D48=AG$13,$H48, 0)</f>
        <v>0</v>
      </c>
      <c r="AH48" s="203">
        <f t="shared" si="12"/>
        <v>0</v>
      </c>
      <c r="AI48" s="203">
        <f t="shared" si="12"/>
        <v>0</v>
      </c>
      <c r="AJ48" s="203">
        <f t="shared" si="12"/>
        <v>0</v>
      </c>
      <c r="AK48" s="203">
        <f t="shared" si="12"/>
        <v>0</v>
      </c>
      <c r="AL48" s="203">
        <f t="shared" si="12"/>
        <v>0</v>
      </c>
      <c r="AM48" s="203">
        <f t="shared" si="12"/>
        <v>0</v>
      </c>
      <c r="AN48" s="203">
        <f t="shared" si="12"/>
        <v>0</v>
      </c>
    </row>
    <row r="49" spans="2:40" x14ac:dyDescent="0.25">
      <c r="B49" s="192">
        <v>44840</v>
      </c>
      <c r="C49" s="194" t="s">
        <v>131</v>
      </c>
      <c r="D49" s="194" t="s">
        <v>94</v>
      </c>
      <c r="E49" s="204" t="s">
        <v>132</v>
      </c>
      <c r="F49" s="210" t="s">
        <v>54</v>
      </c>
      <c r="G49" s="197"/>
      <c r="H49" s="215">
        <v>1994000</v>
      </c>
      <c r="I49" s="199">
        <f t="shared" si="2"/>
        <v>147860200.37</v>
      </c>
      <c r="J49" s="205"/>
      <c r="K49" s="206"/>
      <c r="L49" s="206"/>
      <c r="M49" s="206"/>
      <c r="N49" s="206"/>
      <c r="O49" s="207"/>
      <c r="P49" s="203">
        <f t="shared" si="11"/>
        <v>1994000</v>
      </c>
      <c r="Q49" s="203">
        <f t="shared" si="11"/>
        <v>0</v>
      </c>
      <c r="R49" s="203">
        <f t="shared" si="11"/>
        <v>0</v>
      </c>
      <c r="S49" s="203">
        <f t="shared" si="11"/>
        <v>0</v>
      </c>
      <c r="T49" s="203">
        <f t="shared" si="11"/>
        <v>0</v>
      </c>
      <c r="U49" s="203">
        <f t="shared" si="11"/>
        <v>0</v>
      </c>
      <c r="V49" s="203">
        <f t="shared" si="11"/>
        <v>0</v>
      </c>
      <c r="W49" s="203">
        <f t="shared" si="11"/>
        <v>0</v>
      </c>
      <c r="X49" s="203">
        <f t="shared" si="11"/>
        <v>0</v>
      </c>
      <c r="Y49" s="203">
        <f t="shared" si="11"/>
        <v>0</v>
      </c>
      <c r="Z49" s="203">
        <f t="shared" si="11"/>
        <v>0</v>
      </c>
      <c r="AA49" s="203">
        <f t="shared" si="11"/>
        <v>0</v>
      </c>
      <c r="AB49" s="203">
        <f t="shared" si="11"/>
        <v>0</v>
      </c>
      <c r="AC49" s="203">
        <f t="shared" si="11"/>
        <v>0</v>
      </c>
      <c r="AD49" s="203">
        <f t="shared" si="11"/>
        <v>0</v>
      </c>
      <c r="AE49" s="203">
        <f t="shared" si="11"/>
        <v>0</v>
      </c>
      <c r="AF49" s="203">
        <f t="shared" si="11"/>
        <v>0</v>
      </c>
      <c r="AG49" s="203">
        <f t="shared" si="12"/>
        <v>0</v>
      </c>
      <c r="AH49" s="203">
        <f t="shared" si="12"/>
        <v>0</v>
      </c>
      <c r="AI49" s="203">
        <f t="shared" si="12"/>
        <v>0</v>
      </c>
      <c r="AJ49" s="203">
        <f t="shared" si="12"/>
        <v>0</v>
      </c>
      <c r="AK49" s="203">
        <f t="shared" si="12"/>
        <v>0</v>
      </c>
      <c r="AL49" s="203">
        <f t="shared" si="12"/>
        <v>0</v>
      </c>
      <c r="AM49" s="203">
        <f t="shared" si="12"/>
        <v>0</v>
      </c>
      <c r="AN49" s="203">
        <f t="shared" si="12"/>
        <v>0</v>
      </c>
    </row>
    <row r="50" spans="2:40" x14ac:dyDescent="0.25">
      <c r="B50" s="192">
        <v>44840</v>
      </c>
      <c r="C50" s="194" t="s">
        <v>134</v>
      </c>
      <c r="D50" s="194" t="s">
        <v>94</v>
      </c>
      <c r="E50" s="204" t="s">
        <v>133</v>
      </c>
      <c r="F50" s="210" t="s">
        <v>73</v>
      </c>
      <c r="G50" s="197"/>
      <c r="H50" s="215">
        <v>109580</v>
      </c>
      <c r="I50" s="199">
        <f t="shared" si="2"/>
        <v>147750620.37</v>
      </c>
      <c r="J50" s="205"/>
      <c r="K50" s="206"/>
      <c r="L50" s="206"/>
      <c r="M50" s="206"/>
      <c r="N50" s="206"/>
      <c r="O50" s="207"/>
      <c r="P50" s="208"/>
      <c r="Q50" s="11"/>
      <c r="R50" s="11"/>
      <c r="S50" s="11"/>
      <c r="T50" s="11"/>
      <c r="U50" s="11"/>
      <c r="V50" s="11"/>
      <c r="W50" s="14"/>
      <c r="X50" s="14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79"/>
      <c r="AN50" s="45"/>
    </row>
    <row r="51" spans="2:40" x14ac:dyDescent="0.25">
      <c r="B51" s="192">
        <v>44845</v>
      </c>
      <c r="C51" s="194" t="s">
        <v>44</v>
      </c>
      <c r="D51" s="194" t="s">
        <v>48</v>
      </c>
      <c r="E51" s="204" t="s">
        <v>135</v>
      </c>
      <c r="F51" s="210" t="s">
        <v>54</v>
      </c>
      <c r="G51" s="197"/>
      <c r="H51" s="215">
        <v>20000</v>
      </c>
      <c r="I51" s="199">
        <f t="shared" si="2"/>
        <v>147730620.37</v>
      </c>
      <c r="J51" s="205"/>
      <c r="K51" s="206"/>
      <c r="L51" s="206"/>
      <c r="M51" s="206"/>
      <c r="N51" s="206"/>
      <c r="O51" s="207"/>
      <c r="P51" s="203">
        <f t="shared" ref="P51:AF57" si="13">IF($D51=P$13,$H51, 0)</f>
        <v>0</v>
      </c>
      <c r="Q51" s="203">
        <f t="shared" si="13"/>
        <v>0</v>
      </c>
      <c r="R51" s="203">
        <f t="shared" si="13"/>
        <v>0</v>
      </c>
      <c r="S51" s="203">
        <f t="shared" si="13"/>
        <v>0</v>
      </c>
      <c r="T51" s="203">
        <f t="shared" si="13"/>
        <v>0</v>
      </c>
      <c r="U51" s="203">
        <f t="shared" si="13"/>
        <v>0</v>
      </c>
      <c r="V51" s="203">
        <f t="shared" si="13"/>
        <v>0</v>
      </c>
      <c r="W51" s="203">
        <f t="shared" si="13"/>
        <v>0</v>
      </c>
      <c r="X51" s="203">
        <f t="shared" si="13"/>
        <v>0</v>
      </c>
      <c r="Y51" s="203">
        <f t="shared" si="13"/>
        <v>0</v>
      </c>
      <c r="Z51" s="203">
        <f t="shared" si="13"/>
        <v>0</v>
      </c>
      <c r="AA51" s="203">
        <f t="shared" si="13"/>
        <v>0</v>
      </c>
      <c r="AB51" s="203">
        <f t="shared" si="13"/>
        <v>0</v>
      </c>
      <c r="AC51" s="203">
        <f t="shared" si="13"/>
        <v>0</v>
      </c>
      <c r="AD51" s="203">
        <f t="shared" si="13"/>
        <v>0</v>
      </c>
      <c r="AE51" s="203">
        <f t="shared" si="13"/>
        <v>0</v>
      </c>
      <c r="AF51" s="203">
        <f t="shared" si="13"/>
        <v>0</v>
      </c>
      <c r="AG51" s="203">
        <f t="shared" ref="AG51:AN57" si="14">IF($D51=AG$13,$H51, 0)</f>
        <v>0</v>
      </c>
      <c r="AH51" s="203">
        <f t="shared" si="14"/>
        <v>0</v>
      </c>
      <c r="AI51" s="203">
        <f t="shared" si="14"/>
        <v>0</v>
      </c>
      <c r="AJ51" s="203">
        <f t="shared" si="14"/>
        <v>20000</v>
      </c>
      <c r="AK51" s="203">
        <f t="shared" si="14"/>
        <v>0</v>
      </c>
      <c r="AL51" s="203">
        <f t="shared" si="14"/>
        <v>0</v>
      </c>
      <c r="AM51" s="203">
        <f t="shared" si="14"/>
        <v>0</v>
      </c>
      <c r="AN51" s="203">
        <f t="shared" si="14"/>
        <v>0</v>
      </c>
    </row>
    <row r="52" spans="2:40" x14ac:dyDescent="0.25">
      <c r="B52" s="192">
        <v>44846</v>
      </c>
      <c r="C52" s="194" t="s">
        <v>139</v>
      </c>
      <c r="D52" s="194" t="s">
        <v>94</v>
      </c>
      <c r="E52" s="204" t="s">
        <v>137</v>
      </c>
      <c r="F52" s="210" t="s">
        <v>54</v>
      </c>
      <c r="G52" s="197"/>
      <c r="H52" s="215">
        <v>10490240</v>
      </c>
      <c r="I52" s="199">
        <f t="shared" si="2"/>
        <v>137240380.37</v>
      </c>
      <c r="J52" s="205"/>
      <c r="K52" s="206"/>
      <c r="L52" s="206"/>
      <c r="M52" s="206"/>
      <c r="N52" s="206"/>
      <c r="O52" s="207"/>
      <c r="P52" s="203">
        <f t="shared" si="13"/>
        <v>10490240</v>
      </c>
      <c r="Q52" s="203">
        <f t="shared" si="13"/>
        <v>0</v>
      </c>
      <c r="R52" s="203">
        <f t="shared" si="13"/>
        <v>0</v>
      </c>
      <c r="S52" s="203">
        <f t="shared" si="13"/>
        <v>0</v>
      </c>
      <c r="T52" s="203">
        <f t="shared" si="13"/>
        <v>0</v>
      </c>
      <c r="U52" s="203">
        <f t="shared" si="13"/>
        <v>0</v>
      </c>
      <c r="V52" s="203">
        <f t="shared" si="13"/>
        <v>0</v>
      </c>
      <c r="W52" s="203">
        <f t="shared" si="13"/>
        <v>0</v>
      </c>
      <c r="X52" s="203">
        <f t="shared" si="13"/>
        <v>0</v>
      </c>
      <c r="Y52" s="203">
        <f t="shared" si="13"/>
        <v>0</v>
      </c>
      <c r="Z52" s="203">
        <f t="shared" si="13"/>
        <v>0</v>
      </c>
      <c r="AA52" s="203">
        <f t="shared" si="13"/>
        <v>0</v>
      </c>
      <c r="AB52" s="203">
        <f t="shared" si="13"/>
        <v>0</v>
      </c>
      <c r="AC52" s="203">
        <f t="shared" si="13"/>
        <v>0</v>
      </c>
      <c r="AD52" s="203">
        <f t="shared" si="13"/>
        <v>0</v>
      </c>
      <c r="AE52" s="203">
        <f t="shared" si="13"/>
        <v>0</v>
      </c>
      <c r="AF52" s="203">
        <f t="shared" si="13"/>
        <v>0</v>
      </c>
      <c r="AG52" s="203">
        <f t="shared" si="14"/>
        <v>0</v>
      </c>
      <c r="AH52" s="203">
        <f t="shared" si="14"/>
        <v>0</v>
      </c>
      <c r="AI52" s="203">
        <f t="shared" si="14"/>
        <v>0</v>
      </c>
      <c r="AJ52" s="203">
        <f t="shared" si="14"/>
        <v>0</v>
      </c>
      <c r="AK52" s="203">
        <f t="shared" si="14"/>
        <v>0</v>
      </c>
      <c r="AL52" s="203">
        <f t="shared" si="14"/>
        <v>0</v>
      </c>
      <c r="AM52" s="203">
        <f t="shared" si="14"/>
        <v>0</v>
      </c>
      <c r="AN52" s="203">
        <f t="shared" si="14"/>
        <v>0</v>
      </c>
    </row>
    <row r="53" spans="2:40" x14ac:dyDescent="0.25">
      <c r="B53" s="192">
        <v>44847</v>
      </c>
      <c r="C53" s="194" t="s">
        <v>411</v>
      </c>
      <c r="D53" s="194" t="s">
        <v>94</v>
      </c>
      <c r="E53" s="204" t="s">
        <v>138</v>
      </c>
      <c r="F53" s="210" t="s">
        <v>54</v>
      </c>
      <c r="G53" s="197"/>
      <c r="H53" s="215">
        <v>191000</v>
      </c>
      <c r="I53" s="199">
        <f t="shared" si="2"/>
        <v>137049380.37</v>
      </c>
      <c r="J53" s="205"/>
      <c r="K53" s="206"/>
      <c r="L53" s="206"/>
      <c r="M53" s="206"/>
      <c r="N53" s="206"/>
      <c r="O53" s="207"/>
      <c r="P53" s="203">
        <f t="shared" si="13"/>
        <v>191000</v>
      </c>
      <c r="Q53" s="203">
        <f t="shared" si="13"/>
        <v>0</v>
      </c>
      <c r="R53" s="203">
        <f t="shared" si="13"/>
        <v>0</v>
      </c>
      <c r="S53" s="203">
        <f t="shared" si="13"/>
        <v>0</v>
      </c>
      <c r="T53" s="203">
        <f t="shared" si="13"/>
        <v>0</v>
      </c>
      <c r="U53" s="203">
        <f t="shared" si="13"/>
        <v>0</v>
      </c>
      <c r="V53" s="203">
        <f t="shared" si="13"/>
        <v>0</v>
      </c>
      <c r="W53" s="203">
        <f t="shared" si="13"/>
        <v>0</v>
      </c>
      <c r="X53" s="203">
        <f t="shared" si="13"/>
        <v>0</v>
      </c>
      <c r="Y53" s="203">
        <f t="shared" si="13"/>
        <v>0</v>
      </c>
      <c r="Z53" s="203">
        <f t="shared" si="13"/>
        <v>0</v>
      </c>
      <c r="AA53" s="203">
        <f t="shared" si="13"/>
        <v>0</v>
      </c>
      <c r="AB53" s="203">
        <f t="shared" si="13"/>
        <v>0</v>
      </c>
      <c r="AC53" s="203">
        <f t="shared" si="13"/>
        <v>0</v>
      </c>
      <c r="AD53" s="203">
        <f t="shared" si="13"/>
        <v>0</v>
      </c>
      <c r="AE53" s="203">
        <f t="shared" si="13"/>
        <v>0</v>
      </c>
      <c r="AF53" s="203">
        <f t="shared" si="13"/>
        <v>0</v>
      </c>
      <c r="AG53" s="203">
        <f t="shared" si="14"/>
        <v>0</v>
      </c>
      <c r="AH53" s="203">
        <f t="shared" si="14"/>
        <v>0</v>
      </c>
      <c r="AI53" s="203">
        <f t="shared" si="14"/>
        <v>0</v>
      </c>
      <c r="AJ53" s="203">
        <f t="shared" si="14"/>
        <v>0</v>
      </c>
      <c r="AK53" s="203">
        <f t="shared" si="14"/>
        <v>0</v>
      </c>
      <c r="AL53" s="203">
        <f t="shared" si="14"/>
        <v>0</v>
      </c>
      <c r="AM53" s="203">
        <f t="shared" si="14"/>
        <v>0</v>
      </c>
      <c r="AN53" s="203">
        <f t="shared" si="14"/>
        <v>0</v>
      </c>
    </row>
    <row r="54" spans="2:40" x14ac:dyDescent="0.25">
      <c r="B54" s="192">
        <v>44847</v>
      </c>
      <c r="C54" s="194" t="s">
        <v>136</v>
      </c>
      <c r="D54" s="194" t="s">
        <v>81</v>
      </c>
      <c r="E54" s="204" t="s">
        <v>140</v>
      </c>
      <c r="F54" s="210" t="s">
        <v>54</v>
      </c>
      <c r="G54" s="197"/>
      <c r="H54" s="215">
        <v>60000</v>
      </c>
      <c r="I54" s="199">
        <f t="shared" si="2"/>
        <v>136989380.37</v>
      </c>
      <c r="J54" s="205"/>
      <c r="K54" s="206"/>
      <c r="L54" s="206"/>
      <c r="M54" s="206"/>
      <c r="N54" s="206"/>
      <c r="O54" s="207"/>
      <c r="P54" s="203">
        <f t="shared" si="13"/>
        <v>0</v>
      </c>
      <c r="Q54" s="203">
        <f t="shared" si="13"/>
        <v>0</v>
      </c>
      <c r="R54" s="203">
        <f t="shared" si="13"/>
        <v>0</v>
      </c>
      <c r="S54" s="203">
        <f t="shared" si="13"/>
        <v>0</v>
      </c>
      <c r="T54" s="203">
        <f t="shared" si="13"/>
        <v>0</v>
      </c>
      <c r="U54" s="203">
        <f t="shared" si="13"/>
        <v>0</v>
      </c>
      <c r="V54" s="203">
        <f t="shared" si="13"/>
        <v>0</v>
      </c>
      <c r="W54" s="203">
        <f t="shared" si="13"/>
        <v>0</v>
      </c>
      <c r="X54" s="203">
        <f t="shared" si="13"/>
        <v>0</v>
      </c>
      <c r="Y54" s="203">
        <f t="shared" si="13"/>
        <v>0</v>
      </c>
      <c r="Z54" s="203">
        <f t="shared" si="13"/>
        <v>0</v>
      </c>
      <c r="AA54" s="203">
        <f t="shared" si="13"/>
        <v>0</v>
      </c>
      <c r="AB54" s="203">
        <f t="shared" si="13"/>
        <v>60000</v>
      </c>
      <c r="AC54" s="203">
        <f t="shared" si="13"/>
        <v>0</v>
      </c>
      <c r="AD54" s="203">
        <f t="shared" si="13"/>
        <v>0</v>
      </c>
      <c r="AE54" s="203">
        <f t="shared" si="13"/>
        <v>0</v>
      </c>
      <c r="AF54" s="203">
        <f t="shared" si="13"/>
        <v>0</v>
      </c>
      <c r="AG54" s="203">
        <f t="shared" si="14"/>
        <v>0</v>
      </c>
      <c r="AH54" s="203">
        <f t="shared" si="14"/>
        <v>0</v>
      </c>
      <c r="AI54" s="203">
        <f t="shared" si="14"/>
        <v>0</v>
      </c>
      <c r="AJ54" s="203">
        <f t="shared" si="14"/>
        <v>0</v>
      </c>
      <c r="AK54" s="203">
        <f t="shared" si="14"/>
        <v>0</v>
      </c>
      <c r="AL54" s="203">
        <f t="shared" si="14"/>
        <v>0</v>
      </c>
      <c r="AM54" s="203">
        <f t="shared" si="14"/>
        <v>0</v>
      </c>
      <c r="AN54" s="203">
        <f t="shared" si="14"/>
        <v>0</v>
      </c>
    </row>
    <row r="55" spans="2:40" x14ac:dyDescent="0.25">
      <c r="B55" s="192">
        <v>44851</v>
      </c>
      <c r="C55" s="194" t="s">
        <v>44</v>
      </c>
      <c r="D55" s="194" t="s">
        <v>48</v>
      </c>
      <c r="E55" s="204" t="s">
        <v>142</v>
      </c>
      <c r="F55" s="210" t="s">
        <v>54</v>
      </c>
      <c r="G55" s="197"/>
      <c r="H55" s="215">
        <v>40000</v>
      </c>
      <c r="I55" s="199">
        <f t="shared" si="2"/>
        <v>136949380.37</v>
      </c>
      <c r="J55" s="205"/>
      <c r="K55" s="206"/>
      <c r="L55" s="206"/>
      <c r="M55" s="206"/>
      <c r="N55" s="206"/>
      <c r="O55" s="207"/>
      <c r="P55" s="203">
        <f t="shared" si="13"/>
        <v>0</v>
      </c>
      <c r="Q55" s="203">
        <f t="shared" si="13"/>
        <v>0</v>
      </c>
      <c r="R55" s="203">
        <f t="shared" si="13"/>
        <v>0</v>
      </c>
      <c r="S55" s="203">
        <f t="shared" si="13"/>
        <v>0</v>
      </c>
      <c r="T55" s="203">
        <f t="shared" si="13"/>
        <v>0</v>
      </c>
      <c r="U55" s="203">
        <f t="shared" si="13"/>
        <v>0</v>
      </c>
      <c r="V55" s="203">
        <f t="shared" si="13"/>
        <v>0</v>
      </c>
      <c r="W55" s="203">
        <f t="shared" si="13"/>
        <v>0</v>
      </c>
      <c r="X55" s="203">
        <f t="shared" si="13"/>
        <v>0</v>
      </c>
      <c r="Y55" s="203">
        <f t="shared" si="13"/>
        <v>0</v>
      </c>
      <c r="Z55" s="203">
        <f t="shared" si="13"/>
        <v>0</v>
      </c>
      <c r="AA55" s="203">
        <f t="shared" si="13"/>
        <v>0</v>
      </c>
      <c r="AB55" s="203">
        <f t="shared" si="13"/>
        <v>0</v>
      </c>
      <c r="AC55" s="203">
        <f t="shared" si="13"/>
        <v>0</v>
      </c>
      <c r="AD55" s="203">
        <f t="shared" si="13"/>
        <v>0</v>
      </c>
      <c r="AE55" s="203">
        <f t="shared" si="13"/>
        <v>0</v>
      </c>
      <c r="AF55" s="203">
        <f t="shared" si="13"/>
        <v>0</v>
      </c>
      <c r="AG55" s="203">
        <f t="shared" si="14"/>
        <v>0</v>
      </c>
      <c r="AH55" s="203">
        <f t="shared" si="14"/>
        <v>0</v>
      </c>
      <c r="AI55" s="203">
        <f t="shared" si="14"/>
        <v>0</v>
      </c>
      <c r="AJ55" s="203">
        <f t="shared" si="14"/>
        <v>40000</v>
      </c>
      <c r="AK55" s="203">
        <f t="shared" si="14"/>
        <v>0</v>
      </c>
      <c r="AL55" s="203">
        <f t="shared" si="14"/>
        <v>0</v>
      </c>
      <c r="AM55" s="203">
        <f t="shared" si="14"/>
        <v>0</v>
      </c>
      <c r="AN55" s="203">
        <f t="shared" si="14"/>
        <v>0</v>
      </c>
    </row>
    <row r="56" spans="2:40" x14ac:dyDescent="0.25">
      <c r="B56" s="192">
        <v>44852</v>
      </c>
      <c r="C56" s="194" t="s">
        <v>158</v>
      </c>
      <c r="D56" s="194" t="s">
        <v>111</v>
      </c>
      <c r="E56" s="204" t="s">
        <v>143</v>
      </c>
      <c r="F56" s="210" t="s">
        <v>54</v>
      </c>
      <c r="G56" s="197"/>
      <c r="H56" s="215">
        <v>60000</v>
      </c>
      <c r="I56" s="199">
        <f t="shared" si="2"/>
        <v>136889380.37</v>
      </c>
      <c r="J56" s="205"/>
      <c r="K56" s="206"/>
      <c r="L56" s="206"/>
      <c r="M56" s="206"/>
      <c r="N56" s="206"/>
      <c r="O56" s="207"/>
      <c r="P56" s="203">
        <f t="shared" si="13"/>
        <v>0</v>
      </c>
      <c r="Q56" s="203">
        <f t="shared" si="13"/>
        <v>0</v>
      </c>
      <c r="R56" s="203">
        <f t="shared" si="13"/>
        <v>0</v>
      </c>
      <c r="S56" s="203">
        <f t="shared" si="13"/>
        <v>60000</v>
      </c>
      <c r="T56" s="203">
        <f t="shared" si="13"/>
        <v>0</v>
      </c>
      <c r="U56" s="203">
        <f t="shared" si="13"/>
        <v>0</v>
      </c>
      <c r="V56" s="203">
        <f t="shared" si="13"/>
        <v>0</v>
      </c>
      <c r="W56" s="203">
        <f t="shared" si="13"/>
        <v>0</v>
      </c>
      <c r="X56" s="203">
        <f t="shared" si="13"/>
        <v>0</v>
      </c>
      <c r="Y56" s="203">
        <f t="shared" si="13"/>
        <v>0</v>
      </c>
      <c r="Z56" s="203">
        <f t="shared" si="13"/>
        <v>0</v>
      </c>
      <c r="AA56" s="203">
        <f t="shared" si="13"/>
        <v>0</v>
      </c>
      <c r="AB56" s="203">
        <f t="shared" si="13"/>
        <v>0</v>
      </c>
      <c r="AC56" s="203">
        <f t="shared" si="13"/>
        <v>0</v>
      </c>
      <c r="AD56" s="203">
        <f t="shared" si="13"/>
        <v>0</v>
      </c>
      <c r="AE56" s="203">
        <f t="shared" si="13"/>
        <v>0</v>
      </c>
      <c r="AF56" s="203">
        <f t="shared" si="13"/>
        <v>0</v>
      </c>
      <c r="AG56" s="203">
        <f t="shared" si="14"/>
        <v>0</v>
      </c>
      <c r="AH56" s="203">
        <f t="shared" si="14"/>
        <v>0</v>
      </c>
      <c r="AI56" s="203">
        <f t="shared" si="14"/>
        <v>0</v>
      </c>
      <c r="AJ56" s="203">
        <f t="shared" si="14"/>
        <v>0</v>
      </c>
      <c r="AK56" s="203">
        <f t="shared" si="14"/>
        <v>0</v>
      </c>
      <c r="AL56" s="203">
        <f t="shared" si="14"/>
        <v>0</v>
      </c>
      <c r="AM56" s="203">
        <f t="shared" si="14"/>
        <v>0</v>
      </c>
      <c r="AN56" s="203">
        <f t="shared" si="14"/>
        <v>0</v>
      </c>
    </row>
    <row r="57" spans="2:40" x14ac:dyDescent="0.25">
      <c r="B57" s="192">
        <v>44854</v>
      </c>
      <c r="C57" s="194" t="s">
        <v>159</v>
      </c>
      <c r="D57" s="194" t="s">
        <v>94</v>
      </c>
      <c r="E57" s="204" t="s">
        <v>144</v>
      </c>
      <c r="F57" s="210" t="s">
        <v>130</v>
      </c>
      <c r="G57" s="197"/>
      <c r="H57" s="215">
        <v>1329160</v>
      </c>
      <c r="I57" s="199">
        <f t="shared" si="2"/>
        <v>135560220.37</v>
      </c>
      <c r="J57" s="205"/>
      <c r="K57" s="206"/>
      <c r="L57" s="206"/>
      <c r="M57" s="206"/>
      <c r="N57" s="206"/>
      <c r="O57" s="207"/>
      <c r="P57" s="203">
        <f t="shared" si="13"/>
        <v>1329160</v>
      </c>
      <c r="Q57" s="203">
        <f t="shared" si="13"/>
        <v>0</v>
      </c>
      <c r="R57" s="203">
        <f t="shared" si="13"/>
        <v>0</v>
      </c>
      <c r="S57" s="203">
        <f t="shared" si="13"/>
        <v>0</v>
      </c>
      <c r="T57" s="203">
        <f t="shared" si="13"/>
        <v>0</v>
      </c>
      <c r="U57" s="203">
        <f t="shared" si="13"/>
        <v>0</v>
      </c>
      <c r="V57" s="203">
        <f t="shared" si="13"/>
        <v>0</v>
      </c>
      <c r="W57" s="203">
        <f t="shared" si="13"/>
        <v>0</v>
      </c>
      <c r="X57" s="203">
        <f t="shared" si="13"/>
        <v>0</v>
      </c>
      <c r="Y57" s="203">
        <f t="shared" si="13"/>
        <v>0</v>
      </c>
      <c r="Z57" s="203">
        <f t="shared" si="13"/>
        <v>0</v>
      </c>
      <c r="AA57" s="203">
        <f t="shared" si="13"/>
        <v>0</v>
      </c>
      <c r="AB57" s="203">
        <f t="shared" si="13"/>
        <v>0</v>
      </c>
      <c r="AC57" s="203">
        <f t="shared" si="13"/>
        <v>0</v>
      </c>
      <c r="AD57" s="203">
        <f t="shared" si="13"/>
        <v>0</v>
      </c>
      <c r="AE57" s="203">
        <f t="shared" si="13"/>
        <v>0</v>
      </c>
      <c r="AF57" s="203">
        <f t="shared" si="13"/>
        <v>0</v>
      </c>
      <c r="AG57" s="203">
        <f t="shared" si="14"/>
        <v>0</v>
      </c>
      <c r="AH57" s="203">
        <f t="shared" si="14"/>
        <v>0</v>
      </c>
      <c r="AI57" s="203">
        <f t="shared" si="14"/>
        <v>0</v>
      </c>
      <c r="AJ57" s="203">
        <f t="shared" si="14"/>
        <v>0</v>
      </c>
      <c r="AK57" s="203">
        <f t="shared" si="14"/>
        <v>0</v>
      </c>
      <c r="AL57" s="203">
        <f t="shared" si="14"/>
        <v>0</v>
      </c>
      <c r="AM57" s="203">
        <f t="shared" si="14"/>
        <v>0</v>
      </c>
      <c r="AN57" s="203">
        <f t="shared" si="14"/>
        <v>0</v>
      </c>
    </row>
    <row r="58" spans="2:40" ht="19" x14ac:dyDescent="0.25">
      <c r="B58" s="192">
        <v>44854</v>
      </c>
      <c r="C58" s="194" t="s">
        <v>162</v>
      </c>
      <c r="D58" s="194" t="s">
        <v>166</v>
      </c>
      <c r="E58" s="204" t="s">
        <v>145</v>
      </c>
      <c r="F58" s="210" t="s">
        <v>91</v>
      </c>
      <c r="G58" s="197"/>
      <c r="H58" s="215">
        <v>10000000</v>
      </c>
      <c r="I58" s="199">
        <f t="shared" si="2"/>
        <v>125560220.37</v>
      </c>
      <c r="J58" s="205"/>
      <c r="K58" s="206"/>
      <c r="L58" s="206"/>
      <c r="M58" s="206"/>
      <c r="N58" s="206"/>
      <c r="O58" s="207"/>
      <c r="P58" s="208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4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79"/>
      <c r="AN58" s="45"/>
    </row>
    <row r="59" spans="2:40" ht="19" x14ac:dyDescent="0.25">
      <c r="B59" s="192">
        <v>44854</v>
      </c>
      <c r="C59" s="218" t="s">
        <v>240</v>
      </c>
      <c r="D59" s="194" t="s">
        <v>166</v>
      </c>
      <c r="E59" s="204"/>
      <c r="F59" s="210" t="s">
        <v>91</v>
      </c>
      <c r="G59" s="197">
        <v>10000000</v>
      </c>
      <c r="H59" s="215"/>
      <c r="I59" s="199">
        <f t="shared" si="2"/>
        <v>135560220.37</v>
      </c>
      <c r="J59" s="205"/>
      <c r="K59" s="206"/>
      <c r="L59" s="206"/>
      <c r="M59" s="206"/>
      <c r="N59" s="206"/>
      <c r="O59" s="207"/>
      <c r="P59" s="208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4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79"/>
      <c r="AN59" s="45"/>
    </row>
    <row r="60" spans="2:40" ht="19" x14ac:dyDescent="0.25">
      <c r="B60" s="192">
        <v>44858</v>
      </c>
      <c r="C60" s="194" t="s">
        <v>170</v>
      </c>
      <c r="D60" s="194" t="s">
        <v>166</v>
      </c>
      <c r="E60" s="204" t="s">
        <v>146</v>
      </c>
      <c r="F60" s="210" t="s">
        <v>91</v>
      </c>
      <c r="G60" s="197"/>
      <c r="H60" s="215">
        <v>2000016</v>
      </c>
      <c r="I60" s="199">
        <f t="shared" si="2"/>
        <v>133560204.37</v>
      </c>
      <c r="J60" s="205"/>
      <c r="K60" s="206"/>
      <c r="L60" s="206"/>
      <c r="M60" s="206"/>
      <c r="N60" s="206"/>
      <c r="O60" s="207"/>
      <c r="P60" s="208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4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79"/>
      <c r="AN60" s="45"/>
    </row>
    <row r="61" spans="2:40" x14ac:dyDescent="0.25">
      <c r="B61" s="192">
        <v>44858</v>
      </c>
      <c r="C61" s="194" t="s">
        <v>177</v>
      </c>
      <c r="D61" s="194" t="s">
        <v>81</v>
      </c>
      <c r="E61" s="204" t="s">
        <v>147</v>
      </c>
      <c r="F61" s="210" t="s">
        <v>54</v>
      </c>
      <c r="G61" s="197"/>
      <c r="H61" s="215">
        <v>10000</v>
      </c>
      <c r="I61" s="199">
        <f t="shared" si="2"/>
        <v>133550204.37</v>
      </c>
      <c r="J61" s="205"/>
      <c r="K61" s="206"/>
      <c r="L61" s="206"/>
      <c r="M61" s="206"/>
      <c r="N61" s="206"/>
      <c r="O61" s="207"/>
      <c r="P61" s="203">
        <f t="shared" ref="P61:AF68" si="15">IF($D61=P$13,$H61, 0)</f>
        <v>0</v>
      </c>
      <c r="Q61" s="203">
        <f t="shared" si="15"/>
        <v>0</v>
      </c>
      <c r="R61" s="203">
        <f t="shared" si="15"/>
        <v>0</v>
      </c>
      <c r="S61" s="203">
        <f t="shared" si="15"/>
        <v>0</v>
      </c>
      <c r="T61" s="203">
        <f t="shared" si="15"/>
        <v>0</v>
      </c>
      <c r="U61" s="203">
        <f t="shared" si="15"/>
        <v>0</v>
      </c>
      <c r="V61" s="203">
        <f t="shared" si="15"/>
        <v>0</v>
      </c>
      <c r="W61" s="203">
        <f t="shared" si="15"/>
        <v>0</v>
      </c>
      <c r="X61" s="203">
        <f t="shared" si="15"/>
        <v>0</v>
      </c>
      <c r="Y61" s="203">
        <f t="shared" si="15"/>
        <v>0</v>
      </c>
      <c r="Z61" s="203">
        <f t="shared" si="15"/>
        <v>0</v>
      </c>
      <c r="AA61" s="203">
        <f t="shared" si="15"/>
        <v>0</v>
      </c>
      <c r="AB61" s="203">
        <f t="shared" si="15"/>
        <v>10000</v>
      </c>
      <c r="AC61" s="203">
        <f t="shared" si="15"/>
        <v>0</v>
      </c>
      <c r="AD61" s="203">
        <f t="shared" si="15"/>
        <v>0</v>
      </c>
      <c r="AE61" s="203">
        <f t="shared" si="15"/>
        <v>0</v>
      </c>
      <c r="AF61" s="203">
        <f t="shared" si="15"/>
        <v>0</v>
      </c>
      <c r="AG61" s="203">
        <f t="shared" ref="AG61:AN66" si="16">IF($D61=AG$13,$H61, 0)</f>
        <v>0</v>
      </c>
      <c r="AH61" s="203">
        <f t="shared" si="16"/>
        <v>0</v>
      </c>
      <c r="AI61" s="203">
        <f t="shared" si="16"/>
        <v>0</v>
      </c>
      <c r="AJ61" s="203">
        <f t="shared" si="16"/>
        <v>0</v>
      </c>
      <c r="AK61" s="203">
        <f t="shared" si="16"/>
        <v>0</v>
      </c>
      <c r="AL61" s="203">
        <f t="shared" si="16"/>
        <v>0</v>
      </c>
      <c r="AM61" s="203">
        <f t="shared" si="16"/>
        <v>0</v>
      </c>
      <c r="AN61" s="203">
        <f t="shared" si="16"/>
        <v>0</v>
      </c>
    </row>
    <row r="62" spans="2:40" x14ac:dyDescent="0.25">
      <c r="B62" s="192">
        <v>44858</v>
      </c>
      <c r="C62" s="194" t="s">
        <v>44</v>
      </c>
      <c r="D62" s="194" t="s">
        <v>48</v>
      </c>
      <c r="E62" s="204" t="s">
        <v>148</v>
      </c>
      <c r="F62" s="210" t="s">
        <v>54</v>
      </c>
      <c r="G62" s="197"/>
      <c r="H62" s="215">
        <v>50000</v>
      </c>
      <c r="I62" s="199">
        <f t="shared" si="2"/>
        <v>133500204.37</v>
      </c>
      <c r="J62" s="205"/>
      <c r="K62" s="206"/>
      <c r="L62" s="206"/>
      <c r="M62" s="206"/>
      <c r="N62" s="206"/>
      <c r="O62" s="207"/>
      <c r="P62" s="203">
        <f t="shared" si="15"/>
        <v>0</v>
      </c>
      <c r="Q62" s="203">
        <f t="shared" si="15"/>
        <v>0</v>
      </c>
      <c r="R62" s="203">
        <f t="shared" si="15"/>
        <v>0</v>
      </c>
      <c r="S62" s="203">
        <f t="shared" si="15"/>
        <v>0</v>
      </c>
      <c r="T62" s="203">
        <f t="shared" si="15"/>
        <v>0</v>
      </c>
      <c r="U62" s="203">
        <f t="shared" si="15"/>
        <v>0</v>
      </c>
      <c r="V62" s="203">
        <f t="shared" si="15"/>
        <v>0</v>
      </c>
      <c r="W62" s="203">
        <f t="shared" si="15"/>
        <v>0</v>
      </c>
      <c r="X62" s="203">
        <f t="shared" si="15"/>
        <v>0</v>
      </c>
      <c r="Y62" s="203">
        <f t="shared" si="15"/>
        <v>0</v>
      </c>
      <c r="Z62" s="203">
        <f t="shared" si="15"/>
        <v>0</v>
      </c>
      <c r="AA62" s="203">
        <f t="shared" si="15"/>
        <v>0</v>
      </c>
      <c r="AB62" s="203">
        <f t="shared" si="15"/>
        <v>0</v>
      </c>
      <c r="AC62" s="203">
        <f t="shared" si="15"/>
        <v>0</v>
      </c>
      <c r="AD62" s="203">
        <f t="shared" si="15"/>
        <v>0</v>
      </c>
      <c r="AE62" s="203">
        <f t="shared" si="15"/>
        <v>0</v>
      </c>
      <c r="AF62" s="203">
        <f t="shared" si="15"/>
        <v>0</v>
      </c>
      <c r="AG62" s="203">
        <f t="shared" si="16"/>
        <v>0</v>
      </c>
      <c r="AH62" s="203">
        <f t="shared" si="16"/>
        <v>0</v>
      </c>
      <c r="AI62" s="203">
        <f t="shared" si="16"/>
        <v>0</v>
      </c>
      <c r="AJ62" s="203">
        <f t="shared" si="16"/>
        <v>50000</v>
      </c>
      <c r="AK62" s="203">
        <f t="shared" si="16"/>
        <v>0</v>
      </c>
      <c r="AL62" s="203">
        <f t="shared" si="16"/>
        <v>0</v>
      </c>
      <c r="AM62" s="203">
        <f t="shared" si="16"/>
        <v>0</v>
      </c>
      <c r="AN62" s="203">
        <f t="shared" si="16"/>
        <v>0</v>
      </c>
    </row>
    <row r="63" spans="2:40" x14ac:dyDescent="0.25">
      <c r="B63" s="192">
        <v>44858</v>
      </c>
      <c r="C63" s="194" t="s">
        <v>160</v>
      </c>
      <c r="D63" s="194" t="s">
        <v>56</v>
      </c>
      <c r="E63" s="204" t="s">
        <v>149</v>
      </c>
      <c r="F63" s="210" t="s">
        <v>46</v>
      </c>
      <c r="G63" s="197"/>
      <c r="H63" s="215">
        <v>57200</v>
      </c>
      <c r="I63" s="199">
        <f t="shared" si="2"/>
        <v>133443004.37</v>
      </c>
      <c r="J63" s="205"/>
      <c r="K63" s="206"/>
      <c r="L63" s="206"/>
      <c r="M63" s="206"/>
      <c r="N63" s="206"/>
      <c r="O63" s="207"/>
      <c r="P63" s="203">
        <f t="shared" si="15"/>
        <v>0</v>
      </c>
      <c r="Q63" s="203">
        <f t="shared" si="15"/>
        <v>0</v>
      </c>
      <c r="R63" s="203">
        <f t="shared" si="15"/>
        <v>0</v>
      </c>
      <c r="S63" s="203">
        <f t="shared" si="15"/>
        <v>0</v>
      </c>
      <c r="T63" s="203">
        <f t="shared" si="15"/>
        <v>0</v>
      </c>
      <c r="U63" s="203">
        <f t="shared" si="15"/>
        <v>0</v>
      </c>
      <c r="V63" s="203">
        <f t="shared" si="15"/>
        <v>0</v>
      </c>
      <c r="W63" s="203">
        <f t="shared" si="15"/>
        <v>0</v>
      </c>
      <c r="X63" s="203">
        <f t="shared" si="15"/>
        <v>0</v>
      </c>
      <c r="Y63" s="203">
        <f t="shared" si="15"/>
        <v>0</v>
      </c>
      <c r="Z63" s="203">
        <f t="shared" si="15"/>
        <v>0</v>
      </c>
      <c r="AA63" s="203">
        <f t="shared" si="15"/>
        <v>0</v>
      </c>
      <c r="AB63" s="203">
        <f t="shared" si="15"/>
        <v>0</v>
      </c>
      <c r="AC63" s="203">
        <f t="shared" si="15"/>
        <v>0</v>
      </c>
      <c r="AD63" s="203">
        <f t="shared" si="15"/>
        <v>0</v>
      </c>
      <c r="AE63" s="203">
        <f t="shared" si="15"/>
        <v>0</v>
      </c>
      <c r="AF63" s="203">
        <f t="shared" si="15"/>
        <v>0</v>
      </c>
      <c r="AG63" s="203">
        <f t="shared" si="16"/>
        <v>0</v>
      </c>
      <c r="AH63" s="203">
        <f t="shared" si="16"/>
        <v>0</v>
      </c>
      <c r="AI63" s="203">
        <f t="shared" si="16"/>
        <v>0</v>
      </c>
      <c r="AJ63" s="203">
        <f t="shared" si="16"/>
        <v>0</v>
      </c>
      <c r="AK63" s="203">
        <f t="shared" si="16"/>
        <v>57200</v>
      </c>
      <c r="AL63" s="203">
        <f t="shared" si="16"/>
        <v>0</v>
      </c>
      <c r="AM63" s="203">
        <f t="shared" si="16"/>
        <v>0</v>
      </c>
      <c r="AN63" s="203">
        <f t="shared" si="16"/>
        <v>0</v>
      </c>
    </row>
    <row r="64" spans="2:40" x14ac:dyDescent="0.25">
      <c r="B64" s="192">
        <v>44858</v>
      </c>
      <c r="C64" s="194" t="s">
        <v>161</v>
      </c>
      <c r="D64" s="194" t="s">
        <v>103</v>
      </c>
      <c r="E64" s="204" t="s">
        <v>150</v>
      </c>
      <c r="F64" s="210" t="s">
        <v>130</v>
      </c>
      <c r="G64" s="197"/>
      <c r="H64" s="215">
        <v>3540000</v>
      </c>
      <c r="I64" s="199">
        <f t="shared" si="2"/>
        <v>129903004.37</v>
      </c>
      <c r="J64" s="205"/>
      <c r="K64" s="206"/>
      <c r="L64" s="206"/>
      <c r="M64" s="206"/>
      <c r="N64" s="206"/>
      <c r="O64" s="207"/>
      <c r="P64" s="203">
        <f t="shared" si="15"/>
        <v>0</v>
      </c>
      <c r="Q64" s="203">
        <f t="shared" si="15"/>
        <v>0</v>
      </c>
      <c r="R64" s="203">
        <f t="shared" si="15"/>
        <v>0</v>
      </c>
      <c r="S64" s="203">
        <f t="shared" si="15"/>
        <v>0</v>
      </c>
      <c r="T64" s="203">
        <f t="shared" si="15"/>
        <v>0</v>
      </c>
      <c r="U64" s="203">
        <f t="shared" si="15"/>
        <v>0</v>
      </c>
      <c r="V64" s="203">
        <f t="shared" si="15"/>
        <v>0</v>
      </c>
      <c r="W64" s="203">
        <f t="shared" si="15"/>
        <v>0</v>
      </c>
      <c r="X64" s="203">
        <f t="shared" si="15"/>
        <v>0</v>
      </c>
      <c r="Y64" s="203">
        <f t="shared" si="15"/>
        <v>3540000</v>
      </c>
      <c r="Z64" s="203">
        <f t="shared" si="15"/>
        <v>0</v>
      </c>
      <c r="AA64" s="203">
        <f t="shared" si="15"/>
        <v>0</v>
      </c>
      <c r="AB64" s="203">
        <f t="shared" si="15"/>
        <v>0</v>
      </c>
      <c r="AC64" s="203">
        <f t="shared" si="15"/>
        <v>0</v>
      </c>
      <c r="AD64" s="203">
        <f t="shared" si="15"/>
        <v>0</v>
      </c>
      <c r="AE64" s="203">
        <f t="shared" si="15"/>
        <v>0</v>
      </c>
      <c r="AF64" s="203">
        <f t="shared" si="15"/>
        <v>0</v>
      </c>
      <c r="AG64" s="203">
        <f t="shared" si="16"/>
        <v>0</v>
      </c>
      <c r="AH64" s="203">
        <f t="shared" si="16"/>
        <v>0</v>
      </c>
      <c r="AI64" s="203">
        <f t="shared" si="16"/>
        <v>0</v>
      </c>
      <c r="AJ64" s="203">
        <f t="shared" si="16"/>
        <v>0</v>
      </c>
      <c r="AK64" s="203">
        <f t="shared" si="16"/>
        <v>0</v>
      </c>
      <c r="AL64" s="203">
        <f t="shared" si="16"/>
        <v>0</v>
      </c>
      <c r="AM64" s="203">
        <f t="shared" si="16"/>
        <v>0</v>
      </c>
      <c r="AN64" s="203">
        <f t="shared" si="16"/>
        <v>0</v>
      </c>
    </row>
    <row r="65" spans="1:40" x14ac:dyDescent="0.25">
      <c r="B65" s="192">
        <v>44859</v>
      </c>
      <c r="C65" s="194" t="s">
        <v>163</v>
      </c>
      <c r="D65" s="194" t="s">
        <v>81</v>
      </c>
      <c r="E65" s="204" t="s">
        <v>151</v>
      </c>
      <c r="F65" s="210" t="s">
        <v>54</v>
      </c>
      <c r="G65" s="197"/>
      <c r="H65" s="215">
        <v>60700</v>
      </c>
      <c r="I65" s="199">
        <f t="shared" si="2"/>
        <v>129842304.37</v>
      </c>
      <c r="J65" s="205"/>
      <c r="K65" s="206"/>
      <c r="L65" s="206"/>
      <c r="M65" s="206"/>
      <c r="N65" s="206"/>
      <c r="O65" s="207"/>
      <c r="P65" s="203">
        <f t="shared" si="15"/>
        <v>0</v>
      </c>
      <c r="Q65" s="203">
        <f t="shared" si="15"/>
        <v>0</v>
      </c>
      <c r="R65" s="203">
        <f t="shared" si="15"/>
        <v>0</v>
      </c>
      <c r="S65" s="203">
        <f t="shared" si="15"/>
        <v>0</v>
      </c>
      <c r="T65" s="203">
        <f t="shared" si="15"/>
        <v>0</v>
      </c>
      <c r="U65" s="203">
        <f t="shared" si="15"/>
        <v>0</v>
      </c>
      <c r="V65" s="203">
        <f t="shared" si="15"/>
        <v>0</v>
      </c>
      <c r="W65" s="203">
        <f t="shared" si="15"/>
        <v>0</v>
      </c>
      <c r="X65" s="203">
        <f t="shared" si="15"/>
        <v>0</v>
      </c>
      <c r="Y65" s="203">
        <f t="shared" si="15"/>
        <v>0</v>
      </c>
      <c r="Z65" s="203">
        <f t="shared" si="15"/>
        <v>0</v>
      </c>
      <c r="AA65" s="203">
        <f t="shared" si="15"/>
        <v>0</v>
      </c>
      <c r="AB65" s="203">
        <f t="shared" si="15"/>
        <v>60700</v>
      </c>
      <c r="AC65" s="203">
        <f t="shared" si="15"/>
        <v>0</v>
      </c>
      <c r="AD65" s="203">
        <f t="shared" si="15"/>
        <v>0</v>
      </c>
      <c r="AE65" s="203">
        <f t="shared" si="15"/>
        <v>0</v>
      </c>
      <c r="AF65" s="203">
        <f t="shared" si="15"/>
        <v>0</v>
      </c>
      <c r="AG65" s="203">
        <f t="shared" si="16"/>
        <v>0</v>
      </c>
      <c r="AH65" s="203">
        <f t="shared" si="16"/>
        <v>0</v>
      </c>
      <c r="AI65" s="203">
        <f t="shared" si="16"/>
        <v>0</v>
      </c>
      <c r="AJ65" s="203">
        <f t="shared" si="16"/>
        <v>0</v>
      </c>
      <c r="AK65" s="203">
        <f t="shared" si="16"/>
        <v>0</v>
      </c>
      <c r="AL65" s="203">
        <f t="shared" si="16"/>
        <v>0</v>
      </c>
      <c r="AM65" s="203">
        <f t="shared" si="16"/>
        <v>0</v>
      </c>
      <c r="AN65" s="203">
        <f t="shared" si="16"/>
        <v>0</v>
      </c>
    </row>
    <row r="66" spans="1:40" x14ac:dyDescent="0.25">
      <c r="B66" s="192">
        <v>44860</v>
      </c>
      <c r="C66" s="194" t="s">
        <v>164</v>
      </c>
      <c r="D66" s="194" t="s">
        <v>111</v>
      </c>
      <c r="E66" s="204" t="s">
        <v>152</v>
      </c>
      <c r="F66" s="210" t="s">
        <v>54</v>
      </c>
      <c r="G66" s="197"/>
      <c r="H66" s="215">
        <v>81000</v>
      </c>
      <c r="I66" s="199">
        <f t="shared" si="2"/>
        <v>129761304.37</v>
      </c>
      <c r="J66" s="205"/>
      <c r="K66" s="206"/>
      <c r="L66" s="206"/>
      <c r="M66" s="206"/>
      <c r="N66" s="206"/>
      <c r="O66" s="207"/>
      <c r="P66" s="203">
        <f t="shared" si="15"/>
        <v>0</v>
      </c>
      <c r="Q66" s="203">
        <f t="shared" si="15"/>
        <v>0</v>
      </c>
      <c r="R66" s="203">
        <f t="shared" si="15"/>
        <v>0</v>
      </c>
      <c r="S66" s="203">
        <f t="shared" si="15"/>
        <v>81000</v>
      </c>
      <c r="T66" s="203">
        <f t="shared" si="15"/>
        <v>0</v>
      </c>
      <c r="U66" s="203">
        <f t="shared" si="15"/>
        <v>0</v>
      </c>
      <c r="V66" s="203">
        <f t="shared" si="15"/>
        <v>0</v>
      </c>
      <c r="W66" s="203">
        <f t="shared" si="15"/>
        <v>0</v>
      </c>
      <c r="X66" s="203">
        <f t="shared" si="15"/>
        <v>0</v>
      </c>
      <c r="Y66" s="203">
        <f t="shared" si="15"/>
        <v>0</v>
      </c>
      <c r="Z66" s="203">
        <f t="shared" si="15"/>
        <v>0</v>
      </c>
      <c r="AA66" s="203">
        <f t="shared" si="15"/>
        <v>0</v>
      </c>
      <c r="AB66" s="203">
        <f t="shared" si="15"/>
        <v>0</v>
      </c>
      <c r="AC66" s="203">
        <f t="shared" si="15"/>
        <v>0</v>
      </c>
      <c r="AD66" s="203">
        <f t="shared" si="15"/>
        <v>0</v>
      </c>
      <c r="AE66" s="203">
        <f t="shared" si="15"/>
        <v>0</v>
      </c>
      <c r="AF66" s="203">
        <f t="shared" si="15"/>
        <v>0</v>
      </c>
      <c r="AG66" s="203">
        <f t="shared" si="16"/>
        <v>0</v>
      </c>
      <c r="AH66" s="203">
        <f t="shared" si="16"/>
        <v>0</v>
      </c>
      <c r="AI66" s="203">
        <f t="shared" si="16"/>
        <v>0</v>
      </c>
      <c r="AJ66" s="203">
        <f t="shared" si="16"/>
        <v>0</v>
      </c>
      <c r="AK66" s="203">
        <f t="shared" si="16"/>
        <v>0</v>
      </c>
      <c r="AL66" s="203">
        <f t="shared" si="16"/>
        <v>0</v>
      </c>
      <c r="AM66" s="203">
        <f t="shared" si="16"/>
        <v>0</v>
      </c>
      <c r="AN66" s="203">
        <f t="shared" si="16"/>
        <v>0</v>
      </c>
    </row>
    <row r="67" spans="1:40" ht="19" x14ac:dyDescent="0.25">
      <c r="B67" s="192">
        <v>44860</v>
      </c>
      <c r="C67" s="194" t="s">
        <v>165</v>
      </c>
      <c r="D67" s="194" t="s">
        <v>166</v>
      </c>
      <c r="E67" s="204" t="s">
        <v>153</v>
      </c>
      <c r="F67" s="210" t="s">
        <v>91</v>
      </c>
      <c r="G67" s="197"/>
      <c r="H67" s="215">
        <v>11000</v>
      </c>
      <c r="I67" s="199">
        <f t="shared" si="2"/>
        <v>129750304.37</v>
      </c>
      <c r="J67" s="205"/>
      <c r="K67" s="206"/>
      <c r="L67" s="206"/>
      <c r="M67" s="206"/>
      <c r="N67" s="206"/>
      <c r="O67" s="207"/>
      <c r="P67" s="208"/>
      <c r="Q67" s="11"/>
      <c r="R67" s="11"/>
      <c r="S67" s="11"/>
      <c r="T67" s="11"/>
      <c r="U67" s="11"/>
      <c r="V67" s="11"/>
      <c r="W67" s="14"/>
      <c r="X67" s="14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79"/>
      <c r="AN67" s="45"/>
    </row>
    <row r="68" spans="1:40" x14ac:dyDescent="0.25">
      <c r="B68" s="192">
        <v>44861</v>
      </c>
      <c r="C68" s="194" t="s">
        <v>176</v>
      </c>
      <c r="D68" s="194" t="s">
        <v>94</v>
      </c>
      <c r="E68" s="204" t="s">
        <v>154</v>
      </c>
      <c r="F68" s="210" t="s">
        <v>54</v>
      </c>
      <c r="G68" s="197"/>
      <c r="H68" s="215">
        <v>40500</v>
      </c>
      <c r="I68" s="199">
        <f t="shared" si="2"/>
        <v>129709804.37</v>
      </c>
      <c r="J68" s="205"/>
      <c r="K68" s="206"/>
      <c r="L68" s="206"/>
      <c r="M68" s="206"/>
      <c r="N68" s="206"/>
      <c r="O68" s="207"/>
      <c r="P68" s="203">
        <f t="shared" ref="P68:AF74" si="17">IF($D68=P$13,$H68, 0)</f>
        <v>40500</v>
      </c>
      <c r="Q68" s="203">
        <f t="shared" si="17"/>
        <v>0</v>
      </c>
      <c r="R68" s="203">
        <f t="shared" si="17"/>
        <v>0</v>
      </c>
      <c r="S68" s="203">
        <f t="shared" si="17"/>
        <v>0</v>
      </c>
      <c r="T68" s="203">
        <f t="shared" si="17"/>
        <v>0</v>
      </c>
      <c r="U68" s="203">
        <f t="shared" si="15"/>
        <v>0</v>
      </c>
      <c r="V68" s="203">
        <f t="shared" si="17"/>
        <v>0</v>
      </c>
      <c r="W68" s="203">
        <f t="shared" si="17"/>
        <v>0</v>
      </c>
      <c r="X68" s="203">
        <f t="shared" si="17"/>
        <v>0</v>
      </c>
      <c r="Y68" s="203">
        <f t="shared" si="17"/>
        <v>0</v>
      </c>
      <c r="Z68" s="203">
        <f t="shared" si="17"/>
        <v>0</v>
      </c>
      <c r="AA68" s="203">
        <f t="shared" si="17"/>
        <v>0</v>
      </c>
      <c r="AB68" s="203">
        <f t="shared" si="17"/>
        <v>0</v>
      </c>
      <c r="AC68" s="203">
        <f t="shared" si="17"/>
        <v>0</v>
      </c>
      <c r="AD68" s="203">
        <f t="shared" si="17"/>
        <v>0</v>
      </c>
      <c r="AE68" s="203">
        <f t="shared" si="17"/>
        <v>0</v>
      </c>
      <c r="AF68" s="203">
        <f t="shared" si="17"/>
        <v>0</v>
      </c>
      <c r="AG68" s="203">
        <f t="shared" ref="AG68:AN74" si="18">IF($D68=AG$13,$H68, 0)</f>
        <v>0</v>
      </c>
      <c r="AH68" s="203">
        <f t="shared" si="18"/>
        <v>0</v>
      </c>
      <c r="AI68" s="203">
        <f t="shared" si="18"/>
        <v>0</v>
      </c>
      <c r="AJ68" s="203">
        <f t="shared" si="18"/>
        <v>0</v>
      </c>
      <c r="AK68" s="203">
        <f t="shared" si="18"/>
        <v>0</v>
      </c>
      <c r="AL68" s="203">
        <f t="shared" si="18"/>
        <v>0</v>
      </c>
      <c r="AM68" s="203">
        <f t="shared" si="18"/>
        <v>0</v>
      </c>
      <c r="AN68" s="203">
        <f t="shared" si="18"/>
        <v>0</v>
      </c>
    </row>
    <row r="69" spans="1:40" x14ac:dyDescent="0.25">
      <c r="B69" s="192">
        <v>44862</v>
      </c>
      <c r="C69" s="194" t="s">
        <v>173</v>
      </c>
      <c r="D69" s="194" t="s">
        <v>111</v>
      </c>
      <c r="E69" s="204" t="s">
        <v>155</v>
      </c>
      <c r="F69" s="210" t="s">
        <v>54</v>
      </c>
      <c r="G69" s="197"/>
      <c r="H69" s="215">
        <v>50000</v>
      </c>
      <c r="I69" s="199">
        <f t="shared" si="2"/>
        <v>129659804.37</v>
      </c>
      <c r="J69" s="205"/>
      <c r="K69" s="206"/>
      <c r="L69" s="206"/>
      <c r="M69" s="206"/>
      <c r="N69" s="206"/>
      <c r="O69" s="207"/>
      <c r="P69" s="203">
        <f t="shared" si="17"/>
        <v>0</v>
      </c>
      <c r="Q69" s="203">
        <f t="shared" si="17"/>
        <v>0</v>
      </c>
      <c r="R69" s="203">
        <f t="shared" si="17"/>
        <v>0</v>
      </c>
      <c r="S69" s="203">
        <f t="shared" si="17"/>
        <v>50000</v>
      </c>
      <c r="T69" s="203">
        <f t="shared" si="17"/>
        <v>0</v>
      </c>
      <c r="U69" s="203">
        <f t="shared" si="17"/>
        <v>0</v>
      </c>
      <c r="V69" s="203">
        <f t="shared" si="17"/>
        <v>0</v>
      </c>
      <c r="W69" s="203">
        <f t="shared" si="17"/>
        <v>0</v>
      </c>
      <c r="X69" s="203">
        <f t="shared" si="17"/>
        <v>0</v>
      </c>
      <c r="Y69" s="203">
        <f t="shared" si="17"/>
        <v>0</v>
      </c>
      <c r="Z69" s="203">
        <f t="shared" si="17"/>
        <v>0</v>
      </c>
      <c r="AA69" s="203">
        <f t="shared" si="17"/>
        <v>0</v>
      </c>
      <c r="AB69" s="203">
        <f t="shared" si="17"/>
        <v>0</v>
      </c>
      <c r="AC69" s="203">
        <f t="shared" si="17"/>
        <v>0</v>
      </c>
      <c r="AD69" s="203">
        <f t="shared" si="17"/>
        <v>0</v>
      </c>
      <c r="AE69" s="203">
        <f t="shared" si="17"/>
        <v>0</v>
      </c>
      <c r="AF69" s="203">
        <f t="shared" si="17"/>
        <v>0</v>
      </c>
      <c r="AG69" s="203">
        <f t="shared" si="18"/>
        <v>0</v>
      </c>
      <c r="AH69" s="203">
        <f t="shared" si="18"/>
        <v>0</v>
      </c>
      <c r="AI69" s="203">
        <f t="shared" si="18"/>
        <v>0</v>
      </c>
      <c r="AJ69" s="203">
        <f t="shared" si="18"/>
        <v>0</v>
      </c>
      <c r="AK69" s="203">
        <f t="shared" si="18"/>
        <v>0</v>
      </c>
      <c r="AL69" s="203">
        <f t="shared" si="18"/>
        <v>0</v>
      </c>
      <c r="AM69" s="203">
        <f t="shared" si="18"/>
        <v>0</v>
      </c>
      <c r="AN69" s="203">
        <f t="shared" si="18"/>
        <v>0</v>
      </c>
    </row>
    <row r="70" spans="1:40" x14ac:dyDescent="0.25">
      <c r="B70" s="192">
        <v>44862</v>
      </c>
      <c r="C70" s="194" t="s">
        <v>174</v>
      </c>
      <c r="D70" s="194" t="s">
        <v>119</v>
      </c>
      <c r="E70" s="204" t="s">
        <v>156</v>
      </c>
      <c r="F70" s="210" t="s">
        <v>54</v>
      </c>
      <c r="G70" s="197"/>
      <c r="H70" s="215">
        <v>440000</v>
      </c>
      <c r="I70" s="199">
        <f t="shared" si="2"/>
        <v>129219804.37</v>
      </c>
      <c r="J70" s="205"/>
      <c r="K70" s="206"/>
      <c r="L70" s="206"/>
      <c r="M70" s="206"/>
      <c r="N70" s="206"/>
      <c r="O70" s="207"/>
      <c r="P70" s="203">
        <f t="shared" si="17"/>
        <v>0</v>
      </c>
      <c r="Q70" s="203">
        <f t="shared" si="17"/>
        <v>0</v>
      </c>
      <c r="R70" s="203">
        <f t="shared" si="17"/>
        <v>0</v>
      </c>
      <c r="S70" s="203">
        <f t="shared" si="17"/>
        <v>0</v>
      </c>
      <c r="T70" s="203">
        <f t="shared" si="17"/>
        <v>0</v>
      </c>
      <c r="U70" s="203">
        <f t="shared" si="17"/>
        <v>0</v>
      </c>
      <c r="V70" s="203">
        <f t="shared" si="17"/>
        <v>0</v>
      </c>
      <c r="W70" s="203">
        <f t="shared" si="17"/>
        <v>0</v>
      </c>
      <c r="X70" s="203">
        <f t="shared" si="17"/>
        <v>0</v>
      </c>
      <c r="Y70" s="203">
        <f t="shared" si="17"/>
        <v>0</v>
      </c>
      <c r="Z70" s="203">
        <f t="shared" si="17"/>
        <v>0</v>
      </c>
      <c r="AA70" s="203">
        <f t="shared" si="17"/>
        <v>0</v>
      </c>
      <c r="AB70" s="203">
        <f t="shared" si="17"/>
        <v>0</v>
      </c>
      <c r="AC70" s="203">
        <f t="shared" si="17"/>
        <v>0</v>
      </c>
      <c r="AD70" s="203">
        <f t="shared" si="17"/>
        <v>0</v>
      </c>
      <c r="AE70" s="203">
        <f t="shared" si="17"/>
        <v>0</v>
      </c>
      <c r="AF70" s="203">
        <f t="shared" si="17"/>
        <v>0</v>
      </c>
      <c r="AG70" s="203">
        <f t="shared" si="18"/>
        <v>440000</v>
      </c>
      <c r="AH70" s="203">
        <f t="shared" si="18"/>
        <v>0</v>
      </c>
      <c r="AI70" s="203">
        <f t="shared" si="18"/>
        <v>0</v>
      </c>
      <c r="AJ70" s="203">
        <f t="shared" si="18"/>
        <v>0</v>
      </c>
      <c r="AK70" s="203">
        <f t="shared" si="18"/>
        <v>0</v>
      </c>
      <c r="AL70" s="203">
        <f t="shared" si="18"/>
        <v>0</v>
      </c>
      <c r="AM70" s="203">
        <f t="shared" si="18"/>
        <v>0</v>
      </c>
      <c r="AN70" s="203">
        <f t="shared" si="18"/>
        <v>0</v>
      </c>
    </row>
    <row r="71" spans="1:40" x14ac:dyDescent="0.25">
      <c r="B71" s="192">
        <v>44865</v>
      </c>
      <c r="C71" s="194" t="s">
        <v>44</v>
      </c>
      <c r="D71" s="194" t="s">
        <v>48</v>
      </c>
      <c r="E71" s="204" t="s">
        <v>167</v>
      </c>
      <c r="F71" s="210" t="s">
        <v>54</v>
      </c>
      <c r="G71" s="197"/>
      <c r="H71" s="215">
        <v>70000</v>
      </c>
      <c r="I71" s="199">
        <f t="shared" si="2"/>
        <v>129149804.37</v>
      </c>
      <c r="J71" s="205"/>
      <c r="K71" s="206"/>
      <c r="L71" s="206"/>
      <c r="M71" s="206"/>
      <c r="N71" s="206"/>
      <c r="O71" s="207"/>
      <c r="P71" s="203">
        <f t="shared" si="17"/>
        <v>0</v>
      </c>
      <c r="Q71" s="203">
        <f t="shared" si="17"/>
        <v>0</v>
      </c>
      <c r="R71" s="203">
        <f t="shared" si="17"/>
        <v>0</v>
      </c>
      <c r="S71" s="203">
        <f t="shared" si="17"/>
        <v>0</v>
      </c>
      <c r="T71" s="203">
        <f t="shared" si="17"/>
        <v>0</v>
      </c>
      <c r="U71" s="203">
        <f t="shared" si="17"/>
        <v>0</v>
      </c>
      <c r="V71" s="203">
        <f t="shared" si="17"/>
        <v>0</v>
      </c>
      <c r="W71" s="203">
        <f t="shared" si="17"/>
        <v>0</v>
      </c>
      <c r="X71" s="203">
        <f t="shared" si="17"/>
        <v>0</v>
      </c>
      <c r="Y71" s="203">
        <f t="shared" si="17"/>
        <v>0</v>
      </c>
      <c r="Z71" s="203">
        <f t="shared" si="17"/>
        <v>0</v>
      </c>
      <c r="AA71" s="203">
        <f t="shared" si="17"/>
        <v>0</v>
      </c>
      <c r="AB71" s="203">
        <f t="shared" si="17"/>
        <v>0</v>
      </c>
      <c r="AC71" s="203">
        <f t="shared" si="17"/>
        <v>0</v>
      </c>
      <c r="AD71" s="203">
        <f t="shared" si="17"/>
        <v>0</v>
      </c>
      <c r="AE71" s="203">
        <f t="shared" si="17"/>
        <v>0</v>
      </c>
      <c r="AF71" s="203">
        <f t="shared" si="17"/>
        <v>0</v>
      </c>
      <c r="AG71" s="203">
        <f t="shared" si="18"/>
        <v>0</v>
      </c>
      <c r="AH71" s="203">
        <f t="shared" si="18"/>
        <v>0</v>
      </c>
      <c r="AI71" s="203">
        <f t="shared" si="18"/>
        <v>0</v>
      </c>
      <c r="AJ71" s="203">
        <f t="shared" si="18"/>
        <v>70000</v>
      </c>
      <c r="AK71" s="203">
        <f t="shared" si="18"/>
        <v>0</v>
      </c>
      <c r="AL71" s="203">
        <f t="shared" si="18"/>
        <v>0</v>
      </c>
      <c r="AM71" s="203">
        <f t="shared" si="18"/>
        <v>0</v>
      </c>
      <c r="AN71" s="203">
        <f t="shared" si="18"/>
        <v>0</v>
      </c>
    </row>
    <row r="72" spans="1:40" x14ac:dyDescent="0.25">
      <c r="B72" s="192">
        <v>44865</v>
      </c>
      <c r="C72" s="194" t="s">
        <v>178</v>
      </c>
      <c r="D72" s="194" t="s">
        <v>94</v>
      </c>
      <c r="E72" s="204" t="s">
        <v>168</v>
      </c>
      <c r="F72" s="210" t="s">
        <v>54</v>
      </c>
      <c r="G72" s="197"/>
      <c r="H72" s="215">
        <v>80000</v>
      </c>
      <c r="I72" s="199">
        <f t="shared" si="2"/>
        <v>129069804.37</v>
      </c>
      <c r="J72" s="205"/>
      <c r="K72" s="206"/>
      <c r="L72" s="206"/>
      <c r="M72" s="206"/>
      <c r="N72" s="206"/>
      <c r="O72" s="207"/>
      <c r="P72" s="203">
        <f t="shared" si="17"/>
        <v>80000</v>
      </c>
      <c r="Q72" s="203">
        <f t="shared" si="17"/>
        <v>0</v>
      </c>
      <c r="R72" s="203">
        <f t="shared" si="17"/>
        <v>0</v>
      </c>
      <c r="S72" s="203">
        <f t="shared" si="17"/>
        <v>0</v>
      </c>
      <c r="T72" s="203">
        <f t="shared" si="17"/>
        <v>0</v>
      </c>
      <c r="U72" s="203">
        <f t="shared" si="17"/>
        <v>0</v>
      </c>
      <c r="V72" s="203">
        <f t="shared" si="17"/>
        <v>0</v>
      </c>
      <c r="W72" s="203">
        <f t="shared" si="17"/>
        <v>0</v>
      </c>
      <c r="X72" s="203">
        <f t="shared" si="17"/>
        <v>0</v>
      </c>
      <c r="Y72" s="203">
        <f t="shared" si="17"/>
        <v>0</v>
      </c>
      <c r="Z72" s="203">
        <f t="shared" si="17"/>
        <v>0</v>
      </c>
      <c r="AA72" s="203">
        <f t="shared" si="17"/>
        <v>0</v>
      </c>
      <c r="AB72" s="203">
        <f t="shared" si="17"/>
        <v>0</v>
      </c>
      <c r="AC72" s="203">
        <f t="shared" si="17"/>
        <v>0</v>
      </c>
      <c r="AD72" s="203">
        <f t="shared" si="17"/>
        <v>0</v>
      </c>
      <c r="AE72" s="203">
        <f t="shared" si="17"/>
        <v>0</v>
      </c>
      <c r="AF72" s="203">
        <f t="shared" si="17"/>
        <v>0</v>
      </c>
      <c r="AG72" s="203">
        <f t="shared" si="18"/>
        <v>0</v>
      </c>
      <c r="AH72" s="203">
        <f t="shared" si="18"/>
        <v>0</v>
      </c>
      <c r="AI72" s="203">
        <f t="shared" si="18"/>
        <v>0</v>
      </c>
      <c r="AJ72" s="203">
        <f t="shared" si="18"/>
        <v>0</v>
      </c>
      <c r="AK72" s="203">
        <f t="shared" si="18"/>
        <v>0</v>
      </c>
      <c r="AL72" s="203">
        <f t="shared" si="18"/>
        <v>0</v>
      </c>
      <c r="AM72" s="203">
        <f t="shared" si="18"/>
        <v>0</v>
      </c>
      <c r="AN72" s="203">
        <f t="shared" si="18"/>
        <v>0</v>
      </c>
    </row>
    <row r="73" spans="1:40" x14ac:dyDescent="0.25">
      <c r="B73" s="192">
        <v>44866</v>
      </c>
      <c r="C73" s="194" t="s">
        <v>44</v>
      </c>
      <c r="D73" s="194" t="s">
        <v>48</v>
      </c>
      <c r="E73" s="204" t="s">
        <v>169</v>
      </c>
      <c r="F73" s="210" t="s">
        <v>54</v>
      </c>
      <c r="G73" s="197"/>
      <c r="H73" s="215">
        <v>20000</v>
      </c>
      <c r="I73" s="199">
        <f t="shared" si="2"/>
        <v>129049804.37</v>
      </c>
      <c r="J73" s="205"/>
      <c r="K73" s="206"/>
      <c r="L73" s="206"/>
      <c r="M73" s="206"/>
      <c r="N73" s="206"/>
      <c r="O73" s="207"/>
      <c r="P73" s="203">
        <f t="shared" si="17"/>
        <v>0</v>
      </c>
      <c r="Q73" s="203">
        <f t="shared" si="17"/>
        <v>0</v>
      </c>
      <c r="R73" s="203">
        <f t="shared" si="17"/>
        <v>0</v>
      </c>
      <c r="S73" s="203">
        <f t="shared" si="17"/>
        <v>0</v>
      </c>
      <c r="T73" s="203">
        <f t="shared" si="17"/>
        <v>0</v>
      </c>
      <c r="U73" s="203">
        <f t="shared" si="17"/>
        <v>0</v>
      </c>
      <c r="V73" s="203">
        <f t="shared" si="17"/>
        <v>0</v>
      </c>
      <c r="W73" s="203">
        <f t="shared" si="17"/>
        <v>0</v>
      </c>
      <c r="X73" s="203">
        <f t="shared" si="17"/>
        <v>0</v>
      </c>
      <c r="Y73" s="203">
        <f t="shared" si="17"/>
        <v>0</v>
      </c>
      <c r="Z73" s="203">
        <f t="shared" si="17"/>
        <v>0</v>
      </c>
      <c r="AA73" s="203">
        <f t="shared" si="17"/>
        <v>0</v>
      </c>
      <c r="AB73" s="203">
        <f t="shared" si="17"/>
        <v>0</v>
      </c>
      <c r="AC73" s="203">
        <f t="shared" si="17"/>
        <v>0</v>
      </c>
      <c r="AD73" s="203">
        <f t="shared" si="17"/>
        <v>0</v>
      </c>
      <c r="AE73" s="203">
        <f t="shared" si="17"/>
        <v>0</v>
      </c>
      <c r="AF73" s="203">
        <f t="shared" si="17"/>
        <v>0</v>
      </c>
      <c r="AG73" s="203">
        <f t="shared" si="18"/>
        <v>0</v>
      </c>
      <c r="AH73" s="203">
        <f t="shared" si="18"/>
        <v>0</v>
      </c>
      <c r="AI73" s="203">
        <f t="shared" si="18"/>
        <v>0</v>
      </c>
      <c r="AJ73" s="203">
        <f t="shared" si="18"/>
        <v>20000</v>
      </c>
      <c r="AK73" s="203">
        <f t="shared" si="18"/>
        <v>0</v>
      </c>
      <c r="AL73" s="203">
        <f t="shared" si="18"/>
        <v>0</v>
      </c>
      <c r="AM73" s="203">
        <f t="shared" si="18"/>
        <v>0</v>
      </c>
      <c r="AN73" s="203">
        <f t="shared" si="18"/>
        <v>0</v>
      </c>
    </row>
    <row r="74" spans="1:40" x14ac:dyDescent="0.25">
      <c r="A74" s="4" t="s">
        <v>354</v>
      </c>
      <c r="B74" s="192">
        <v>44868</v>
      </c>
      <c r="C74" s="194" t="s">
        <v>52</v>
      </c>
      <c r="D74" s="194" t="s">
        <v>52</v>
      </c>
      <c r="E74" s="204" t="s">
        <v>175</v>
      </c>
      <c r="F74" s="210" t="s">
        <v>130</v>
      </c>
      <c r="G74" s="197"/>
      <c r="H74" s="215">
        <v>330000</v>
      </c>
      <c r="I74" s="199">
        <f>I73+G74-H74</f>
        <v>128719804.37</v>
      </c>
      <c r="J74" s="205"/>
      <c r="K74" s="206"/>
      <c r="L74" s="206"/>
      <c r="M74" s="206"/>
      <c r="N74" s="206"/>
      <c r="O74" s="207"/>
      <c r="P74" s="203">
        <f t="shared" si="17"/>
        <v>0</v>
      </c>
      <c r="Q74" s="203">
        <f t="shared" si="17"/>
        <v>0</v>
      </c>
      <c r="R74" s="203">
        <f t="shared" si="17"/>
        <v>0</v>
      </c>
      <c r="S74" s="203">
        <f t="shared" si="17"/>
        <v>0</v>
      </c>
      <c r="T74" s="203">
        <f t="shared" si="17"/>
        <v>0</v>
      </c>
      <c r="U74" s="203">
        <f t="shared" si="17"/>
        <v>0</v>
      </c>
      <c r="V74" s="203">
        <f t="shared" si="17"/>
        <v>330000</v>
      </c>
      <c r="W74" s="203">
        <f t="shared" si="17"/>
        <v>0</v>
      </c>
      <c r="X74" s="203">
        <f t="shared" si="17"/>
        <v>0</v>
      </c>
      <c r="Y74" s="203">
        <f t="shared" si="17"/>
        <v>0</v>
      </c>
      <c r="Z74" s="203">
        <f t="shared" si="17"/>
        <v>0</v>
      </c>
      <c r="AA74" s="203">
        <f t="shared" si="17"/>
        <v>0</v>
      </c>
      <c r="AB74" s="203">
        <f t="shared" si="17"/>
        <v>0</v>
      </c>
      <c r="AC74" s="203">
        <f t="shared" si="17"/>
        <v>0</v>
      </c>
      <c r="AD74" s="203">
        <f t="shared" si="17"/>
        <v>0</v>
      </c>
      <c r="AE74" s="203">
        <f t="shared" si="17"/>
        <v>0</v>
      </c>
      <c r="AF74" s="203">
        <f t="shared" si="17"/>
        <v>0</v>
      </c>
      <c r="AG74" s="203">
        <f t="shared" si="18"/>
        <v>0</v>
      </c>
      <c r="AH74" s="203">
        <f t="shared" si="18"/>
        <v>0</v>
      </c>
      <c r="AI74" s="203">
        <f t="shared" si="18"/>
        <v>0</v>
      </c>
      <c r="AJ74" s="203">
        <f t="shared" si="18"/>
        <v>0</v>
      </c>
      <c r="AK74" s="203">
        <f t="shared" si="18"/>
        <v>0</v>
      </c>
      <c r="AL74" s="203">
        <f t="shared" si="18"/>
        <v>0</v>
      </c>
      <c r="AM74" s="203">
        <f t="shared" si="18"/>
        <v>0</v>
      </c>
      <c r="AN74" s="203">
        <f t="shared" si="18"/>
        <v>0</v>
      </c>
    </row>
    <row r="75" spans="1:40" x14ac:dyDescent="0.25">
      <c r="B75" s="192">
        <v>44869</v>
      </c>
      <c r="C75" s="194" t="s">
        <v>180</v>
      </c>
      <c r="D75" s="194" t="s">
        <v>99</v>
      </c>
      <c r="E75" s="204" t="s">
        <v>195</v>
      </c>
      <c r="F75" s="210" t="s">
        <v>73</v>
      </c>
      <c r="G75" s="197"/>
      <c r="H75" s="215">
        <v>13000</v>
      </c>
      <c r="I75" s="199">
        <f t="shared" si="2"/>
        <v>128706804.37</v>
      </c>
      <c r="J75" s="205"/>
      <c r="K75" s="206"/>
      <c r="L75" s="206"/>
      <c r="M75" s="206"/>
      <c r="N75" s="206"/>
      <c r="O75" s="207"/>
      <c r="P75" s="208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79"/>
      <c r="AN75" s="45"/>
    </row>
    <row r="76" spans="1:40" x14ac:dyDescent="0.25">
      <c r="B76" s="192">
        <v>44873</v>
      </c>
      <c r="C76" s="194" t="s">
        <v>194</v>
      </c>
      <c r="D76" s="194" t="s">
        <v>111</v>
      </c>
      <c r="E76" s="204" t="s">
        <v>196</v>
      </c>
      <c r="F76" s="210" t="s">
        <v>54</v>
      </c>
      <c r="G76" s="197"/>
      <c r="H76" s="215">
        <v>68500</v>
      </c>
      <c r="I76" s="199">
        <f t="shared" si="2"/>
        <v>128638304.37</v>
      </c>
      <c r="J76" s="205"/>
      <c r="K76" s="206"/>
      <c r="L76" s="206"/>
      <c r="M76" s="206"/>
      <c r="N76" s="206"/>
      <c r="O76" s="207"/>
      <c r="P76" s="203">
        <f t="shared" ref="P76:AF80" si="19">IF($D76=P$13,$H76, 0)</f>
        <v>0</v>
      </c>
      <c r="Q76" s="203">
        <f t="shared" si="19"/>
        <v>0</v>
      </c>
      <c r="R76" s="203">
        <f t="shared" si="19"/>
        <v>0</v>
      </c>
      <c r="S76" s="203">
        <f t="shared" si="19"/>
        <v>68500</v>
      </c>
      <c r="T76" s="203">
        <f t="shared" si="19"/>
        <v>0</v>
      </c>
      <c r="U76" s="203">
        <f t="shared" ref="U76:U80" si="20">IF($D76=U$13,$H76, 0)</f>
        <v>0</v>
      </c>
      <c r="V76" s="203">
        <f t="shared" si="19"/>
        <v>0</v>
      </c>
      <c r="W76" s="203">
        <f t="shared" si="19"/>
        <v>0</v>
      </c>
      <c r="X76" s="203">
        <f t="shared" si="19"/>
        <v>0</v>
      </c>
      <c r="Y76" s="203">
        <f t="shared" si="19"/>
        <v>0</v>
      </c>
      <c r="Z76" s="203">
        <f t="shared" si="19"/>
        <v>0</v>
      </c>
      <c r="AA76" s="203">
        <f t="shared" si="19"/>
        <v>0</v>
      </c>
      <c r="AB76" s="203">
        <f t="shared" si="19"/>
        <v>0</v>
      </c>
      <c r="AC76" s="203">
        <f t="shared" si="19"/>
        <v>0</v>
      </c>
      <c r="AD76" s="203">
        <f t="shared" si="19"/>
        <v>0</v>
      </c>
      <c r="AE76" s="203">
        <f t="shared" si="19"/>
        <v>0</v>
      </c>
      <c r="AF76" s="203">
        <f t="shared" si="19"/>
        <v>0</v>
      </c>
      <c r="AG76" s="203">
        <f t="shared" ref="AG76:AN91" si="21">IF($D76=AG$13,$H76, 0)</f>
        <v>0</v>
      </c>
      <c r="AH76" s="203">
        <f t="shared" si="21"/>
        <v>0</v>
      </c>
      <c r="AI76" s="203">
        <f t="shared" si="21"/>
        <v>0</v>
      </c>
      <c r="AJ76" s="203">
        <f t="shared" si="21"/>
        <v>0</v>
      </c>
      <c r="AK76" s="203">
        <f t="shared" si="21"/>
        <v>0</v>
      </c>
      <c r="AL76" s="203">
        <f t="shared" si="21"/>
        <v>0</v>
      </c>
      <c r="AM76" s="203">
        <f t="shared" si="21"/>
        <v>0</v>
      </c>
      <c r="AN76" s="203">
        <f t="shared" si="21"/>
        <v>0</v>
      </c>
    </row>
    <row r="77" spans="1:40" x14ac:dyDescent="0.25">
      <c r="B77" s="192">
        <v>44873</v>
      </c>
      <c r="C77" s="194" t="s">
        <v>269</v>
      </c>
      <c r="D77" s="194" t="s">
        <v>111</v>
      </c>
      <c r="E77" s="204" t="s">
        <v>197</v>
      </c>
      <c r="F77" s="210" t="s">
        <v>54</v>
      </c>
      <c r="G77" s="197"/>
      <c r="H77" s="215">
        <v>44500</v>
      </c>
      <c r="I77" s="199">
        <f t="shared" si="2"/>
        <v>128593804.37</v>
      </c>
      <c r="J77" s="205"/>
      <c r="K77" s="206"/>
      <c r="L77" s="206"/>
      <c r="M77" s="206"/>
      <c r="N77" s="206"/>
      <c r="O77" s="207"/>
      <c r="P77" s="203">
        <f t="shared" si="19"/>
        <v>0</v>
      </c>
      <c r="Q77" s="203">
        <f t="shared" si="19"/>
        <v>0</v>
      </c>
      <c r="R77" s="203">
        <f t="shared" si="19"/>
        <v>0</v>
      </c>
      <c r="S77" s="203">
        <f t="shared" si="19"/>
        <v>44500</v>
      </c>
      <c r="T77" s="203">
        <f t="shared" si="19"/>
        <v>0</v>
      </c>
      <c r="U77" s="203">
        <f t="shared" si="20"/>
        <v>0</v>
      </c>
      <c r="V77" s="203">
        <f t="shared" si="19"/>
        <v>0</v>
      </c>
      <c r="W77" s="203">
        <f t="shared" si="19"/>
        <v>0</v>
      </c>
      <c r="X77" s="203">
        <f t="shared" si="19"/>
        <v>0</v>
      </c>
      <c r="Y77" s="203">
        <f t="shared" si="19"/>
        <v>0</v>
      </c>
      <c r="Z77" s="203">
        <f t="shared" si="19"/>
        <v>0</v>
      </c>
      <c r="AA77" s="203">
        <f t="shared" si="19"/>
        <v>0</v>
      </c>
      <c r="AB77" s="203">
        <f t="shared" si="19"/>
        <v>0</v>
      </c>
      <c r="AC77" s="203">
        <f t="shared" si="19"/>
        <v>0</v>
      </c>
      <c r="AD77" s="203">
        <f t="shared" si="19"/>
        <v>0</v>
      </c>
      <c r="AE77" s="203">
        <f t="shared" si="19"/>
        <v>0</v>
      </c>
      <c r="AF77" s="203">
        <f t="shared" si="19"/>
        <v>0</v>
      </c>
      <c r="AG77" s="203">
        <f t="shared" si="21"/>
        <v>0</v>
      </c>
      <c r="AH77" s="203">
        <f t="shared" si="21"/>
        <v>0</v>
      </c>
      <c r="AI77" s="203">
        <f t="shared" si="21"/>
        <v>0</v>
      </c>
      <c r="AJ77" s="203">
        <f t="shared" si="21"/>
        <v>0</v>
      </c>
      <c r="AK77" s="203">
        <f t="shared" si="21"/>
        <v>0</v>
      </c>
      <c r="AL77" s="203">
        <f t="shared" si="21"/>
        <v>0</v>
      </c>
      <c r="AM77" s="203">
        <f t="shared" si="21"/>
        <v>0</v>
      </c>
      <c r="AN77" s="203">
        <f t="shared" si="21"/>
        <v>0</v>
      </c>
    </row>
    <row r="78" spans="1:40" x14ac:dyDescent="0.25">
      <c r="B78" s="192">
        <v>44874</v>
      </c>
      <c r="C78" s="194" t="s">
        <v>266</v>
      </c>
      <c r="D78" s="194" t="s">
        <v>279</v>
      </c>
      <c r="E78" s="204" t="s">
        <v>198</v>
      </c>
      <c r="F78" s="210" t="s">
        <v>54</v>
      </c>
      <c r="G78" s="197"/>
      <c r="H78" s="215">
        <v>1501000</v>
      </c>
      <c r="I78" s="199">
        <f t="shared" si="2"/>
        <v>127092804.37</v>
      </c>
      <c r="J78" s="205"/>
      <c r="K78" s="206"/>
      <c r="L78" s="206"/>
      <c r="M78" s="206"/>
      <c r="N78" s="206"/>
      <c r="O78" s="207"/>
      <c r="P78" s="203">
        <f t="shared" si="19"/>
        <v>0</v>
      </c>
      <c r="Q78" s="203">
        <f t="shared" si="19"/>
        <v>0</v>
      </c>
      <c r="R78" s="203">
        <f t="shared" si="19"/>
        <v>0</v>
      </c>
      <c r="S78" s="203">
        <f t="shared" si="19"/>
        <v>0</v>
      </c>
      <c r="T78" s="203">
        <f t="shared" si="19"/>
        <v>0</v>
      </c>
      <c r="U78" s="203">
        <f t="shared" si="20"/>
        <v>0</v>
      </c>
      <c r="V78" s="203">
        <f t="shared" si="19"/>
        <v>0</v>
      </c>
      <c r="W78" s="203">
        <f t="shared" si="19"/>
        <v>1501000</v>
      </c>
      <c r="X78" s="203">
        <f t="shared" si="19"/>
        <v>0</v>
      </c>
      <c r="Y78" s="203">
        <f t="shared" si="19"/>
        <v>0</v>
      </c>
      <c r="Z78" s="203">
        <f t="shared" si="19"/>
        <v>0</v>
      </c>
      <c r="AA78" s="203">
        <f t="shared" si="19"/>
        <v>0</v>
      </c>
      <c r="AB78" s="203">
        <f t="shared" si="19"/>
        <v>0</v>
      </c>
      <c r="AC78" s="203">
        <f t="shared" si="19"/>
        <v>0</v>
      </c>
      <c r="AD78" s="203">
        <f t="shared" si="19"/>
        <v>0</v>
      </c>
      <c r="AE78" s="203">
        <f t="shared" si="19"/>
        <v>0</v>
      </c>
      <c r="AF78" s="203">
        <f t="shared" si="19"/>
        <v>0</v>
      </c>
      <c r="AG78" s="203">
        <f t="shared" si="21"/>
        <v>0</v>
      </c>
      <c r="AH78" s="203">
        <f t="shared" si="21"/>
        <v>0</v>
      </c>
      <c r="AI78" s="203">
        <f t="shared" si="21"/>
        <v>0</v>
      </c>
      <c r="AJ78" s="203">
        <f t="shared" si="21"/>
        <v>0</v>
      </c>
      <c r="AK78" s="203">
        <f t="shared" si="21"/>
        <v>0</v>
      </c>
      <c r="AL78" s="203">
        <f t="shared" si="21"/>
        <v>0</v>
      </c>
      <c r="AM78" s="203">
        <f t="shared" si="21"/>
        <v>0</v>
      </c>
      <c r="AN78" s="203">
        <f t="shared" si="21"/>
        <v>0</v>
      </c>
    </row>
    <row r="79" spans="1:40" x14ac:dyDescent="0.25">
      <c r="B79" s="192">
        <v>44874</v>
      </c>
      <c r="C79" s="194" t="s">
        <v>60</v>
      </c>
      <c r="D79" s="194" t="s">
        <v>111</v>
      </c>
      <c r="E79" s="204" t="s">
        <v>199</v>
      </c>
      <c r="F79" s="210" t="s">
        <v>54</v>
      </c>
      <c r="G79" s="197"/>
      <c r="H79" s="215">
        <v>1300000</v>
      </c>
      <c r="I79" s="199">
        <f t="shared" si="2"/>
        <v>125792804.37</v>
      </c>
      <c r="J79" s="205"/>
      <c r="K79" s="206"/>
      <c r="L79" s="206"/>
      <c r="M79" s="206"/>
      <c r="N79" s="206"/>
      <c r="O79" s="207"/>
      <c r="P79" s="203">
        <f t="shared" si="19"/>
        <v>0</v>
      </c>
      <c r="Q79" s="203">
        <f t="shared" si="19"/>
        <v>0</v>
      </c>
      <c r="R79" s="203">
        <f t="shared" si="19"/>
        <v>0</v>
      </c>
      <c r="S79" s="203">
        <f t="shared" si="19"/>
        <v>1300000</v>
      </c>
      <c r="T79" s="203">
        <f t="shared" si="19"/>
        <v>0</v>
      </c>
      <c r="U79" s="203">
        <f t="shared" si="20"/>
        <v>0</v>
      </c>
      <c r="V79" s="203">
        <f t="shared" si="19"/>
        <v>0</v>
      </c>
      <c r="W79" s="203">
        <f t="shared" si="19"/>
        <v>0</v>
      </c>
      <c r="X79" s="203">
        <f t="shared" si="19"/>
        <v>0</v>
      </c>
      <c r="Y79" s="203">
        <f t="shared" si="19"/>
        <v>0</v>
      </c>
      <c r="Z79" s="203">
        <f t="shared" si="19"/>
        <v>0</v>
      </c>
      <c r="AA79" s="203">
        <f t="shared" si="19"/>
        <v>0</v>
      </c>
      <c r="AB79" s="203">
        <f t="shared" si="19"/>
        <v>0</v>
      </c>
      <c r="AC79" s="203">
        <f t="shared" si="19"/>
        <v>0</v>
      </c>
      <c r="AD79" s="203">
        <f t="shared" si="19"/>
        <v>0</v>
      </c>
      <c r="AE79" s="203">
        <f t="shared" si="19"/>
        <v>0</v>
      </c>
      <c r="AF79" s="203">
        <f t="shared" si="19"/>
        <v>0</v>
      </c>
      <c r="AG79" s="203">
        <f t="shared" si="21"/>
        <v>0</v>
      </c>
      <c r="AH79" s="203">
        <f t="shared" si="21"/>
        <v>0</v>
      </c>
      <c r="AI79" s="203">
        <f t="shared" si="21"/>
        <v>0</v>
      </c>
      <c r="AJ79" s="203">
        <f t="shared" si="21"/>
        <v>0</v>
      </c>
      <c r="AK79" s="203">
        <f t="shared" si="21"/>
        <v>0</v>
      </c>
      <c r="AL79" s="203">
        <f t="shared" si="21"/>
        <v>0</v>
      </c>
      <c r="AM79" s="203">
        <f t="shared" si="21"/>
        <v>0</v>
      </c>
      <c r="AN79" s="203">
        <f t="shared" si="21"/>
        <v>0</v>
      </c>
    </row>
    <row r="80" spans="1:40" x14ac:dyDescent="0.25">
      <c r="B80" s="192">
        <v>44874</v>
      </c>
      <c r="C80" s="194" t="s">
        <v>361</v>
      </c>
      <c r="D80" s="194" t="s">
        <v>346</v>
      </c>
      <c r="E80" s="204" t="s">
        <v>200</v>
      </c>
      <c r="F80" s="210" t="s">
        <v>54</v>
      </c>
      <c r="G80" s="197"/>
      <c r="H80" s="215">
        <v>239800</v>
      </c>
      <c r="I80" s="199">
        <f t="shared" si="2"/>
        <v>125553004.37</v>
      </c>
      <c r="J80" s="205"/>
      <c r="K80" s="206"/>
      <c r="L80" s="206"/>
      <c r="M80" s="206"/>
      <c r="N80" s="206"/>
      <c r="O80" s="207"/>
      <c r="P80" s="203">
        <f t="shared" si="19"/>
        <v>0</v>
      </c>
      <c r="Q80" s="203">
        <f t="shared" si="19"/>
        <v>239800</v>
      </c>
      <c r="R80" s="203">
        <f t="shared" si="19"/>
        <v>0</v>
      </c>
      <c r="S80" s="203">
        <f t="shared" si="19"/>
        <v>0</v>
      </c>
      <c r="T80" s="203">
        <f t="shared" si="19"/>
        <v>0</v>
      </c>
      <c r="U80" s="203">
        <f t="shared" si="20"/>
        <v>0</v>
      </c>
      <c r="V80" s="203">
        <f t="shared" si="19"/>
        <v>0</v>
      </c>
      <c r="W80" s="203">
        <f t="shared" si="19"/>
        <v>0</v>
      </c>
      <c r="X80" s="203">
        <f t="shared" si="19"/>
        <v>0</v>
      </c>
      <c r="Y80" s="203">
        <f t="shared" si="19"/>
        <v>0</v>
      </c>
      <c r="Z80" s="203">
        <f t="shared" si="19"/>
        <v>0</v>
      </c>
      <c r="AA80" s="203">
        <f t="shared" si="19"/>
        <v>0</v>
      </c>
      <c r="AB80" s="203">
        <f t="shared" si="19"/>
        <v>0</v>
      </c>
      <c r="AC80" s="203">
        <f t="shared" si="19"/>
        <v>0</v>
      </c>
      <c r="AD80" s="203">
        <f t="shared" si="19"/>
        <v>0</v>
      </c>
      <c r="AE80" s="203">
        <f t="shared" si="19"/>
        <v>0</v>
      </c>
      <c r="AF80" s="203">
        <f t="shared" ref="P80:AF83" si="22">IF($D80=AF$13,$H80, 0)</f>
        <v>0</v>
      </c>
      <c r="AG80" s="203">
        <f t="shared" si="21"/>
        <v>0</v>
      </c>
      <c r="AH80" s="203">
        <f t="shared" si="21"/>
        <v>0</v>
      </c>
      <c r="AI80" s="203">
        <f t="shared" si="21"/>
        <v>0</v>
      </c>
      <c r="AJ80" s="203">
        <f t="shared" si="21"/>
        <v>0</v>
      </c>
      <c r="AK80" s="203">
        <f t="shared" si="21"/>
        <v>0</v>
      </c>
      <c r="AL80" s="203">
        <f t="shared" si="21"/>
        <v>0</v>
      </c>
      <c r="AM80" s="203">
        <f t="shared" si="21"/>
        <v>0</v>
      </c>
      <c r="AN80" s="203">
        <f t="shared" si="21"/>
        <v>0</v>
      </c>
    </row>
    <row r="81" spans="2:40" x14ac:dyDescent="0.25">
      <c r="B81" s="192">
        <v>44874</v>
      </c>
      <c r="C81" s="194" t="s">
        <v>270</v>
      </c>
      <c r="D81" s="194" t="s">
        <v>119</v>
      </c>
      <c r="E81" s="204" t="s">
        <v>201</v>
      </c>
      <c r="F81" s="210" t="s">
        <v>54</v>
      </c>
      <c r="G81" s="197"/>
      <c r="H81" s="215">
        <v>10000</v>
      </c>
      <c r="I81" s="199">
        <f t="shared" si="2"/>
        <v>125543004.37</v>
      </c>
      <c r="J81" s="205"/>
      <c r="K81" s="206"/>
      <c r="L81" s="206"/>
      <c r="M81" s="206"/>
      <c r="N81" s="206"/>
      <c r="O81" s="207"/>
      <c r="P81" s="203">
        <f t="shared" si="22"/>
        <v>0</v>
      </c>
      <c r="Q81" s="203">
        <f t="shared" si="22"/>
        <v>0</v>
      </c>
      <c r="R81" s="203">
        <f t="shared" si="22"/>
        <v>0</v>
      </c>
      <c r="S81" s="203">
        <f t="shared" si="22"/>
        <v>0</v>
      </c>
      <c r="T81" s="203">
        <f t="shared" si="22"/>
        <v>0</v>
      </c>
      <c r="U81" s="203">
        <f t="shared" si="22"/>
        <v>0</v>
      </c>
      <c r="V81" s="203">
        <f t="shared" si="22"/>
        <v>0</v>
      </c>
      <c r="W81" s="203">
        <f t="shared" si="22"/>
        <v>0</v>
      </c>
      <c r="X81" s="203">
        <f t="shared" si="22"/>
        <v>0</v>
      </c>
      <c r="Y81" s="203">
        <f t="shared" si="22"/>
        <v>0</v>
      </c>
      <c r="Z81" s="203">
        <f t="shared" si="22"/>
        <v>0</v>
      </c>
      <c r="AA81" s="203">
        <f t="shared" si="22"/>
        <v>0</v>
      </c>
      <c r="AB81" s="203">
        <f t="shared" si="22"/>
        <v>0</v>
      </c>
      <c r="AC81" s="203">
        <f t="shared" si="22"/>
        <v>0</v>
      </c>
      <c r="AD81" s="203">
        <f t="shared" si="22"/>
        <v>0</v>
      </c>
      <c r="AE81" s="203">
        <f t="shared" si="22"/>
        <v>0</v>
      </c>
      <c r="AF81" s="203">
        <f t="shared" si="22"/>
        <v>0</v>
      </c>
      <c r="AG81" s="203">
        <f t="shared" si="21"/>
        <v>10000</v>
      </c>
      <c r="AH81" s="203">
        <f t="shared" si="21"/>
        <v>0</v>
      </c>
      <c r="AI81" s="203">
        <f t="shared" si="21"/>
        <v>0</v>
      </c>
      <c r="AJ81" s="203">
        <f t="shared" si="21"/>
        <v>0</v>
      </c>
      <c r="AK81" s="203">
        <f t="shared" si="21"/>
        <v>0</v>
      </c>
      <c r="AL81" s="203">
        <f t="shared" si="21"/>
        <v>0</v>
      </c>
      <c r="AM81" s="203">
        <f t="shared" si="21"/>
        <v>0</v>
      </c>
      <c r="AN81" s="203">
        <f t="shared" si="21"/>
        <v>0</v>
      </c>
    </row>
    <row r="82" spans="2:40" x14ac:dyDescent="0.25">
      <c r="B82" s="192">
        <v>44874</v>
      </c>
      <c r="C82" s="194" t="s">
        <v>271</v>
      </c>
      <c r="D82" s="194" t="s">
        <v>94</v>
      </c>
      <c r="E82" s="204" t="s">
        <v>202</v>
      </c>
      <c r="F82" s="210" t="s">
        <v>54</v>
      </c>
      <c r="G82" s="197"/>
      <c r="H82" s="215">
        <v>409900</v>
      </c>
      <c r="I82" s="199">
        <f t="shared" ref="I82:I148" si="23">I81+G82-H82</f>
        <v>125133104.37</v>
      </c>
      <c r="J82" s="205"/>
      <c r="K82" s="206"/>
      <c r="L82" s="206"/>
      <c r="M82" s="206"/>
      <c r="N82" s="206"/>
      <c r="O82" s="207"/>
      <c r="P82" s="203">
        <f t="shared" si="22"/>
        <v>409900</v>
      </c>
      <c r="Q82" s="203">
        <f t="shared" si="22"/>
        <v>0</v>
      </c>
      <c r="R82" s="203">
        <f t="shared" si="22"/>
        <v>0</v>
      </c>
      <c r="S82" s="203">
        <f t="shared" si="22"/>
        <v>0</v>
      </c>
      <c r="T82" s="203">
        <f t="shared" si="22"/>
        <v>0</v>
      </c>
      <c r="U82" s="203">
        <f t="shared" si="22"/>
        <v>0</v>
      </c>
      <c r="V82" s="203">
        <f t="shared" si="22"/>
        <v>0</v>
      </c>
      <c r="W82" s="203">
        <f t="shared" si="22"/>
        <v>0</v>
      </c>
      <c r="X82" s="203">
        <f t="shared" si="22"/>
        <v>0</v>
      </c>
      <c r="Y82" s="203">
        <f t="shared" si="22"/>
        <v>0</v>
      </c>
      <c r="Z82" s="203">
        <f t="shared" si="22"/>
        <v>0</v>
      </c>
      <c r="AA82" s="203">
        <f t="shared" si="22"/>
        <v>0</v>
      </c>
      <c r="AB82" s="203">
        <f t="shared" si="22"/>
        <v>0</v>
      </c>
      <c r="AC82" s="203">
        <f t="shared" si="22"/>
        <v>0</v>
      </c>
      <c r="AD82" s="203">
        <f t="shared" si="22"/>
        <v>0</v>
      </c>
      <c r="AE82" s="203">
        <f t="shared" si="22"/>
        <v>0</v>
      </c>
      <c r="AF82" s="203">
        <f t="shared" si="22"/>
        <v>0</v>
      </c>
      <c r="AG82" s="203">
        <f t="shared" si="21"/>
        <v>0</v>
      </c>
      <c r="AH82" s="203">
        <f t="shared" si="21"/>
        <v>0</v>
      </c>
      <c r="AI82" s="203">
        <f t="shared" si="21"/>
        <v>0</v>
      </c>
      <c r="AJ82" s="203">
        <f t="shared" si="21"/>
        <v>0</v>
      </c>
      <c r="AK82" s="203">
        <f t="shared" si="21"/>
        <v>0</v>
      </c>
      <c r="AL82" s="203">
        <f t="shared" si="21"/>
        <v>0</v>
      </c>
      <c r="AM82" s="203">
        <f t="shared" si="21"/>
        <v>0</v>
      </c>
      <c r="AN82" s="203">
        <f t="shared" si="21"/>
        <v>0</v>
      </c>
    </row>
    <row r="83" spans="2:40" x14ac:dyDescent="0.25">
      <c r="B83" s="192">
        <v>44875</v>
      </c>
      <c r="C83" s="194" t="s">
        <v>267</v>
      </c>
      <c r="D83" s="194" t="s">
        <v>279</v>
      </c>
      <c r="E83" s="204" t="s">
        <v>203</v>
      </c>
      <c r="F83" s="210" t="s">
        <v>54</v>
      </c>
      <c r="G83" s="197"/>
      <c r="H83" s="215">
        <v>4000000</v>
      </c>
      <c r="I83" s="199">
        <f t="shared" si="23"/>
        <v>121133104.37</v>
      </c>
      <c r="J83" s="205"/>
      <c r="K83" s="206"/>
      <c r="L83" s="206"/>
      <c r="M83" s="206"/>
      <c r="N83" s="206"/>
      <c r="O83" s="207"/>
      <c r="P83" s="203">
        <f t="shared" si="22"/>
        <v>0</v>
      </c>
      <c r="Q83" s="203">
        <f t="shared" si="22"/>
        <v>0</v>
      </c>
      <c r="R83" s="203">
        <f t="shared" si="22"/>
        <v>0</v>
      </c>
      <c r="S83" s="203">
        <f t="shared" si="22"/>
        <v>0</v>
      </c>
      <c r="T83" s="203">
        <f t="shared" si="22"/>
        <v>0</v>
      </c>
      <c r="U83" s="203">
        <f t="shared" si="22"/>
        <v>0</v>
      </c>
      <c r="V83" s="203">
        <f t="shared" si="22"/>
        <v>0</v>
      </c>
      <c r="W83" s="203">
        <f t="shared" si="22"/>
        <v>4000000</v>
      </c>
      <c r="X83" s="203">
        <f t="shared" si="22"/>
        <v>0</v>
      </c>
      <c r="Y83" s="203">
        <f t="shared" si="22"/>
        <v>0</v>
      </c>
      <c r="Z83" s="203">
        <f t="shared" si="22"/>
        <v>0</v>
      </c>
      <c r="AA83" s="203">
        <f t="shared" si="22"/>
        <v>0</v>
      </c>
      <c r="AB83" s="203">
        <f t="shared" si="22"/>
        <v>0</v>
      </c>
      <c r="AC83" s="203">
        <f t="shared" si="22"/>
        <v>0</v>
      </c>
      <c r="AD83" s="203">
        <f t="shared" si="22"/>
        <v>0</v>
      </c>
      <c r="AE83" s="203">
        <f t="shared" si="22"/>
        <v>0</v>
      </c>
      <c r="AF83" s="203">
        <f t="shared" si="22"/>
        <v>0</v>
      </c>
      <c r="AG83" s="203">
        <f t="shared" si="21"/>
        <v>0</v>
      </c>
      <c r="AH83" s="203">
        <f t="shared" si="21"/>
        <v>0</v>
      </c>
      <c r="AI83" s="203">
        <f t="shared" si="21"/>
        <v>0</v>
      </c>
      <c r="AJ83" s="203">
        <f t="shared" si="21"/>
        <v>0</v>
      </c>
      <c r="AK83" s="203">
        <f t="shared" si="21"/>
        <v>0</v>
      </c>
      <c r="AL83" s="203">
        <f t="shared" si="21"/>
        <v>0</v>
      </c>
      <c r="AM83" s="203">
        <f t="shared" si="21"/>
        <v>0</v>
      </c>
      <c r="AN83" s="203">
        <f t="shared" si="21"/>
        <v>0</v>
      </c>
    </row>
    <row r="84" spans="2:40" ht="19" x14ac:dyDescent="0.25">
      <c r="B84" s="192">
        <v>44875</v>
      </c>
      <c r="C84" s="194" t="s">
        <v>272</v>
      </c>
      <c r="D84" s="194" t="s">
        <v>166</v>
      </c>
      <c r="E84" s="204" t="s">
        <v>204</v>
      </c>
      <c r="F84" s="210" t="s">
        <v>91</v>
      </c>
      <c r="G84" s="197"/>
      <c r="H84" s="215">
        <v>70000</v>
      </c>
      <c r="I84" s="199">
        <f t="shared" si="23"/>
        <v>121063104.37</v>
      </c>
      <c r="J84" s="205"/>
      <c r="K84" s="206"/>
      <c r="L84" s="206"/>
      <c r="M84" s="206"/>
      <c r="N84" s="206"/>
      <c r="O84" s="207"/>
      <c r="P84" s="208"/>
      <c r="Q84" s="11"/>
      <c r="R84" s="11"/>
      <c r="S84" s="11"/>
      <c r="T84" s="11"/>
      <c r="U84" s="11"/>
      <c r="V84" s="11"/>
      <c r="W84" s="11"/>
      <c r="X84" s="11"/>
      <c r="Y84" s="16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79"/>
      <c r="AN84" s="45"/>
    </row>
    <row r="85" spans="2:40" x14ac:dyDescent="0.25">
      <c r="B85" s="192">
        <v>44878</v>
      </c>
      <c r="C85" s="194" t="s">
        <v>44</v>
      </c>
      <c r="D85" s="194" t="s">
        <v>48</v>
      </c>
      <c r="E85" s="204" t="s">
        <v>205</v>
      </c>
      <c r="F85" s="210" t="s">
        <v>54</v>
      </c>
      <c r="G85" s="197"/>
      <c r="H85" s="215">
        <v>50000</v>
      </c>
      <c r="I85" s="199">
        <f t="shared" si="23"/>
        <v>121013104.37</v>
      </c>
      <c r="J85" s="205"/>
      <c r="K85" s="206"/>
      <c r="L85" s="206"/>
      <c r="M85" s="206"/>
      <c r="N85" s="206"/>
      <c r="O85" s="207"/>
      <c r="P85" s="203">
        <f t="shared" ref="P85:AF92" si="24">IF($D85=P$13,$H85, 0)</f>
        <v>0</v>
      </c>
      <c r="Q85" s="203">
        <f t="shared" si="24"/>
        <v>0</v>
      </c>
      <c r="R85" s="203">
        <f t="shared" si="24"/>
        <v>0</v>
      </c>
      <c r="S85" s="203">
        <f t="shared" si="24"/>
        <v>0</v>
      </c>
      <c r="T85" s="203">
        <f t="shared" si="24"/>
        <v>0</v>
      </c>
      <c r="U85" s="203">
        <f t="shared" si="24"/>
        <v>0</v>
      </c>
      <c r="V85" s="203">
        <f t="shared" si="24"/>
        <v>0</v>
      </c>
      <c r="W85" s="203">
        <f t="shared" si="24"/>
        <v>0</v>
      </c>
      <c r="X85" s="203">
        <f t="shared" si="24"/>
        <v>0</v>
      </c>
      <c r="Y85" s="203">
        <f t="shared" si="24"/>
        <v>0</v>
      </c>
      <c r="Z85" s="203">
        <f t="shared" si="24"/>
        <v>0</v>
      </c>
      <c r="AA85" s="203">
        <f t="shared" si="24"/>
        <v>0</v>
      </c>
      <c r="AB85" s="203">
        <f t="shared" si="24"/>
        <v>0</v>
      </c>
      <c r="AC85" s="203">
        <f t="shared" si="24"/>
        <v>0</v>
      </c>
      <c r="AD85" s="203">
        <f t="shared" si="24"/>
        <v>0</v>
      </c>
      <c r="AE85" s="203">
        <f t="shared" si="24"/>
        <v>0</v>
      </c>
      <c r="AF85" s="203">
        <f t="shared" si="24"/>
        <v>0</v>
      </c>
      <c r="AG85" s="203">
        <f t="shared" si="21"/>
        <v>0</v>
      </c>
      <c r="AH85" s="203">
        <f t="shared" si="21"/>
        <v>0</v>
      </c>
      <c r="AI85" s="203">
        <f t="shared" si="21"/>
        <v>0</v>
      </c>
      <c r="AJ85" s="203">
        <f t="shared" si="21"/>
        <v>50000</v>
      </c>
      <c r="AK85" s="203">
        <f t="shared" si="21"/>
        <v>0</v>
      </c>
      <c r="AL85" s="203">
        <f t="shared" si="21"/>
        <v>0</v>
      </c>
      <c r="AM85" s="203">
        <f t="shared" si="21"/>
        <v>0</v>
      </c>
      <c r="AN85" s="203">
        <f t="shared" si="21"/>
        <v>0</v>
      </c>
    </row>
    <row r="86" spans="2:40" x14ac:dyDescent="0.25">
      <c r="B86" s="192">
        <v>44878</v>
      </c>
      <c r="C86" s="194" t="s">
        <v>99</v>
      </c>
      <c r="D86" s="194" t="s">
        <v>81</v>
      </c>
      <c r="E86" s="204" t="s">
        <v>206</v>
      </c>
      <c r="F86" s="210" t="s">
        <v>54</v>
      </c>
      <c r="G86" s="197"/>
      <c r="H86" s="215">
        <v>31950</v>
      </c>
      <c r="I86" s="199">
        <f t="shared" si="23"/>
        <v>120981154.37</v>
      </c>
      <c r="J86" s="205"/>
      <c r="K86" s="206"/>
      <c r="L86" s="206"/>
      <c r="M86" s="206"/>
      <c r="N86" s="206"/>
      <c r="O86" s="207"/>
      <c r="P86" s="203">
        <f t="shared" si="24"/>
        <v>0</v>
      </c>
      <c r="Q86" s="203">
        <f t="shared" si="24"/>
        <v>0</v>
      </c>
      <c r="R86" s="203">
        <f t="shared" si="24"/>
        <v>0</v>
      </c>
      <c r="S86" s="203">
        <f t="shared" si="24"/>
        <v>0</v>
      </c>
      <c r="T86" s="203">
        <f t="shared" si="24"/>
        <v>0</v>
      </c>
      <c r="U86" s="203">
        <f t="shared" si="24"/>
        <v>0</v>
      </c>
      <c r="V86" s="203">
        <f t="shared" si="24"/>
        <v>0</v>
      </c>
      <c r="W86" s="203">
        <f t="shared" si="24"/>
        <v>0</v>
      </c>
      <c r="X86" s="203">
        <f t="shared" si="24"/>
        <v>0</v>
      </c>
      <c r="Y86" s="203">
        <f t="shared" si="24"/>
        <v>0</v>
      </c>
      <c r="Z86" s="203">
        <f t="shared" si="24"/>
        <v>0</v>
      </c>
      <c r="AA86" s="203">
        <f t="shared" si="24"/>
        <v>0</v>
      </c>
      <c r="AB86" s="203">
        <f t="shared" si="24"/>
        <v>31950</v>
      </c>
      <c r="AC86" s="203">
        <f t="shared" si="24"/>
        <v>0</v>
      </c>
      <c r="AD86" s="203">
        <f t="shared" si="24"/>
        <v>0</v>
      </c>
      <c r="AE86" s="203">
        <f t="shared" si="24"/>
        <v>0</v>
      </c>
      <c r="AF86" s="203">
        <f t="shared" si="24"/>
        <v>0</v>
      </c>
      <c r="AG86" s="203">
        <f t="shared" si="21"/>
        <v>0</v>
      </c>
      <c r="AH86" s="203">
        <f t="shared" si="21"/>
        <v>0</v>
      </c>
      <c r="AI86" s="203">
        <f t="shared" si="21"/>
        <v>0</v>
      </c>
      <c r="AJ86" s="203">
        <f t="shared" si="21"/>
        <v>0</v>
      </c>
      <c r="AK86" s="203">
        <f t="shared" si="21"/>
        <v>0</v>
      </c>
      <c r="AL86" s="203">
        <f t="shared" si="21"/>
        <v>0</v>
      </c>
      <c r="AM86" s="203">
        <f t="shared" si="21"/>
        <v>0</v>
      </c>
      <c r="AN86" s="203">
        <f t="shared" si="21"/>
        <v>0</v>
      </c>
    </row>
    <row r="87" spans="2:40" ht="19" x14ac:dyDescent="0.25">
      <c r="B87" s="192">
        <v>44879</v>
      </c>
      <c r="C87" s="194" t="s">
        <v>303</v>
      </c>
      <c r="D87" s="194" t="s">
        <v>166</v>
      </c>
      <c r="E87" s="204" t="s">
        <v>207</v>
      </c>
      <c r="F87" s="210" t="s">
        <v>91</v>
      </c>
      <c r="G87" s="197"/>
      <c r="H87" s="215">
        <v>2921957</v>
      </c>
      <c r="I87" s="199">
        <f t="shared" si="23"/>
        <v>118059197.37</v>
      </c>
      <c r="J87" s="205"/>
      <c r="K87" s="206"/>
      <c r="L87" s="206"/>
      <c r="M87" s="206"/>
      <c r="N87" s="206"/>
      <c r="O87" s="207"/>
      <c r="P87" s="203">
        <f t="shared" si="24"/>
        <v>0</v>
      </c>
      <c r="Q87" s="203">
        <f t="shared" si="24"/>
        <v>0</v>
      </c>
      <c r="R87" s="203">
        <f t="shared" si="24"/>
        <v>0</v>
      </c>
      <c r="S87" s="203">
        <f t="shared" si="24"/>
        <v>0</v>
      </c>
      <c r="T87" s="203">
        <f t="shared" si="24"/>
        <v>0</v>
      </c>
      <c r="U87" s="203">
        <f t="shared" si="24"/>
        <v>0</v>
      </c>
      <c r="V87" s="203">
        <f t="shared" si="24"/>
        <v>0</v>
      </c>
      <c r="W87" s="203">
        <f t="shared" si="24"/>
        <v>0</v>
      </c>
      <c r="X87" s="203">
        <f t="shared" si="24"/>
        <v>0</v>
      </c>
      <c r="Y87" s="203">
        <f t="shared" si="24"/>
        <v>0</v>
      </c>
      <c r="Z87" s="203">
        <f t="shared" si="24"/>
        <v>0</v>
      </c>
      <c r="AA87" s="203">
        <f t="shared" si="24"/>
        <v>0</v>
      </c>
      <c r="AB87" s="203">
        <f t="shared" si="24"/>
        <v>0</v>
      </c>
      <c r="AC87" s="203">
        <f t="shared" si="24"/>
        <v>0</v>
      </c>
      <c r="AD87" s="203">
        <f t="shared" si="24"/>
        <v>0</v>
      </c>
      <c r="AE87" s="203">
        <f t="shared" si="24"/>
        <v>2921957</v>
      </c>
      <c r="AF87" s="203">
        <f t="shared" si="24"/>
        <v>0</v>
      </c>
      <c r="AG87" s="203">
        <f t="shared" si="21"/>
        <v>0</v>
      </c>
      <c r="AH87" s="203">
        <f t="shared" si="21"/>
        <v>0</v>
      </c>
      <c r="AI87" s="203">
        <f t="shared" si="21"/>
        <v>0</v>
      </c>
      <c r="AJ87" s="203">
        <f t="shared" si="21"/>
        <v>0</v>
      </c>
      <c r="AK87" s="203">
        <f t="shared" si="21"/>
        <v>0</v>
      </c>
      <c r="AL87" s="203">
        <f t="shared" si="21"/>
        <v>0</v>
      </c>
      <c r="AM87" s="203">
        <f t="shared" si="21"/>
        <v>0</v>
      </c>
      <c r="AN87" s="203">
        <f t="shared" si="21"/>
        <v>0</v>
      </c>
    </row>
    <row r="88" spans="2:40" x14ac:dyDescent="0.25">
      <c r="B88" s="192">
        <v>44879</v>
      </c>
      <c r="C88" s="194" t="s">
        <v>268</v>
      </c>
      <c r="D88" s="194" t="s">
        <v>79</v>
      </c>
      <c r="E88" s="204" t="s">
        <v>208</v>
      </c>
      <c r="F88" s="210" t="s">
        <v>130</v>
      </c>
      <c r="G88" s="197"/>
      <c r="H88" s="215">
        <v>40000</v>
      </c>
      <c r="I88" s="199">
        <f t="shared" si="23"/>
        <v>118019197.37</v>
      </c>
      <c r="J88" s="205"/>
      <c r="K88" s="206"/>
      <c r="L88" s="206"/>
      <c r="M88" s="206"/>
      <c r="N88" s="206"/>
      <c r="O88" s="207"/>
      <c r="P88" s="203">
        <f t="shared" si="24"/>
        <v>0</v>
      </c>
      <c r="Q88" s="203">
        <f t="shared" si="24"/>
        <v>0</v>
      </c>
      <c r="R88" s="203">
        <f t="shared" si="24"/>
        <v>0</v>
      </c>
      <c r="S88" s="203">
        <f t="shared" si="24"/>
        <v>0</v>
      </c>
      <c r="T88" s="203">
        <f t="shared" si="24"/>
        <v>0</v>
      </c>
      <c r="U88" s="203">
        <f t="shared" si="24"/>
        <v>0</v>
      </c>
      <c r="V88" s="203">
        <f t="shared" si="24"/>
        <v>0</v>
      </c>
      <c r="W88" s="203">
        <f t="shared" si="24"/>
        <v>0</v>
      </c>
      <c r="X88" s="203">
        <f t="shared" si="24"/>
        <v>0</v>
      </c>
      <c r="Y88" s="203">
        <f t="shared" si="24"/>
        <v>0</v>
      </c>
      <c r="Z88" s="203">
        <f t="shared" si="24"/>
        <v>0</v>
      </c>
      <c r="AA88" s="203">
        <f t="shared" si="24"/>
        <v>0</v>
      </c>
      <c r="AB88" s="203">
        <f t="shared" si="24"/>
        <v>0</v>
      </c>
      <c r="AC88" s="203">
        <f t="shared" si="24"/>
        <v>0</v>
      </c>
      <c r="AD88" s="203">
        <f t="shared" si="24"/>
        <v>0</v>
      </c>
      <c r="AE88" s="203">
        <f t="shared" si="24"/>
        <v>0</v>
      </c>
      <c r="AF88" s="203">
        <f t="shared" si="24"/>
        <v>0</v>
      </c>
      <c r="AG88" s="203">
        <f t="shared" si="21"/>
        <v>0</v>
      </c>
      <c r="AH88" s="203">
        <f t="shared" si="21"/>
        <v>0</v>
      </c>
      <c r="AI88" s="203">
        <f t="shared" si="21"/>
        <v>40000</v>
      </c>
      <c r="AJ88" s="203">
        <f t="shared" si="21"/>
        <v>0</v>
      </c>
      <c r="AK88" s="203">
        <f t="shared" si="21"/>
        <v>0</v>
      </c>
      <c r="AL88" s="203">
        <f t="shared" si="21"/>
        <v>0</v>
      </c>
      <c r="AM88" s="203">
        <f t="shared" si="21"/>
        <v>0</v>
      </c>
      <c r="AN88" s="203">
        <f t="shared" si="21"/>
        <v>0</v>
      </c>
    </row>
    <row r="89" spans="2:40" x14ac:dyDescent="0.25">
      <c r="B89" s="192">
        <v>44879</v>
      </c>
      <c r="C89" s="194" t="s">
        <v>180</v>
      </c>
      <c r="D89" s="194" t="s">
        <v>94</v>
      </c>
      <c r="E89" s="204" t="s">
        <v>209</v>
      </c>
      <c r="F89" s="210" t="s">
        <v>73</v>
      </c>
      <c r="G89" s="197"/>
      <c r="H89" s="215">
        <v>442000</v>
      </c>
      <c r="I89" s="199">
        <f t="shared" si="23"/>
        <v>117577197.37</v>
      </c>
      <c r="J89" s="205"/>
      <c r="K89" s="206"/>
      <c r="L89" s="206"/>
      <c r="M89" s="206"/>
      <c r="N89" s="206"/>
      <c r="O89" s="207"/>
      <c r="P89" s="203">
        <f t="shared" si="24"/>
        <v>442000</v>
      </c>
      <c r="Q89" s="203">
        <f t="shared" si="24"/>
        <v>0</v>
      </c>
      <c r="R89" s="203">
        <f t="shared" si="24"/>
        <v>0</v>
      </c>
      <c r="S89" s="203">
        <f t="shared" si="24"/>
        <v>0</v>
      </c>
      <c r="T89" s="203">
        <f t="shared" si="24"/>
        <v>0</v>
      </c>
      <c r="U89" s="203">
        <f t="shared" si="24"/>
        <v>0</v>
      </c>
      <c r="V89" s="203">
        <f t="shared" si="24"/>
        <v>0</v>
      </c>
      <c r="W89" s="203">
        <f t="shared" si="24"/>
        <v>0</v>
      </c>
      <c r="X89" s="203">
        <f t="shared" si="24"/>
        <v>0</v>
      </c>
      <c r="Y89" s="203">
        <f t="shared" si="24"/>
        <v>0</v>
      </c>
      <c r="Z89" s="203">
        <f t="shared" si="24"/>
        <v>0</v>
      </c>
      <c r="AA89" s="203">
        <f t="shared" si="24"/>
        <v>0</v>
      </c>
      <c r="AB89" s="203">
        <f t="shared" si="24"/>
        <v>0</v>
      </c>
      <c r="AC89" s="203">
        <f t="shared" si="24"/>
        <v>0</v>
      </c>
      <c r="AD89" s="203">
        <f t="shared" si="24"/>
        <v>0</v>
      </c>
      <c r="AE89" s="203">
        <f t="shared" si="24"/>
        <v>0</v>
      </c>
      <c r="AF89" s="203">
        <f t="shared" si="24"/>
        <v>0</v>
      </c>
      <c r="AG89" s="203">
        <f t="shared" si="21"/>
        <v>0</v>
      </c>
      <c r="AH89" s="203">
        <f t="shared" si="21"/>
        <v>0</v>
      </c>
      <c r="AI89" s="203">
        <f t="shared" si="21"/>
        <v>0</v>
      </c>
      <c r="AJ89" s="203">
        <f t="shared" si="21"/>
        <v>0</v>
      </c>
      <c r="AK89" s="203">
        <f t="shared" si="21"/>
        <v>0</v>
      </c>
      <c r="AL89" s="203">
        <f t="shared" si="21"/>
        <v>0</v>
      </c>
      <c r="AM89" s="203">
        <f t="shared" si="21"/>
        <v>0</v>
      </c>
      <c r="AN89" s="203">
        <f t="shared" si="21"/>
        <v>0</v>
      </c>
    </row>
    <row r="90" spans="2:40" x14ac:dyDescent="0.25">
      <c r="B90" s="192">
        <v>44879</v>
      </c>
      <c r="C90" s="194" t="s">
        <v>356</v>
      </c>
      <c r="D90" s="194" t="s">
        <v>111</v>
      </c>
      <c r="E90" s="204" t="s">
        <v>210</v>
      </c>
      <c r="F90" s="210" t="s">
        <v>54</v>
      </c>
      <c r="G90" s="197"/>
      <c r="H90" s="215">
        <v>4315000</v>
      </c>
      <c r="I90" s="199">
        <f t="shared" si="23"/>
        <v>113262197.37</v>
      </c>
      <c r="J90" s="205"/>
      <c r="K90" s="206"/>
      <c r="L90" s="206"/>
      <c r="M90" s="206"/>
      <c r="N90" s="206"/>
      <c r="O90" s="207"/>
      <c r="P90" s="203">
        <f t="shared" si="24"/>
        <v>0</v>
      </c>
      <c r="Q90" s="203">
        <f t="shared" si="24"/>
        <v>0</v>
      </c>
      <c r="R90" s="203">
        <f t="shared" si="24"/>
        <v>0</v>
      </c>
      <c r="S90" s="203">
        <f t="shared" si="24"/>
        <v>4315000</v>
      </c>
      <c r="T90" s="203">
        <f t="shared" si="24"/>
        <v>0</v>
      </c>
      <c r="U90" s="203">
        <f t="shared" si="24"/>
        <v>0</v>
      </c>
      <c r="V90" s="203">
        <f t="shared" si="24"/>
        <v>0</v>
      </c>
      <c r="W90" s="203">
        <f t="shared" si="24"/>
        <v>0</v>
      </c>
      <c r="X90" s="203">
        <f t="shared" si="24"/>
        <v>0</v>
      </c>
      <c r="Y90" s="203">
        <f t="shared" si="24"/>
        <v>0</v>
      </c>
      <c r="Z90" s="203">
        <f t="shared" si="24"/>
        <v>0</v>
      </c>
      <c r="AA90" s="203">
        <f t="shared" si="24"/>
        <v>0</v>
      </c>
      <c r="AB90" s="203">
        <f t="shared" si="24"/>
        <v>0</v>
      </c>
      <c r="AC90" s="203">
        <f t="shared" si="24"/>
        <v>0</v>
      </c>
      <c r="AD90" s="203">
        <f t="shared" si="24"/>
        <v>0</v>
      </c>
      <c r="AE90" s="203">
        <f t="shared" si="24"/>
        <v>0</v>
      </c>
      <c r="AF90" s="203">
        <f t="shared" si="24"/>
        <v>0</v>
      </c>
      <c r="AG90" s="203">
        <f t="shared" si="21"/>
        <v>0</v>
      </c>
      <c r="AH90" s="203">
        <f t="shared" si="21"/>
        <v>0</v>
      </c>
      <c r="AI90" s="203">
        <f t="shared" si="21"/>
        <v>0</v>
      </c>
      <c r="AJ90" s="203">
        <f t="shared" si="21"/>
        <v>0</v>
      </c>
      <c r="AK90" s="203">
        <f t="shared" si="21"/>
        <v>0</v>
      </c>
      <c r="AL90" s="203">
        <f t="shared" si="21"/>
        <v>0</v>
      </c>
      <c r="AM90" s="203">
        <f t="shared" si="21"/>
        <v>0</v>
      </c>
      <c r="AN90" s="203">
        <f t="shared" si="21"/>
        <v>0</v>
      </c>
    </row>
    <row r="91" spans="2:40" x14ac:dyDescent="0.25">
      <c r="B91" s="192">
        <v>44879</v>
      </c>
      <c r="C91" s="194" t="s">
        <v>280</v>
      </c>
      <c r="D91" s="194" t="s">
        <v>355</v>
      </c>
      <c r="E91" s="204" t="s">
        <v>211</v>
      </c>
      <c r="F91" s="210" t="s">
        <v>54</v>
      </c>
      <c r="G91" s="197"/>
      <c r="H91" s="215">
        <v>5154671</v>
      </c>
      <c r="I91" s="199">
        <f t="shared" si="23"/>
        <v>108107526.37</v>
      </c>
      <c r="J91" s="205"/>
      <c r="K91" s="206"/>
      <c r="L91" s="206"/>
      <c r="M91" s="206"/>
      <c r="N91" s="206"/>
      <c r="O91" s="207"/>
      <c r="P91" s="203">
        <f t="shared" si="24"/>
        <v>0</v>
      </c>
      <c r="Q91" s="203">
        <f t="shared" si="24"/>
        <v>0</v>
      </c>
      <c r="R91" s="203">
        <f t="shared" si="24"/>
        <v>0</v>
      </c>
      <c r="S91" s="203">
        <f t="shared" si="24"/>
        <v>0</v>
      </c>
      <c r="T91" s="203">
        <f t="shared" si="24"/>
        <v>0</v>
      </c>
      <c r="U91" s="203">
        <f t="shared" si="24"/>
        <v>5154671</v>
      </c>
      <c r="V91" s="203">
        <f t="shared" si="24"/>
        <v>0</v>
      </c>
      <c r="W91" s="203">
        <f t="shared" si="24"/>
        <v>0</v>
      </c>
      <c r="X91" s="203">
        <f t="shared" si="24"/>
        <v>0</v>
      </c>
      <c r="Y91" s="203">
        <f t="shared" si="24"/>
        <v>0</v>
      </c>
      <c r="Z91" s="203">
        <f t="shared" si="24"/>
        <v>0</v>
      </c>
      <c r="AA91" s="203">
        <f t="shared" si="24"/>
        <v>0</v>
      </c>
      <c r="AB91" s="203">
        <f t="shared" si="24"/>
        <v>0</v>
      </c>
      <c r="AC91" s="203">
        <f t="shared" si="24"/>
        <v>0</v>
      </c>
      <c r="AD91" s="203">
        <f t="shared" si="24"/>
        <v>0</v>
      </c>
      <c r="AE91" s="203">
        <f t="shared" si="24"/>
        <v>0</v>
      </c>
      <c r="AF91" s="203">
        <f t="shared" si="24"/>
        <v>0</v>
      </c>
      <c r="AG91" s="203">
        <f t="shared" si="21"/>
        <v>0</v>
      </c>
      <c r="AH91" s="203">
        <f t="shared" si="21"/>
        <v>0</v>
      </c>
      <c r="AI91" s="203">
        <f t="shared" si="21"/>
        <v>0</v>
      </c>
      <c r="AJ91" s="203">
        <f t="shared" si="21"/>
        <v>0</v>
      </c>
      <c r="AK91" s="203">
        <f t="shared" si="21"/>
        <v>0</v>
      </c>
      <c r="AL91" s="203">
        <f t="shared" si="21"/>
        <v>0</v>
      </c>
      <c r="AM91" s="203">
        <f t="shared" si="21"/>
        <v>0</v>
      </c>
      <c r="AN91" s="203">
        <f t="shared" si="21"/>
        <v>0</v>
      </c>
    </row>
    <row r="92" spans="2:40" x14ac:dyDescent="0.25">
      <c r="B92" s="192">
        <v>44881</v>
      </c>
      <c r="C92" s="194" t="s">
        <v>276</v>
      </c>
      <c r="D92" s="194" t="s">
        <v>94</v>
      </c>
      <c r="E92" s="204" t="s">
        <v>212</v>
      </c>
      <c r="F92" s="210" t="s">
        <v>54</v>
      </c>
      <c r="G92" s="197"/>
      <c r="H92" s="215">
        <v>197950</v>
      </c>
      <c r="I92" s="199">
        <f t="shared" si="23"/>
        <v>107909576.37</v>
      </c>
      <c r="J92" s="205"/>
      <c r="K92" s="206"/>
      <c r="L92" s="206"/>
      <c r="M92" s="206"/>
      <c r="N92" s="206"/>
      <c r="O92" s="207"/>
      <c r="P92" s="203">
        <f t="shared" si="24"/>
        <v>197950</v>
      </c>
      <c r="Q92" s="203">
        <f t="shared" si="24"/>
        <v>0</v>
      </c>
      <c r="R92" s="203">
        <f t="shared" si="24"/>
        <v>0</v>
      </c>
      <c r="S92" s="203">
        <f t="shared" si="24"/>
        <v>0</v>
      </c>
      <c r="T92" s="203">
        <f t="shared" si="24"/>
        <v>0</v>
      </c>
      <c r="U92" s="203">
        <f t="shared" si="24"/>
        <v>0</v>
      </c>
      <c r="V92" s="203">
        <f t="shared" si="24"/>
        <v>0</v>
      </c>
      <c r="W92" s="203">
        <f t="shared" si="24"/>
        <v>0</v>
      </c>
      <c r="X92" s="203">
        <f t="shared" si="24"/>
        <v>0</v>
      </c>
      <c r="Y92" s="203">
        <f t="shared" si="24"/>
        <v>0</v>
      </c>
      <c r="Z92" s="203">
        <f t="shared" si="24"/>
        <v>0</v>
      </c>
      <c r="AA92" s="203">
        <f t="shared" si="24"/>
        <v>0</v>
      </c>
      <c r="AB92" s="203">
        <f t="shared" si="24"/>
        <v>0</v>
      </c>
      <c r="AC92" s="203">
        <f t="shared" si="24"/>
        <v>0</v>
      </c>
      <c r="AD92" s="203">
        <f t="shared" si="24"/>
        <v>0</v>
      </c>
      <c r="AE92" s="203">
        <f t="shared" si="24"/>
        <v>0</v>
      </c>
      <c r="AF92" s="203">
        <f t="shared" si="24"/>
        <v>0</v>
      </c>
      <c r="AG92" s="203">
        <f t="shared" ref="AG92:AN92" si="25">IF($D92=AG$13,$H92, 0)</f>
        <v>0</v>
      </c>
      <c r="AH92" s="203">
        <f t="shared" si="25"/>
        <v>0</v>
      </c>
      <c r="AI92" s="203">
        <f t="shared" si="25"/>
        <v>0</v>
      </c>
      <c r="AJ92" s="203">
        <f t="shared" si="25"/>
        <v>0</v>
      </c>
      <c r="AK92" s="203">
        <f t="shared" si="25"/>
        <v>0</v>
      </c>
      <c r="AL92" s="203">
        <f t="shared" si="25"/>
        <v>0</v>
      </c>
      <c r="AM92" s="203">
        <f t="shared" si="25"/>
        <v>0</v>
      </c>
      <c r="AN92" s="203">
        <f t="shared" si="25"/>
        <v>0</v>
      </c>
    </row>
    <row r="93" spans="2:40" x14ac:dyDescent="0.25">
      <c r="B93" s="192">
        <v>44881</v>
      </c>
      <c r="C93" s="194" t="s">
        <v>278</v>
      </c>
      <c r="D93" s="194" t="s">
        <v>277</v>
      </c>
      <c r="E93" s="204" t="s">
        <v>213</v>
      </c>
      <c r="F93" s="210" t="s">
        <v>54</v>
      </c>
      <c r="G93" s="197"/>
      <c r="H93" s="215">
        <v>50000</v>
      </c>
      <c r="I93" s="199">
        <f t="shared" si="23"/>
        <v>107859576.37</v>
      </c>
      <c r="J93" s="205"/>
      <c r="K93" s="206"/>
      <c r="L93" s="206"/>
      <c r="M93" s="206"/>
      <c r="N93" s="206"/>
      <c r="O93" s="207"/>
      <c r="P93" s="203">
        <f t="shared" ref="P93:AF102" si="26">IF($D93=P$13,$H93, 0)</f>
        <v>0</v>
      </c>
      <c r="Q93" s="203">
        <f t="shared" si="26"/>
        <v>0</v>
      </c>
      <c r="R93" s="203">
        <f t="shared" si="26"/>
        <v>0</v>
      </c>
      <c r="S93" s="203">
        <f t="shared" si="26"/>
        <v>0</v>
      </c>
      <c r="T93" s="203">
        <f t="shared" si="26"/>
        <v>0</v>
      </c>
      <c r="U93" s="203">
        <f t="shared" si="26"/>
        <v>0</v>
      </c>
      <c r="V93" s="203">
        <f t="shared" si="26"/>
        <v>0</v>
      </c>
      <c r="W93" s="203">
        <f t="shared" si="26"/>
        <v>0</v>
      </c>
      <c r="X93" s="203">
        <f t="shared" si="26"/>
        <v>50000</v>
      </c>
      <c r="Y93" s="203">
        <f t="shared" si="26"/>
        <v>0</v>
      </c>
      <c r="Z93" s="203">
        <f t="shared" si="26"/>
        <v>0</v>
      </c>
      <c r="AA93" s="203">
        <f t="shared" si="26"/>
        <v>0</v>
      </c>
      <c r="AB93" s="203">
        <f t="shared" si="26"/>
        <v>0</v>
      </c>
      <c r="AC93" s="203">
        <f t="shared" si="26"/>
        <v>0</v>
      </c>
      <c r="AD93" s="203">
        <f t="shared" si="26"/>
        <v>0</v>
      </c>
      <c r="AE93" s="203">
        <f t="shared" si="26"/>
        <v>0</v>
      </c>
      <c r="AF93" s="203">
        <f t="shared" si="26"/>
        <v>0</v>
      </c>
      <c r="AG93" s="203">
        <f t="shared" ref="AG93:AN102" si="27">IF($D93=AG$13,$H93, 0)</f>
        <v>0</v>
      </c>
      <c r="AH93" s="203">
        <f t="shared" si="27"/>
        <v>0</v>
      </c>
      <c r="AI93" s="203">
        <f t="shared" si="27"/>
        <v>0</v>
      </c>
      <c r="AJ93" s="203">
        <f t="shared" si="27"/>
        <v>0</v>
      </c>
      <c r="AK93" s="203">
        <f t="shared" si="27"/>
        <v>0</v>
      </c>
      <c r="AL93" s="203">
        <f t="shared" si="27"/>
        <v>0</v>
      </c>
      <c r="AM93" s="203">
        <f t="shared" si="27"/>
        <v>0</v>
      </c>
      <c r="AN93" s="203">
        <f t="shared" si="27"/>
        <v>0</v>
      </c>
    </row>
    <row r="94" spans="2:40" x14ac:dyDescent="0.25">
      <c r="B94" s="192">
        <v>44882</v>
      </c>
      <c r="C94" s="194" t="s">
        <v>281</v>
      </c>
      <c r="D94" s="194" t="s">
        <v>24</v>
      </c>
      <c r="E94" s="204" t="s">
        <v>214</v>
      </c>
      <c r="F94" s="210" t="s">
        <v>54</v>
      </c>
      <c r="G94" s="197"/>
      <c r="H94" s="215">
        <v>537500</v>
      </c>
      <c r="I94" s="199">
        <f t="shared" si="23"/>
        <v>107322076.37</v>
      </c>
      <c r="J94" s="205"/>
      <c r="K94" s="206"/>
      <c r="L94" s="206"/>
      <c r="M94" s="206"/>
      <c r="N94" s="206"/>
      <c r="O94" s="207"/>
      <c r="P94" s="203">
        <f t="shared" si="26"/>
        <v>0</v>
      </c>
      <c r="Q94" s="203">
        <f t="shared" si="26"/>
        <v>0</v>
      </c>
      <c r="R94" s="203">
        <f t="shared" si="26"/>
        <v>0</v>
      </c>
      <c r="S94" s="203">
        <f t="shared" si="26"/>
        <v>0</v>
      </c>
      <c r="T94" s="203">
        <f t="shared" si="26"/>
        <v>0</v>
      </c>
      <c r="U94" s="203">
        <f t="shared" si="26"/>
        <v>0</v>
      </c>
      <c r="V94" s="203">
        <f t="shared" si="26"/>
        <v>0</v>
      </c>
      <c r="W94" s="203">
        <f t="shared" si="26"/>
        <v>0</v>
      </c>
      <c r="X94" s="203">
        <f t="shared" si="26"/>
        <v>0</v>
      </c>
      <c r="Y94" s="203">
        <f t="shared" si="26"/>
        <v>0</v>
      </c>
      <c r="Z94" s="203">
        <f t="shared" si="26"/>
        <v>0</v>
      </c>
      <c r="AA94" s="203">
        <f t="shared" si="26"/>
        <v>0</v>
      </c>
      <c r="AB94" s="203">
        <f t="shared" si="26"/>
        <v>0</v>
      </c>
      <c r="AC94" s="203">
        <f t="shared" si="26"/>
        <v>537500</v>
      </c>
      <c r="AD94" s="203">
        <f t="shared" si="26"/>
        <v>0</v>
      </c>
      <c r="AE94" s="203">
        <f t="shared" si="26"/>
        <v>0</v>
      </c>
      <c r="AF94" s="203">
        <f t="shared" si="26"/>
        <v>0</v>
      </c>
      <c r="AG94" s="203">
        <f t="shared" si="27"/>
        <v>0</v>
      </c>
      <c r="AH94" s="203">
        <f t="shared" si="27"/>
        <v>0</v>
      </c>
      <c r="AI94" s="203">
        <f t="shared" si="27"/>
        <v>0</v>
      </c>
      <c r="AJ94" s="203">
        <f t="shared" si="27"/>
        <v>0</v>
      </c>
      <c r="AK94" s="203">
        <f t="shared" si="27"/>
        <v>0</v>
      </c>
      <c r="AL94" s="203">
        <f t="shared" si="27"/>
        <v>0</v>
      </c>
      <c r="AM94" s="203">
        <f t="shared" si="27"/>
        <v>0</v>
      </c>
      <c r="AN94" s="203">
        <f t="shared" si="27"/>
        <v>0</v>
      </c>
    </row>
    <row r="95" spans="2:40" x14ac:dyDescent="0.25">
      <c r="B95" s="192">
        <v>44882</v>
      </c>
      <c r="C95" s="194" t="s">
        <v>282</v>
      </c>
      <c r="D95" s="194" t="s">
        <v>111</v>
      </c>
      <c r="E95" s="204" t="s">
        <v>215</v>
      </c>
      <c r="F95" s="210" t="s">
        <v>54</v>
      </c>
      <c r="G95" s="197"/>
      <c r="H95" s="215">
        <v>396000</v>
      </c>
      <c r="I95" s="199">
        <f t="shared" si="23"/>
        <v>106926076.37</v>
      </c>
      <c r="J95" s="205"/>
      <c r="K95" s="206"/>
      <c r="L95" s="206"/>
      <c r="M95" s="206"/>
      <c r="N95" s="206"/>
      <c r="O95" s="207"/>
      <c r="P95" s="203">
        <f t="shared" si="26"/>
        <v>0</v>
      </c>
      <c r="Q95" s="203">
        <f t="shared" si="26"/>
        <v>0</v>
      </c>
      <c r="R95" s="203">
        <f t="shared" si="26"/>
        <v>0</v>
      </c>
      <c r="S95" s="203">
        <f t="shared" si="26"/>
        <v>396000</v>
      </c>
      <c r="T95" s="203">
        <f t="shared" si="26"/>
        <v>0</v>
      </c>
      <c r="U95" s="203">
        <f t="shared" si="26"/>
        <v>0</v>
      </c>
      <c r="V95" s="203">
        <f t="shared" si="26"/>
        <v>0</v>
      </c>
      <c r="W95" s="203">
        <f t="shared" si="26"/>
        <v>0</v>
      </c>
      <c r="X95" s="203">
        <f t="shared" si="26"/>
        <v>0</v>
      </c>
      <c r="Y95" s="203">
        <f t="shared" si="26"/>
        <v>0</v>
      </c>
      <c r="Z95" s="203">
        <f t="shared" si="26"/>
        <v>0</v>
      </c>
      <c r="AA95" s="203">
        <f t="shared" si="26"/>
        <v>0</v>
      </c>
      <c r="AB95" s="203">
        <f t="shared" si="26"/>
        <v>0</v>
      </c>
      <c r="AC95" s="203">
        <f t="shared" si="26"/>
        <v>0</v>
      </c>
      <c r="AD95" s="203">
        <f t="shared" si="26"/>
        <v>0</v>
      </c>
      <c r="AE95" s="203">
        <f t="shared" si="26"/>
        <v>0</v>
      </c>
      <c r="AF95" s="203">
        <f t="shared" si="26"/>
        <v>0</v>
      </c>
      <c r="AG95" s="203">
        <f t="shared" si="27"/>
        <v>0</v>
      </c>
      <c r="AH95" s="203">
        <f t="shared" si="27"/>
        <v>0</v>
      </c>
      <c r="AI95" s="203">
        <f t="shared" si="27"/>
        <v>0</v>
      </c>
      <c r="AJ95" s="203">
        <f t="shared" si="27"/>
        <v>0</v>
      </c>
      <c r="AK95" s="203">
        <f t="shared" si="27"/>
        <v>0</v>
      </c>
      <c r="AL95" s="203">
        <f t="shared" si="27"/>
        <v>0</v>
      </c>
      <c r="AM95" s="203">
        <f t="shared" si="27"/>
        <v>0</v>
      </c>
      <c r="AN95" s="203">
        <f t="shared" si="27"/>
        <v>0</v>
      </c>
    </row>
    <row r="96" spans="2:40" x14ac:dyDescent="0.25">
      <c r="B96" s="192">
        <v>44882</v>
      </c>
      <c r="C96" s="194" t="s">
        <v>418</v>
      </c>
      <c r="D96" s="194" t="s">
        <v>94</v>
      </c>
      <c r="E96" s="204" t="s">
        <v>216</v>
      </c>
      <c r="F96" s="210" t="s">
        <v>54</v>
      </c>
      <c r="G96" s="197"/>
      <c r="H96" s="215">
        <v>153700</v>
      </c>
      <c r="I96" s="199">
        <f t="shared" si="23"/>
        <v>106772376.37</v>
      </c>
      <c r="J96" s="205"/>
      <c r="K96" s="206"/>
      <c r="L96" s="206"/>
      <c r="M96" s="206"/>
      <c r="N96" s="206"/>
      <c r="O96" s="207"/>
      <c r="P96" s="203">
        <f t="shared" si="26"/>
        <v>153700</v>
      </c>
      <c r="Q96" s="203">
        <f t="shared" si="26"/>
        <v>0</v>
      </c>
      <c r="R96" s="203">
        <f t="shared" si="26"/>
        <v>0</v>
      </c>
      <c r="S96" s="203">
        <f t="shared" si="26"/>
        <v>0</v>
      </c>
      <c r="T96" s="203">
        <f t="shared" si="26"/>
        <v>0</v>
      </c>
      <c r="U96" s="203">
        <f t="shared" si="26"/>
        <v>0</v>
      </c>
      <c r="V96" s="203">
        <f t="shared" si="26"/>
        <v>0</v>
      </c>
      <c r="W96" s="203">
        <f t="shared" si="26"/>
        <v>0</v>
      </c>
      <c r="X96" s="203">
        <f t="shared" si="26"/>
        <v>0</v>
      </c>
      <c r="Y96" s="203">
        <f t="shared" si="26"/>
        <v>0</v>
      </c>
      <c r="Z96" s="203">
        <f t="shared" si="26"/>
        <v>0</v>
      </c>
      <c r="AA96" s="203">
        <f t="shared" si="26"/>
        <v>0</v>
      </c>
      <c r="AB96" s="203">
        <f t="shared" si="26"/>
        <v>0</v>
      </c>
      <c r="AC96" s="203">
        <f t="shared" si="26"/>
        <v>0</v>
      </c>
      <c r="AD96" s="203">
        <f t="shared" si="26"/>
        <v>0</v>
      </c>
      <c r="AE96" s="203">
        <f t="shared" si="26"/>
        <v>0</v>
      </c>
      <c r="AF96" s="203">
        <f t="shared" si="26"/>
        <v>0</v>
      </c>
      <c r="AG96" s="203">
        <f t="shared" si="27"/>
        <v>0</v>
      </c>
      <c r="AH96" s="203">
        <f t="shared" si="27"/>
        <v>0</v>
      </c>
      <c r="AI96" s="203">
        <f t="shared" si="27"/>
        <v>0</v>
      </c>
      <c r="AJ96" s="203">
        <f t="shared" si="27"/>
        <v>0</v>
      </c>
      <c r="AK96" s="203">
        <f t="shared" si="27"/>
        <v>0</v>
      </c>
      <c r="AL96" s="203">
        <f t="shared" si="27"/>
        <v>0</v>
      </c>
      <c r="AM96" s="203">
        <f t="shared" si="27"/>
        <v>0</v>
      </c>
      <c r="AN96" s="203">
        <f t="shared" si="27"/>
        <v>0</v>
      </c>
    </row>
    <row r="97" spans="1:40" x14ac:dyDescent="0.25">
      <c r="B97" s="192">
        <v>44882</v>
      </c>
      <c r="C97" s="194" t="s">
        <v>283</v>
      </c>
      <c r="D97" s="194" t="str">
        <f>P13</f>
        <v>Office Equipment</v>
      </c>
      <c r="E97" s="204" t="s">
        <v>217</v>
      </c>
      <c r="F97" s="210" t="s">
        <v>54</v>
      </c>
      <c r="G97" s="197"/>
      <c r="H97" s="215">
        <v>21389100</v>
      </c>
      <c r="I97" s="199">
        <f t="shared" si="23"/>
        <v>85383276.370000005</v>
      </c>
      <c r="J97" s="205"/>
      <c r="K97" s="206"/>
      <c r="L97" s="206"/>
      <c r="M97" s="206"/>
      <c r="N97" s="206"/>
      <c r="O97" s="207"/>
      <c r="P97" s="203">
        <f t="shared" si="26"/>
        <v>21389100</v>
      </c>
      <c r="Q97" s="203">
        <f t="shared" si="26"/>
        <v>0</v>
      </c>
      <c r="R97" s="203">
        <f t="shared" si="26"/>
        <v>0</v>
      </c>
      <c r="S97" s="203">
        <f t="shared" si="26"/>
        <v>0</v>
      </c>
      <c r="T97" s="203">
        <f t="shared" si="26"/>
        <v>0</v>
      </c>
      <c r="U97" s="203">
        <f t="shared" si="26"/>
        <v>0</v>
      </c>
      <c r="V97" s="203">
        <f t="shared" si="26"/>
        <v>0</v>
      </c>
      <c r="W97" s="203">
        <f t="shared" si="26"/>
        <v>0</v>
      </c>
      <c r="X97" s="203">
        <f t="shared" si="26"/>
        <v>0</v>
      </c>
      <c r="Y97" s="203">
        <f t="shared" si="26"/>
        <v>0</v>
      </c>
      <c r="Z97" s="203">
        <f t="shared" si="26"/>
        <v>0</v>
      </c>
      <c r="AA97" s="203">
        <f t="shared" si="26"/>
        <v>0</v>
      </c>
      <c r="AB97" s="203">
        <f t="shared" si="26"/>
        <v>0</v>
      </c>
      <c r="AC97" s="203">
        <f t="shared" si="26"/>
        <v>0</v>
      </c>
      <c r="AD97" s="203">
        <f t="shared" si="26"/>
        <v>0</v>
      </c>
      <c r="AE97" s="203">
        <f t="shared" si="26"/>
        <v>0</v>
      </c>
      <c r="AF97" s="203">
        <f t="shared" si="26"/>
        <v>0</v>
      </c>
      <c r="AG97" s="203">
        <f t="shared" si="27"/>
        <v>0</v>
      </c>
      <c r="AH97" s="203">
        <f t="shared" si="27"/>
        <v>0</v>
      </c>
      <c r="AI97" s="203">
        <f t="shared" si="27"/>
        <v>0</v>
      </c>
      <c r="AJ97" s="203">
        <f t="shared" si="27"/>
        <v>0</v>
      </c>
      <c r="AK97" s="203">
        <f t="shared" si="27"/>
        <v>0</v>
      </c>
      <c r="AL97" s="203">
        <f t="shared" si="27"/>
        <v>0</v>
      </c>
      <c r="AM97" s="203">
        <f t="shared" si="27"/>
        <v>0</v>
      </c>
      <c r="AN97" s="203">
        <f t="shared" si="27"/>
        <v>0</v>
      </c>
    </row>
    <row r="98" spans="1:40" x14ac:dyDescent="0.25">
      <c r="B98" s="192">
        <v>44882</v>
      </c>
      <c r="C98" s="194" t="s">
        <v>277</v>
      </c>
      <c r="D98" s="194" t="s">
        <v>277</v>
      </c>
      <c r="E98" s="204" t="s">
        <v>218</v>
      </c>
      <c r="F98" s="210" t="s">
        <v>54</v>
      </c>
      <c r="G98" s="197"/>
      <c r="H98" s="215">
        <v>150000</v>
      </c>
      <c r="I98" s="199">
        <f t="shared" si="23"/>
        <v>85233276.370000005</v>
      </c>
      <c r="J98" s="205"/>
      <c r="K98" s="206"/>
      <c r="L98" s="206"/>
      <c r="M98" s="206"/>
      <c r="N98" s="206"/>
      <c r="O98" s="207"/>
      <c r="P98" s="203">
        <f t="shared" si="26"/>
        <v>0</v>
      </c>
      <c r="Q98" s="203">
        <f t="shared" si="26"/>
        <v>0</v>
      </c>
      <c r="R98" s="203">
        <f t="shared" si="26"/>
        <v>0</v>
      </c>
      <c r="S98" s="203">
        <f t="shared" si="26"/>
        <v>0</v>
      </c>
      <c r="T98" s="203">
        <f t="shared" si="26"/>
        <v>0</v>
      </c>
      <c r="U98" s="203">
        <f t="shared" si="26"/>
        <v>0</v>
      </c>
      <c r="V98" s="203">
        <f t="shared" si="26"/>
        <v>0</v>
      </c>
      <c r="W98" s="203">
        <f t="shared" si="26"/>
        <v>0</v>
      </c>
      <c r="X98" s="203">
        <f t="shared" si="26"/>
        <v>150000</v>
      </c>
      <c r="Y98" s="203">
        <f t="shared" si="26"/>
        <v>0</v>
      </c>
      <c r="Z98" s="203">
        <f t="shared" si="26"/>
        <v>0</v>
      </c>
      <c r="AA98" s="203">
        <f t="shared" si="26"/>
        <v>0</v>
      </c>
      <c r="AB98" s="203">
        <f t="shared" si="26"/>
        <v>0</v>
      </c>
      <c r="AC98" s="203">
        <f t="shared" si="26"/>
        <v>0</v>
      </c>
      <c r="AD98" s="203">
        <f t="shared" si="26"/>
        <v>0</v>
      </c>
      <c r="AE98" s="203">
        <f t="shared" si="26"/>
        <v>0</v>
      </c>
      <c r="AF98" s="203">
        <f t="shared" si="26"/>
        <v>0</v>
      </c>
      <c r="AG98" s="203">
        <f t="shared" si="27"/>
        <v>0</v>
      </c>
      <c r="AH98" s="203">
        <f t="shared" si="27"/>
        <v>0</v>
      </c>
      <c r="AI98" s="203">
        <f t="shared" si="27"/>
        <v>0</v>
      </c>
      <c r="AJ98" s="203">
        <f t="shared" si="27"/>
        <v>0</v>
      </c>
      <c r="AK98" s="203">
        <f t="shared" si="27"/>
        <v>0</v>
      </c>
      <c r="AL98" s="203">
        <f t="shared" si="27"/>
        <v>0</v>
      </c>
      <c r="AM98" s="203">
        <f t="shared" si="27"/>
        <v>0</v>
      </c>
      <c r="AN98" s="203">
        <f t="shared" si="27"/>
        <v>0</v>
      </c>
    </row>
    <row r="99" spans="1:40" x14ac:dyDescent="0.25">
      <c r="B99" s="192">
        <v>44883</v>
      </c>
      <c r="C99" s="194" t="s">
        <v>415</v>
      </c>
      <c r="D99" s="194" t="s">
        <v>166</v>
      </c>
      <c r="E99" s="204" t="s">
        <v>219</v>
      </c>
      <c r="F99" s="210" t="s">
        <v>54</v>
      </c>
      <c r="G99" s="197"/>
      <c r="H99" s="215">
        <v>49700</v>
      </c>
      <c r="I99" s="199">
        <f t="shared" si="23"/>
        <v>85183576.370000005</v>
      </c>
      <c r="J99" s="205"/>
      <c r="K99" s="206"/>
      <c r="L99" s="206"/>
      <c r="M99" s="206"/>
      <c r="N99" s="206"/>
      <c r="O99" s="207"/>
      <c r="P99" s="203">
        <f t="shared" si="26"/>
        <v>0</v>
      </c>
      <c r="Q99" s="203">
        <f t="shared" si="26"/>
        <v>0</v>
      </c>
      <c r="R99" s="203">
        <f t="shared" si="26"/>
        <v>0</v>
      </c>
      <c r="S99" s="203">
        <f t="shared" si="26"/>
        <v>0</v>
      </c>
      <c r="T99" s="203">
        <f t="shared" si="26"/>
        <v>0</v>
      </c>
      <c r="U99" s="203">
        <f t="shared" si="26"/>
        <v>0</v>
      </c>
      <c r="V99" s="203">
        <f t="shared" si="26"/>
        <v>0</v>
      </c>
      <c r="W99" s="203">
        <f t="shared" si="26"/>
        <v>0</v>
      </c>
      <c r="X99" s="203">
        <f t="shared" si="26"/>
        <v>0</v>
      </c>
      <c r="Y99" s="203">
        <f t="shared" si="26"/>
        <v>0</v>
      </c>
      <c r="Z99" s="203">
        <f t="shared" si="26"/>
        <v>0</v>
      </c>
      <c r="AA99" s="203">
        <f t="shared" si="26"/>
        <v>0</v>
      </c>
      <c r="AB99" s="203">
        <f t="shared" si="26"/>
        <v>0</v>
      </c>
      <c r="AC99" s="203">
        <f t="shared" si="26"/>
        <v>0</v>
      </c>
      <c r="AD99" s="203">
        <f t="shared" si="26"/>
        <v>0</v>
      </c>
      <c r="AE99" s="203">
        <f t="shared" si="26"/>
        <v>49700</v>
      </c>
      <c r="AF99" s="203">
        <f t="shared" si="26"/>
        <v>0</v>
      </c>
      <c r="AG99" s="203">
        <f t="shared" si="27"/>
        <v>0</v>
      </c>
      <c r="AH99" s="203">
        <f t="shared" si="27"/>
        <v>0</v>
      </c>
      <c r="AI99" s="203">
        <f t="shared" si="27"/>
        <v>0</v>
      </c>
      <c r="AJ99" s="203">
        <f t="shared" si="27"/>
        <v>0</v>
      </c>
      <c r="AK99" s="203">
        <f t="shared" si="27"/>
        <v>0</v>
      </c>
      <c r="AL99" s="203">
        <f t="shared" si="27"/>
        <v>0</v>
      </c>
      <c r="AM99" s="203">
        <f t="shared" si="27"/>
        <v>0</v>
      </c>
      <c r="AN99" s="203">
        <f t="shared" si="27"/>
        <v>0</v>
      </c>
    </row>
    <row r="100" spans="1:40" x14ac:dyDescent="0.25">
      <c r="B100" s="192">
        <v>44886</v>
      </c>
      <c r="C100" s="194" t="s">
        <v>414</v>
      </c>
      <c r="D100" s="194" t="s">
        <v>48</v>
      </c>
      <c r="E100" s="204" t="s">
        <v>220</v>
      </c>
      <c r="F100" s="210" t="s">
        <v>54</v>
      </c>
      <c r="G100" s="197"/>
      <c r="H100" s="215">
        <v>70000</v>
      </c>
      <c r="I100" s="199">
        <f t="shared" si="23"/>
        <v>85113576.370000005</v>
      </c>
      <c r="J100" s="205"/>
      <c r="K100" s="206"/>
      <c r="L100" s="206"/>
      <c r="M100" s="206"/>
      <c r="N100" s="206"/>
      <c r="O100" s="207"/>
      <c r="P100" s="203">
        <f t="shared" si="26"/>
        <v>0</v>
      </c>
      <c r="Q100" s="203">
        <f t="shared" si="26"/>
        <v>0</v>
      </c>
      <c r="R100" s="203">
        <f t="shared" si="26"/>
        <v>0</v>
      </c>
      <c r="S100" s="203">
        <f t="shared" si="26"/>
        <v>0</v>
      </c>
      <c r="T100" s="203">
        <f t="shared" si="26"/>
        <v>0</v>
      </c>
      <c r="U100" s="203">
        <f t="shared" si="26"/>
        <v>0</v>
      </c>
      <c r="V100" s="203">
        <f t="shared" si="26"/>
        <v>0</v>
      </c>
      <c r="W100" s="203">
        <f t="shared" si="26"/>
        <v>0</v>
      </c>
      <c r="X100" s="203">
        <f t="shared" si="26"/>
        <v>0</v>
      </c>
      <c r="Y100" s="203">
        <f t="shared" si="26"/>
        <v>0</v>
      </c>
      <c r="Z100" s="203">
        <f t="shared" si="26"/>
        <v>0</v>
      </c>
      <c r="AA100" s="203">
        <f t="shared" si="26"/>
        <v>0</v>
      </c>
      <c r="AB100" s="203">
        <f t="shared" si="26"/>
        <v>0</v>
      </c>
      <c r="AC100" s="203">
        <f t="shared" si="26"/>
        <v>0</v>
      </c>
      <c r="AD100" s="203">
        <f t="shared" si="26"/>
        <v>0</v>
      </c>
      <c r="AE100" s="203">
        <f t="shared" si="26"/>
        <v>0</v>
      </c>
      <c r="AF100" s="203">
        <f t="shared" si="26"/>
        <v>0</v>
      </c>
      <c r="AG100" s="203">
        <f t="shared" si="27"/>
        <v>0</v>
      </c>
      <c r="AH100" s="203">
        <f t="shared" si="27"/>
        <v>0</v>
      </c>
      <c r="AI100" s="203">
        <f t="shared" si="27"/>
        <v>0</v>
      </c>
      <c r="AJ100" s="203">
        <f t="shared" si="27"/>
        <v>70000</v>
      </c>
      <c r="AK100" s="203">
        <f t="shared" si="27"/>
        <v>0</v>
      </c>
      <c r="AL100" s="203">
        <f t="shared" si="27"/>
        <v>0</v>
      </c>
      <c r="AM100" s="203">
        <f t="shared" si="27"/>
        <v>0</v>
      </c>
      <c r="AN100" s="203">
        <f t="shared" si="27"/>
        <v>0</v>
      </c>
    </row>
    <row r="101" spans="1:40" x14ac:dyDescent="0.25">
      <c r="B101" s="192">
        <v>44886</v>
      </c>
      <c r="C101" s="194" t="s">
        <v>412</v>
      </c>
      <c r="D101" s="194" t="str">
        <f>AG13</f>
        <v>Fuel &amp; lubricant</v>
      </c>
      <c r="E101" s="204" t="s">
        <v>221</v>
      </c>
      <c r="F101" s="210" t="s">
        <v>54</v>
      </c>
      <c r="G101" s="197"/>
      <c r="H101" s="215">
        <v>10000</v>
      </c>
      <c r="I101" s="199">
        <f t="shared" si="23"/>
        <v>85103576.370000005</v>
      </c>
      <c r="J101" s="205"/>
      <c r="K101" s="206"/>
      <c r="L101" s="206"/>
      <c r="M101" s="206"/>
      <c r="N101" s="206"/>
      <c r="O101" s="207"/>
      <c r="P101" s="203">
        <f t="shared" si="26"/>
        <v>0</v>
      </c>
      <c r="Q101" s="203">
        <f t="shared" si="26"/>
        <v>0</v>
      </c>
      <c r="R101" s="203">
        <f t="shared" si="26"/>
        <v>0</v>
      </c>
      <c r="S101" s="203">
        <f t="shared" si="26"/>
        <v>0</v>
      </c>
      <c r="T101" s="203">
        <f t="shared" si="26"/>
        <v>0</v>
      </c>
      <c r="U101" s="203">
        <f t="shared" si="26"/>
        <v>0</v>
      </c>
      <c r="V101" s="203">
        <f t="shared" si="26"/>
        <v>0</v>
      </c>
      <c r="W101" s="203">
        <f t="shared" si="26"/>
        <v>0</v>
      </c>
      <c r="X101" s="203">
        <f t="shared" si="26"/>
        <v>0</v>
      </c>
      <c r="Y101" s="203">
        <f t="shared" si="26"/>
        <v>0</v>
      </c>
      <c r="Z101" s="203">
        <f t="shared" si="26"/>
        <v>0</v>
      </c>
      <c r="AA101" s="203">
        <f t="shared" si="26"/>
        <v>0</v>
      </c>
      <c r="AB101" s="203">
        <f t="shared" si="26"/>
        <v>0</v>
      </c>
      <c r="AC101" s="203">
        <f t="shared" si="26"/>
        <v>0</v>
      </c>
      <c r="AD101" s="203">
        <f t="shared" si="26"/>
        <v>0</v>
      </c>
      <c r="AE101" s="203">
        <f t="shared" si="26"/>
        <v>0</v>
      </c>
      <c r="AF101" s="203">
        <f t="shared" si="26"/>
        <v>0</v>
      </c>
      <c r="AG101" s="203">
        <f t="shared" si="27"/>
        <v>10000</v>
      </c>
      <c r="AH101" s="203">
        <f t="shared" si="27"/>
        <v>0</v>
      </c>
      <c r="AI101" s="203">
        <f t="shared" si="27"/>
        <v>0</v>
      </c>
      <c r="AJ101" s="203">
        <f t="shared" si="27"/>
        <v>0</v>
      </c>
      <c r="AK101" s="203">
        <f t="shared" si="27"/>
        <v>0</v>
      </c>
      <c r="AL101" s="203">
        <f t="shared" si="27"/>
        <v>0</v>
      </c>
      <c r="AM101" s="203">
        <f t="shared" si="27"/>
        <v>0</v>
      </c>
      <c r="AN101" s="203">
        <f t="shared" si="27"/>
        <v>0</v>
      </c>
    </row>
    <row r="102" spans="1:40" x14ac:dyDescent="0.25">
      <c r="B102" s="192">
        <v>44886</v>
      </c>
      <c r="C102" s="194" t="s">
        <v>405</v>
      </c>
      <c r="D102" s="194" t="s">
        <v>166</v>
      </c>
      <c r="E102" s="204" t="s">
        <v>222</v>
      </c>
      <c r="F102" s="210" t="s">
        <v>54</v>
      </c>
      <c r="G102" s="197"/>
      <c r="H102" s="215">
        <v>356600</v>
      </c>
      <c r="I102" s="199">
        <f t="shared" si="23"/>
        <v>84746976.370000005</v>
      </c>
      <c r="J102" s="205"/>
      <c r="K102" s="206"/>
      <c r="L102" s="206"/>
      <c r="M102" s="206"/>
      <c r="N102" s="206"/>
      <c r="O102" s="207"/>
      <c r="P102" s="203">
        <f t="shared" si="26"/>
        <v>0</v>
      </c>
      <c r="Q102" s="203">
        <f t="shared" si="26"/>
        <v>0</v>
      </c>
      <c r="R102" s="203">
        <f t="shared" si="26"/>
        <v>0</v>
      </c>
      <c r="S102" s="203">
        <f t="shared" si="26"/>
        <v>0</v>
      </c>
      <c r="T102" s="203">
        <f t="shared" si="26"/>
        <v>0</v>
      </c>
      <c r="U102" s="203">
        <f t="shared" si="26"/>
        <v>0</v>
      </c>
      <c r="V102" s="203">
        <f t="shared" si="26"/>
        <v>0</v>
      </c>
      <c r="W102" s="203">
        <f t="shared" si="26"/>
        <v>0</v>
      </c>
      <c r="X102" s="203">
        <f t="shared" si="26"/>
        <v>0</v>
      </c>
      <c r="Y102" s="203">
        <f t="shared" si="26"/>
        <v>0</v>
      </c>
      <c r="Z102" s="203">
        <f t="shared" si="26"/>
        <v>0</v>
      </c>
      <c r="AA102" s="203">
        <f t="shared" si="26"/>
        <v>0</v>
      </c>
      <c r="AB102" s="203">
        <f t="shared" si="26"/>
        <v>0</v>
      </c>
      <c r="AC102" s="203">
        <f t="shared" si="26"/>
        <v>0</v>
      </c>
      <c r="AD102" s="203">
        <f t="shared" si="26"/>
        <v>0</v>
      </c>
      <c r="AE102" s="203">
        <f t="shared" si="26"/>
        <v>356600</v>
      </c>
      <c r="AF102" s="203">
        <f t="shared" si="26"/>
        <v>0</v>
      </c>
      <c r="AG102" s="203">
        <f t="shared" si="27"/>
        <v>0</v>
      </c>
      <c r="AH102" s="203">
        <f t="shared" si="27"/>
        <v>0</v>
      </c>
      <c r="AI102" s="203">
        <f t="shared" si="27"/>
        <v>0</v>
      </c>
      <c r="AJ102" s="203">
        <f t="shared" si="27"/>
        <v>0</v>
      </c>
      <c r="AK102" s="203">
        <f t="shared" si="27"/>
        <v>0</v>
      </c>
      <c r="AL102" s="203">
        <f t="shared" si="27"/>
        <v>0</v>
      </c>
      <c r="AM102" s="203">
        <f t="shared" si="27"/>
        <v>0</v>
      </c>
      <c r="AN102" s="203">
        <f t="shared" si="27"/>
        <v>0</v>
      </c>
    </row>
    <row r="103" spans="1:40" ht="19" x14ac:dyDescent="0.25">
      <c r="B103" s="192">
        <v>44886</v>
      </c>
      <c r="C103" s="194" t="s">
        <v>284</v>
      </c>
      <c r="D103" s="194" t="s">
        <v>166</v>
      </c>
      <c r="E103" s="204" t="s">
        <v>223</v>
      </c>
      <c r="F103" s="210" t="s">
        <v>91</v>
      </c>
      <c r="G103" s="197"/>
      <c r="H103" s="215">
        <v>150000</v>
      </c>
      <c r="I103" s="199">
        <f t="shared" si="23"/>
        <v>84596976.370000005</v>
      </c>
      <c r="J103" s="205"/>
      <c r="K103" s="206"/>
      <c r="L103" s="206"/>
      <c r="M103" s="206"/>
      <c r="N103" s="206"/>
      <c r="O103" s="207"/>
      <c r="P103" s="208"/>
      <c r="Q103" s="11"/>
      <c r="R103" s="11"/>
      <c r="S103" s="11"/>
      <c r="T103" s="11"/>
      <c r="U103" s="11"/>
      <c r="V103" s="11"/>
      <c r="W103" s="11"/>
      <c r="X103" s="11"/>
      <c r="Y103" s="16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79"/>
      <c r="AN103" s="45"/>
    </row>
    <row r="104" spans="1:40" x14ac:dyDescent="0.25">
      <c r="B104" s="192">
        <v>44886</v>
      </c>
      <c r="C104" s="194" t="s">
        <v>44</v>
      </c>
      <c r="D104" s="194" t="s">
        <v>48</v>
      </c>
      <c r="E104" s="204" t="s">
        <v>224</v>
      </c>
      <c r="F104" s="210" t="s">
        <v>54</v>
      </c>
      <c r="G104" s="197"/>
      <c r="H104" s="215">
        <v>50000</v>
      </c>
      <c r="I104" s="199">
        <f t="shared" si="23"/>
        <v>84546976.370000005</v>
      </c>
      <c r="J104" s="205"/>
      <c r="K104" s="206"/>
      <c r="L104" s="206"/>
      <c r="M104" s="206"/>
      <c r="N104" s="206"/>
      <c r="O104" s="207"/>
      <c r="P104" s="203">
        <f t="shared" ref="P104:AF105" si="28">IF($D104=P$13,$H104, 0)</f>
        <v>0</v>
      </c>
      <c r="Q104" s="203">
        <f t="shared" si="28"/>
        <v>0</v>
      </c>
      <c r="R104" s="203">
        <f t="shared" si="28"/>
        <v>0</v>
      </c>
      <c r="S104" s="203">
        <f t="shared" si="28"/>
        <v>0</v>
      </c>
      <c r="T104" s="203">
        <f t="shared" si="28"/>
        <v>0</v>
      </c>
      <c r="U104" s="203">
        <f t="shared" si="28"/>
        <v>0</v>
      </c>
      <c r="V104" s="203">
        <f t="shared" si="28"/>
        <v>0</v>
      </c>
      <c r="W104" s="203">
        <f t="shared" si="28"/>
        <v>0</v>
      </c>
      <c r="X104" s="203">
        <f t="shared" si="28"/>
        <v>0</v>
      </c>
      <c r="Y104" s="203">
        <f t="shared" si="28"/>
        <v>0</v>
      </c>
      <c r="Z104" s="203">
        <f t="shared" si="28"/>
        <v>0</v>
      </c>
      <c r="AA104" s="203">
        <f t="shared" si="28"/>
        <v>0</v>
      </c>
      <c r="AB104" s="203">
        <f t="shared" si="28"/>
        <v>0</v>
      </c>
      <c r="AC104" s="203">
        <f t="shared" si="28"/>
        <v>0</v>
      </c>
      <c r="AD104" s="203">
        <f t="shared" si="28"/>
        <v>0</v>
      </c>
      <c r="AE104" s="203">
        <f t="shared" si="28"/>
        <v>0</v>
      </c>
      <c r="AF104" s="203">
        <f t="shared" si="28"/>
        <v>0</v>
      </c>
      <c r="AG104" s="203">
        <f t="shared" ref="AG104:AN105" si="29">IF($D104=AG$13,$H104, 0)</f>
        <v>0</v>
      </c>
      <c r="AH104" s="203">
        <f t="shared" si="29"/>
        <v>0</v>
      </c>
      <c r="AI104" s="203">
        <f t="shared" si="29"/>
        <v>0</v>
      </c>
      <c r="AJ104" s="203">
        <f t="shared" si="29"/>
        <v>50000</v>
      </c>
      <c r="AK104" s="203">
        <f t="shared" si="29"/>
        <v>0</v>
      </c>
      <c r="AL104" s="203">
        <f t="shared" si="29"/>
        <v>0</v>
      </c>
      <c r="AM104" s="203">
        <f t="shared" si="29"/>
        <v>0</v>
      </c>
      <c r="AN104" s="203">
        <f t="shared" si="29"/>
        <v>0</v>
      </c>
    </row>
    <row r="105" spans="1:40" x14ac:dyDescent="0.25">
      <c r="B105" s="192">
        <v>44886</v>
      </c>
      <c r="C105" s="194" t="s">
        <v>287</v>
      </c>
      <c r="D105" s="194" t="s">
        <v>111</v>
      </c>
      <c r="E105" s="204" t="s">
        <v>225</v>
      </c>
      <c r="F105" s="210" t="s">
        <v>54</v>
      </c>
      <c r="G105" s="197"/>
      <c r="H105" s="215">
        <v>25000</v>
      </c>
      <c r="I105" s="199">
        <f t="shared" si="23"/>
        <v>84521976.370000005</v>
      </c>
      <c r="J105" s="205"/>
      <c r="K105" s="206"/>
      <c r="L105" s="206"/>
      <c r="M105" s="206"/>
      <c r="N105" s="206"/>
      <c r="O105" s="207"/>
      <c r="P105" s="203">
        <f t="shared" si="28"/>
        <v>0</v>
      </c>
      <c r="Q105" s="203">
        <f t="shared" si="28"/>
        <v>0</v>
      </c>
      <c r="R105" s="203">
        <f t="shared" si="28"/>
        <v>0</v>
      </c>
      <c r="S105" s="203">
        <f t="shared" si="28"/>
        <v>25000</v>
      </c>
      <c r="T105" s="203">
        <f t="shared" si="28"/>
        <v>0</v>
      </c>
      <c r="U105" s="203">
        <f t="shared" si="28"/>
        <v>0</v>
      </c>
      <c r="V105" s="203">
        <f t="shared" si="28"/>
        <v>0</v>
      </c>
      <c r="W105" s="203">
        <f t="shared" si="28"/>
        <v>0</v>
      </c>
      <c r="X105" s="203">
        <f t="shared" si="28"/>
        <v>0</v>
      </c>
      <c r="Y105" s="203">
        <f t="shared" si="28"/>
        <v>0</v>
      </c>
      <c r="Z105" s="203">
        <f t="shared" si="28"/>
        <v>0</v>
      </c>
      <c r="AA105" s="203">
        <f t="shared" si="28"/>
        <v>0</v>
      </c>
      <c r="AB105" s="203">
        <f t="shared" si="28"/>
        <v>0</v>
      </c>
      <c r="AC105" s="203">
        <f t="shared" si="28"/>
        <v>0</v>
      </c>
      <c r="AD105" s="203">
        <f t="shared" si="28"/>
        <v>0</v>
      </c>
      <c r="AE105" s="203">
        <f t="shared" si="28"/>
        <v>0</v>
      </c>
      <c r="AF105" s="203">
        <f t="shared" si="28"/>
        <v>0</v>
      </c>
      <c r="AG105" s="203">
        <f t="shared" si="29"/>
        <v>0</v>
      </c>
      <c r="AH105" s="203">
        <f t="shared" si="29"/>
        <v>0</v>
      </c>
      <c r="AI105" s="203">
        <f t="shared" si="29"/>
        <v>0</v>
      </c>
      <c r="AJ105" s="203">
        <f t="shared" si="29"/>
        <v>0</v>
      </c>
      <c r="AK105" s="203">
        <f t="shared" si="29"/>
        <v>0</v>
      </c>
      <c r="AL105" s="203">
        <f t="shared" si="29"/>
        <v>0</v>
      </c>
      <c r="AM105" s="203">
        <f t="shared" si="29"/>
        <v>0</v>
      </c>
      <c r="AN105" s="203">
        <f t="shared" si="29"/>
        <v>0</v>
      </c>
    </row>
    <row r="106" spans="1:40" ht="19" x14ac:dyDescent="0.25">
      <c r="B106" s="192">
        <v>44886</v>
      </c>
      <c r="C106" s="194" t="s">
        <v>344</v>
      </c>
      <c r="D106" s="194" t="s">
        <v>166</v>
      </c>
      <c r="E106" s="204" t="s">
        <v>226</v>
      </c>
      <c r="F106" s="210" t="s">
        <v>91</v>
      </c>
      <c r="G106" s="197"/>
      <c r="H106" s="215">
        <v>49700</v>
      </c>
      <c r="I106" s="199">
        <f t="shared" si="23"/>
        <v>84472276.370000005</v>
      </c>
      <c r="J106" s="205"/>
      <c r="K106" s="206"/>
      <c r="L106" s="206"/>
      <c r="M106" s="206"/>
      <c r="N106" s="206"/>
      <c r="O106" s="207"/>
      <c r="P106" s="208"/>
      <c r="Q106" s="11"/>
      <c r="R106" s="11"/>
      <c r="S106" s="11"/>
      <c r="T106" s="11"/>
      <c r="U106" s="11"/>
      <c r="V106" s="11"/>
      <c r="W106" s="11"/>
      <c r="X106" s="11"/>
      <c r="Y106" s="16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79"/>
      <c r="AN106" s="45"/>
    </row>
    <row r="107" spans="1:40" x14ac:dyDescent="0.25">
      <c r="B107" s="192">
        <v>44886</v>
      </c>
      <c r="C107" s="194" t="s">
        <v>288</v>
      </c>
      <c r="D107" s="194" t="s">
        <v>2</v>
      </c>
      <c r="E107" s="204" t="s">
        <v>227</v>
      </c>
      <c r="F107" s="210" t="s">
        <v>54</v>
      </c>
      <c r="G107" s="197"/>
      <c r="H107" s="215">
        <v>25000</v>
      </c>
      <c r="I107" s="199">
        <f t="shared" si="23"/>
        <v>84447276.370000005</v>
      </c>
      <c r="J107" s="205"/>
      <c r="K107" s="206"/>
      <c r="L107" s="206"/>
      <c r="M107" s="206"/>
      <c r="N107" s="206"/>
      <c r="O107" s="207"/>
      <c r="P107" s="203">
        <f>IF($D107=P$13,$H107, 0)</f>
        <v>25000</v>
      </c>
      <c r="Q107" s="203">
        <f>IF($D107=Q$13,$H107, 0)</f>
        <v>0</v>
      </c>
      <c r="R107" s="203">
        <f t="shared" ref="R107:AN107" si="30">IF($D107=R$13,$H107, 0)</f>
        <v>0</v>
      </c>
      <c r="S107" s="203">
        <f t="shared" si="30"/>
        <v>0</v>
      </c>
      <c r="T107" s="203">
        <f t="shared" si="30"/>
        <v>0</v>
      </c>
      <c r="U107" s="203">
        <f t="shared" si="30"/>
        <v>0</v>
      </c>
      <c r="V107" s="203">
        <f t="shared" si="30"/>
        <v>0</v>
      </c>
      <c r="W107" s="203">
        <f t="shared" si="30"/>
        <v>0</v>
      </c>
      <c r="X107" s="203">
        <f t="shared" si="30"/>
        <v>0</v>
      </c>
      <c r="Y107" s="203">
        <f t="shared" si="30"/>
        <v>0</v>
      </c>
      <c r="Z107" s="203">
        <f t="shared" si="30"/>
        <v>0</v>
      </c>
      <c r="AA107" s="203">
        <f t="shared" si="30"/>
        <v>0</v>
      </c>
      <c r="AB107" s="203">
        <f t="shared" si="30"/>
        <v>0</v>
      </c>
      <c r="AC107" s="203">
        <f t="shared" si="30"/>
        <v>0</v>
      </c>
      <c r="AD107" s="203">
        <f t="shared" si="30"/>
        <v>0</v>
      </c>
      <c r="AE107" s="203">
        <f t="shared" si="30"/>
        <v>0</v>
      </c>
      <c r="AF107" s="203">
        <f t="shared" si="30"/>
        <v>0</v>
      </c>
      <c r="AG107" s="203">
        <f t="shared" si="30"/>
        <v>0</v>
      </c>
      <c r="AH107" s="203">
        <f t="shared" si="30"/>
        <v>0</v>
      </c>
      <c r="AI107" s="203">
        <f t="shared" si="30"/>
        <v>0</v>
      </c>
      <c r="AJ107" s="203">
        <f t="shared" si="30"/>
        <v>0</v>
      </c>
      <c r="AK107" s="203">
        <f t="shared" si="30"/>
        <v>0</v>
      </c>
      <c r="AL107" s="203">
        <f t="shared" si="30"/>
        <v>0</v>
      </c>
      <c r="AM107" s="203">
        <f t="shared" si="30"/>
        <v>0</v>
      </c>
      <c r="AN107" s="203">
        <f t="shared" si="30"/>
        <v>0</v>
      </c>
    </row>
    <row r="108" spans="1:40" ht="19" x14ac:dyDescent="0.25">
      <c r="B108" s="192">
        <v>44887</v>
      </c>
      <c r="C108" s="194" t="s">
        <v>289</v>
      </c>
      <c r="D108" s="194" t="s">
        <v>166</v>
      </c>
      <c r="E108" s="204" t="s">
        <v>228</v>
      </c>
      <c r="F108" s="210" t="s">
        <v>91</v>
      </c>
      <c r="G108" s="197"/>
      <c r="H108" s="215">
        <v>390000</v>
      </c>
      <c r="I108" s="199">
        <f t="shared" si="23"/>
        <v>84057276.370000005</v>
      </c>
      <c r="J108" s="205"/>
      <c r="K108" s="206"/>
      <c r="L108" s="206"/>
      <c r="M108" s="206"/>
      <c r="N108" s="206"/>
      <c r="O108" s="207"/>
      <c r="P108" s="208"/>
      <c r="Q108" s="11"/>
      <c r="R108" s="11"/>
      <c r="S108" s="11"/>
      <c r="T108" s="11"/>
      <c r="U108" s="11"/>
      <c r="V108" s="11"/>
      <c r="W108" s="11"/>
      <c r="X108" s="11"/>
      <c r="Y108" s="16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4"/>
      <c r="AK108" s="14"/>
      <c r="AL108" s="14"/>
      <c r="AM108" s="80"/>
      <c r="AN108" s="45"/>
    </row>
    <row r="109" spans="1:40" x14ac:dyDescent="0.25">
      <c r="A109" s="4" t="s">
        <v>354</v>
      </c>
      <c r="B109" s="192">
        <v>44887</v>
      </c>
      <c r="C109" s="194" t="s">
        <v>290</v>
      </c>
      <c r="D109" s="194" t="s">
        <v>103</v>
      </c>
      <c r="E109" s="204" t="s">
        <v>229</v>
      </c>
      <c r="F109" s="210" t="s">
        <v>130</v>
      </c>
      <c r="G109" s="197"/>
      <c r="H109" s="215">
        <v>3660000</v>
      </c>
      <c r="I109" s="199">
        <f t="shared" si="23"/>
        <v>80397276.370000005</v>
      </c>
      <c r="J109" s="205"/>
      <c r="K109" s="206"/>
      <c r="L109" s="206"/>
      <c r="M109" s="206"/>
      <c r="N109" s="206"/>
      <c r="O109" s="207"/>
      <c r="P109" s="203">
        <f t="shared" ref="P109:AF110" si="31">IF($D109=P$13,$H109, 0)</f>
        <v>0</v>
      </c>
      <c r="Q109" s="203">
        <f t="shared" si="31"/>
        <v>0</v>
      </c>
      <c r="R109" s="203">
        <f t="shared" si="31"/>
        <v>0</v>
      </c>
      <c r="S109" s="203">
        <f t="shared" si="31"/>
        <v>0</v>
      </c>
      <c r="T109" s="203">
        <f t="shared" si="31"/>
        <v>0</v>
      </c>
      <c r="U109" s="203">
        <f t="shared" si="31"/>
        <v>0</v>
      </c>
      <c r="V109" s="203">
        <f t="shared" si="31"/>
        <v>0</v>
      </c>
      <c r="W109" s="203">
        <f t="shared" si="31"/>
        <v>0</v>
      </c>
      <c r="X109" s="203">
        <f t="shared" si="31"/>
        <v>0</v>
      </c>
      <c r="Y109" s="203">
        <f t="shared" si="31"/>
        <v>3660000</v>
      </c>
      <c r="Z109" s="203">
        <f t="shared" si="31"/>
        <v>0</v>
      </c>
      <c r="AA109" s="203">
        <f t="shared" si="31"/>
        <v>0</v>
      </c>
      <c r="AB109" s="203">
        <f t="shared" si="31"/>
        <v>0</v>
      </c>
      <c r="AC109" s="203">
        <f t="shared" si="31"/>
        <v>0</v>
      </c>
      <c r="AD109" s="203">
        <f t="shared" si="31"/>
        <v>0</v>
      </c>
      <c r="AE109" s="203">
        <f t="shared" si="31"/>
        <v>0</v>
      </c>
      <c r="AF109" s="203">
        <f t="shared" si="31"/>
        <v>0</v>
      </c>
      <c r="AG109" s="203">
        <f t="shared" ref="AG109:AN110" si="32">IF($D109=AG$13,$H109, 0)</f>
        <v>0</v>
      </c>
      <c r="AH109" s="203">
        <f t="shared" si="32"/>
        <v>0</v>
      </c>
      <c r="AI109" s="203">
        <f t="shared" si="32"/>
        <v>0</v>
      </c>
      <c r="AJ109" s="203">
        <f t="shared" si="32"/>
        <v>0</v>
      </c>
      <c r="AK109" s="203">
        <f t="shared" si="32"/>
        <v>0</v>
      </c>
      <c r="AL109" s="203">
        <f t="shared" si="32"/>
        <v>0</v>
      </c>
      <c r="AM109" s="203">
        <f t="shared" si="32"/>
        <v>0</v>
      </c>
      <c r="AN109" s="203">
        <f t="shared" si="32"/>
        <v>0</v>
      </c>
    </row>
    <row r="110" spans="1:40" x14ac:dyDescent="0.25">
      <c r="B110" s="192">
        <v>44888</v>
      </c>
      <c r="C110" s="194" t="s">
        <v>304</v>
      </c>
      <c r="D110" s="194" t="s">
        <v>119</v>
      </c>
      <c r="E110" s="204" t="s">
        <v>230</v>
      </c>
      <c r="F110" s="210" t="s">
        <v>54</v>
      </c>
      <c r="G110" s="197"/>
      <c r="H110" s="215">
        <v>15000</v>
      </c>
      <c r="I110" s="199">
        <f t="shared" si="23"/>
        <v>80382276.370000005</v>
      </c>
      <c r="J110" s="205"/>
      <c r="K110" s="206"/>
      <c r="L110" s="206"/>
      <c r="M110" s="206"/>
      <c r="N110" s="206"/>
      <c r="O110" s="207"/>
      <c r="P110" s="203">
        <f t="shared" si="31"/>
        <v>0</v>
      </c>
      <c r="Q110" s="203">
        <f t="shared" si="31"/>
        <v>0</v>
      </c>
      <c r="R110" s="203">
        <f t="shared" si="31"/>
        <v>0</v>
      </c>
      <c r="S110" s="203">
        <f t="shared" si="31"/>
        <v>0</v>
      </c>
      <c r="T110" s="203">
        <f t="shared" si="31"/>
        <v>0</v>
      </c>
      <c r="U110" s="203">
        <f t="shared" si="31"/>
        <v>0</v>
      </c>
      <c r="V110" s="203">
        <f t="shared" si="31"/>
        <v>0</v>
      </c>
      <c r="W110" s="203">
        <f t="shared" si="31"/>
        <v>0</v>
      </c>
      <c r="X110" s="203">
        <f t="shared" si="31"/>
        <v>0</v>
      </c>
      <c r="Y110" s="203">
        <f t="shared" si="31"/>
        <v>0</v>
      </c>
      <c r="Z110" s="203">
        <f t="shared" si="31"/>
        <v>0</v>
      </c>
      <c r="AA110" s="203">
        <f t="shared" si="31"/>
        <v>0</v>
      </c>
      <c r="AB110" s="203">
        <f t="shared" si="31"/>
        <v>0</v>
      </c>
      <c r="AC110" s="203">
        <f t="shared" si="31"/>
        <v>0</v>
      </c>
      <c r="AD110" s="203">
        <f t="shared" si="31"/>
        <v>0</v>
      </c>
      <c r="AE110" s="203">
        <f t="shared" si="31"/>
        <v>0</v>
      </c>
      <c r="AF110" s="203">
        <f t="shared" si="31"/>
        <v>0</v>
      </c>
      <c r="AG110" s="203">
        <f t="shared" si="32"/>
        <v>15000</v>
      </c>
      <c r="AH110" s="203">
        <f t="shared" si="32"/>
        <v>0</v>
      </c>
      <c r="AI110" s="203">
        <f t="shared" si="32"/>
        <v>0</v>
      </c>
      <c r="AJ110" s="203">
        <f t="shared" si="32"/>
        <v>0</v>
      </c>
      <c r="AK110" s="203">
        <f t="shared" si="32"/>
        <v>0</v>
      </c>
      <c r="AL110" s="203">
        <f t="shared" si="32"/>
        <v>0</v>
      </c>
      <c r="AM110" s="203">
        <f t="shared" si="32"/>
        <v>0</v>
      </c>
      <c r="AN110" s="203">
        <f t="shared" si="32"/>
        <v>0</v>
      </c>
    </row>
    <row r="111" spans="1:40" ht="19" x14ac:dyDescent="0.25">
      <c r="B111" s="192">
        <v>44888</v>
      </c>
      <c r="C111" s="194" t="s">
        <v>305</v>
      </c>
      <c r="D111" s="194" t="s">
        <v>166</v>
      </c>
      <c r="E111" s="204" t="s">
        <v>231</v>
      </c>
      <c r="F111" s="210" t="s">
        <v>91</v>
      </c>
      <c r="G111" s="197"/>
      <c r="H111" s="215">
        <v>85000</v>
      </c>
      <c r="I111" s="199">
        <f t="shared" si="23"/>
        <v>80297276.370000005</v>
      </c>
      <c r="J111" s="205"/>
      <c r="K111" s="206"/>
      <c r="L111" s="206"/>
      <c r="M111" s="206"/>
      <c r="N111" s="206"/>
      <c r="O111" s="207"/>
      <c r="P111" s="208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79"/>
      <c r="AN111" s="45"/>
    </row>
    <row r="112" spans="1:40" x14ac:dyDescent="0.25">
      <c r="B112" s="192">
        <v>44888</v>
      </c>
      <c r="C112" s="194" t="s">
        <v>291</v>
      </c>
      <c r="D112" s="194" t="s">
        <v>111</v>
      </c>
      <c r="E112" s="204" t="s">
        <v>232</v>
      </c>
      <c r="F112" s="210" t="s">
        <v>54</v>
      </c>
      <c r="G112" s="197"/>
      <c r="H112" s="215">
        <v>95500</v>
      </c>
      <c r="I112" s="199">
        <f t="shared" si="23"/>
        <v>80201776.370000005</v>
      </c>
      <c r="J112" s="205"/>
      <c r="K112" s="206"/>
      <c r="L112" s="206"/>
      <c r="M112" s="206"/>
      <c r="N112" s="206"/>
      <c r="O112" s="207"/>
      <c r="P112" s="203">
        <f t="shared" ref="P112:AF127" si="33">IF($D112=P$13,$H112, 0)</f>
        <v>0</v>
      </c>
      <c r="Q112" s="203">
        <f t="shared" si="33"/>
        <v>0</v>
      </c>
      <c r="R112" s="203">
        <f t="shared" si="33"/>
        <v>0</v>
      </c>
      <c r="S112" s="203">
        <f t="shared" si="33"/>
        <v>95500</v>
      </c>
      <c r="T112" s="203">
        <f t="shared" si="33"/>
        <v>0</v>
      </c>
      <c r="U112" s="203">
        <f t="shared" ref="U112:U127" si="34">IF($D112=U$13,$H112, 0)</f>
        <v>0</v>
      </c>
      <c r="V112" s="203">
        <f t="shared" si="33"/>
        <v>0</v>
      </c>
      <c r="W112" s="203">
        <f t="shared" si="33"/>
        <v>0</v>
      </c>
      <c r="X112" s="203">
        <f t="shared" si="33"/>
        <v>0</v>
      </c>
      <c r="Y112" s="203">
        <f t="shared" si="33"/>
        <v>0</v>
      </c>
      <c r="Z112" s="203">
        <f t="shared" si="33"/>
        <v>0</v>
      </c>
      <c r="AA112" s="203">
        <f t="shared" si="33"/>
        <v>0</v>
      </c>
      <c r="AB112" s="203">
        <f t="shared" si="33"/>
        <v>0</v>
      </c>
      <c r="AC112" s="203">
        <f t="shared" si="33"/>
        <v>0</v>
      </c>
      <c r="AD112" s="203">
        <f t="shared" si="33"/>
        <v>0</v>
      </c>
      <c r="AE112" s="203">
        <f t="shared" si="33"/>
        <v>0</v>
      </c>
      <c r="AF112" s="203">
        <f t="shared" si="33"/>
        <v>0</v>
      </c>
      <c r="AG112" s="203">
        <f t="shared" ref="AG112:AN126" si="35">IF($D112=AG$13,$H112, 0)</f>
        <v>0</v>
      </c>
      <c r="AH112" s="203">
        <f t="shared" si="35"/>
        <v>0</v>
      </c>
      <c r="AI112" s="203">
        <f t="shared" si="35"/>
        <v>0</v>
      </c>
      <c r="AJ112" s="203">
        <f t="shared" si="35"/>
        <v>0</v>
      </c>
      <c r="AK112" s="203">
        <f t="shared" si="35"/>
        <v>0</v>
      </c>
      <c r="AL112" s="203">
        <f t="shared" si="35"/>
        <v>0</v>
      </c>
      <c r="AM112" s="203">
        <f t="shared" si="35"/>
        <v>0</v>
      </c>
      <c r="AN112" s="203">
        <f t="shared" si="35"/>
        <v>0</v>
      </c>
    </row>
    <row r="113" spans="2:40" x14ac:dyDescent="0.25">
      <c r="B113" s="192">
        <v>44888</v>
      </c>
      <c r="C113" s="194" t="s">
        <v>292</v>
      </c>
      <c r="D113" s="194" t="s">
        <v>2</v>
      </c>
      <c r="E113" s="204" t="s">
        <v>233</v>
      </c>
      <c r="F113" s="210" t="s">
        <v>54</v>
      </c>
      <c r="G113" s="197"/>
      <c r="H113" s="215">
        <v>75750</v>
      </c>
      <c r="I113" s="199">
        <f t="shared" si="23"/>
        <v>80126026.370000005</v>
      </c>
      <c r="J113" s="205"/>
      <c r="K113" s="206"/>
      <c r="L113" s="206"/>
      <c r="M113" s="206"/>
      <c r="N113" s="206"/>
      <c r="O113" s="207"/>
      <c r="P113" s="203">
        <f t="shared" si="33"/>
        <v>75750</v>
      </c>
      <c r="Q113" s="203">
        <f t="shared" si="33"/>
        <v>0</v>
      </c>
      <c r="R113" s="203">
        <f t="shared" si="33"/>
        <v>0</v>
      </c>
      <c r="S113" s="203">
        <f t="shared" si="33"/>
        <v>0</v>
      </c>
      <c r="T113" s="203">
        <f t="shared" si="33"/>
        <v>0</v>
      </c>
      <c r="U113" s="203">
        <f t="shared" si="34"/>
        <v>0</v>
      </c>
      <c r="V113" s="203">
        <f t="shared" si="33"/>
        <v>0</v>
      </c>
      <c r="W113" s="203">
        <f t="shared" si="33"/>
        <v>0</v>
      </c>
      <c r="X113" s="203">
        <f t="shared" si="33"/>
        <v>0</v>
      </c>
      <c r="Y113" s="203">
        <f t="shared" si="33"/>
        <v>0</v>
      </c>
      <c r="Z113" s="203">
        <f t="shared" si="33"/>
        <v>0</v>
      </c>
      <c r="AA113" s="203">
        <f t="shared" si="33"/>
        <v>0</v>
      </c>
      <c r="AB113" s="203">
        <f t="shared" si="33"/>
        <v>0</v>
      </c>
      <c r="AC113" s="203">
        <f t="shared" si="33"/>
        <v>0</v>
      </c>
      <c r="AD113" s="203">
        <f t="shared" si="33"/>
        <v>0</v>
      </c>
      <c r="AE113" s="203">
        <f t="shared" si="33"/>
        <v>0</v>
      </c>
      <c r="AF113" s="203">
        <f t="shared" si="33"/>
        <v>0</v>
      </c>
      <c r="AG113" s="203">
        <f t="shared" si="35"/>
        <v>0</v>
      </c>
      <c r="AH113" s="203">
        <f t="shared" si="35"/>
        <v>0</v>
      </c>
      <c r="AI113" s="203">
        <f t="shared" si="35"/>
        <v>0</v>
      </c>
      <c r="AJ113" s="203">
        <f t="shared" si="35"/>
        <v>0</v>
      </c>
      <c r="AK113" s="203">
        <f t="shared" si="35"/>
        <v>0</v>
      </c>
      <c r="AL113" s="203">
        <f t="shared" si="35"/>
        <v>0</v>
      </c>
      <c r="AM113" s="203">
        <f t="shared" si="35"/>
        <v>0</v>
      </c>
      <c r="AN113" s="203">
        <f t="shared" si="35"/>
        <v>0</v>
      </c>
    </row>
    <row r="114" spans="2:40" x14ac:dyDescent="0.25">
      <c r="B114" s="192">
        <v>44888</v>
      </c>
      <c r="C114" s="194" t="s">
        <v>301</v>
      </c>
      <c r="D114" s="194" t="s">
        <v>277</v>
      </c>
      <c r="E114" s="204" t="s">
        <v>234</v>
      </c>
      <c r="F114" s="210" t="s">
        <v>54</v>
      </c>
      <c r="G114" s="197"/>
      <c r="H114" s="215">
        <v>50000</v>
      </c>
      <c r="I114" s="199">
        <f t="shared" si="23"/>
        <v>80076026.370000005</v>
      </c>
      <c r="J114" s="205"/>
      <c r="K114" s="206"/>
      <c r="L114" s="206"/>
      <c r="M114" s="206"/>
      <c r="N114" s="206"/>
      <c r="O114" s="207"/>
      <c r="P114" s="203">
        <f t="shared" si="33"/>
        <v>0</v>
      </c>
      <c r="Q114" s="203">
        <f t="shared" si="33"/>
        <v>0</v>
      </c>
      <c r="R114" s="203">
        <f t="shared" si="33"/>
        <v>0</v>
      </c>
      <c r="S114" s="203">
        <f t="shared" si="33"/>
        <v>0</v>
      </c>
      <c r="T114" s="203">
        <f t="shared" si="33"/>
        <v>0</v>
      </c>
      <c r="U114" s="203">
        <f t="shared" si="34"/>
        <v>0</v>
      </c>
      <c r="V114" s="203">
        <f t="shared" si="33"/>
        <v>0</v>
      </c>
      <c r="W114" s="203">
        <f t="shared" si="33"/>
        <v>0</v>
      </c>
      <c r="X114" s="203">
        <f t="shared" si="33"/>
        <v>50000</v>
      </c>
      <c r="Y114" s="203">
        <f t="shared" si="33"/>
        <v>0</v>
      </c>
      <c r="Z114" s="203">
        <f t="shared" si="33"/>
        <v>0</v>
      </c>
      <c r="AA114" s="203">
        <f t="shared" si="33"/>
        <v>0</v>
      </c>
      <c r="AB114" s="203">
        <f t="shared" si="33"/>
        <v>0</v>
      </c>
      <c r="AC114" s="203">
        <f t="shared" si="33"/>
        <v>0</v>
      </c>
      <c r="AD114" s="203">
        <f t="shared" si="33"/>
        <v>0</v>
      </c>
      <c r="AE114" s="203">
        <f t="shared" si="33"/>
        <v>0</v>
      </c>
      <c r="AF114" s="203">
        <f t="shared" si="33"/>
        <v>0</v>
      </c>
      <c r="AG114" s="203">
        <f t="shared" si="35"/>
        <v>0</v>
      </c>
      <c r="AH114" s="203">
        <f t="shared" si="35"/>
        <v>0</v>
      </c>
      <c r="AI114" s="203">
        <f t="shared" si="35"/>
        <v>0</v>
      </c>
      <c r="AJ114" s="203">
        <f t="shared" si="35"/>
        <v>0</v>
      </c>
      <c r="AK114" s="203">
        <f t="shared" si="35"/>
        <v>0</v>
      </c>
      <c r="AL114" s="203">
        <f t="shared" si="35"/>
        <v>0</v>
      </c>
      <c r="AM114" s="203">
        <f t="shared" si="35"/>
        <v>0</v>
      </c>
      <c r="AN114" s="203">
        <f t="shared" si="35"/>
        <v>0</v>
      </c>
    </row>
    <row r="115" spans="2:40" x14ac:dyDescent="0.25">
      <c r="B115" s="192">
        <v>44889</v>
      </c>
      <c r="C115" s="194" t="s">
        <v>304</v>
      </c>
      <c r="D115" s="194" t="s">
        <v>119</v>
      </c>
      <c r="E115" s="204" t="s">
        <v>235</v>
      </c>
      <c r="F115" s="210" t="s">
        <v>54</v>
      </c>
      <c r="G115" s="197"/>
      <c r="H115" s="215">
        <v>12000</v>
      </c>
      <c r="I115" s="199">
        <f t="shared" si="23"/>
        <v>80064026.370000005</v>
      </c>
      <c r="J115" s="205"/>
      <c r="K115" s="206"/>
      <c r="L115" s="206"/>
      <c r="M115" s="206"/>
      <c r="N115" s="206"/>
      <c r="O115" s="207"/>
      <c r="P115" s="203">
        <f t="shared" si="33"/>
        <v>0</v>
      </c>
      <c r="Q115" s="203">
        <f t="shared" si="33"/>
        <v>0</v>
      </c>
      <c r="R115" s="203">
        <f t="shared" si="33"/>
        <v>0</v>
      </c>
      <c r="S115" s="203">
        <f t="shared" si="33"/>
        <v>0</v>
      </c>
      <c r="T115" s="203">
        <f t="shared" si="33"/>
        <v>0</v>
      </c>
      <c r="U115" s="203">
        <f t="shared" si="34"/>
        <v>0</v>
      </c>
      <c r="V115" s="203">
        <f t="shared" si="33"/>
        <v>0</v>
      </c>
      <c r="W115" s="203">
        <f t="shared" si="33"/>
        <v>0</v>
      </c>
      <c r="X115" s="203">
        <f t="shared" si="33"/>
        <v>0</v>
      </c>
      <c r="Y115" s="203">
        <f t="shared" si="33"/>
        <v>0</v>
      </c>
      <c r="Z115" s="203">
        <f t="shared" si="33"/>
        <v>0</v>
      </c>
      <c r="AA115" s="203">
        <f t="shared" si="33"/>
        <v>0</v>
      </c>
      <c r="AB115" s="203">
        <f t="shared" si="33"/>
        <v>0</v>
      </c>
      <c r="AC115" s="203">
        <f t="shared" si="33"/>
        <v>0</v>
      </c>
      <c r="AD115" s="203">
        <f t="shared" si="33"/>
        <v>0</v>
      </c>
      <c r="AE115" s="203">
        <f t="shared" si="33"/>
        <v>0</v>
      </c>
      <c r="AF115" s="203">
        <f t="shared" si="33"/>
        <v>0</v>
      </c>
      <c r="AG115" s="203">
        <f t="shared" si="35"/>
        <v>12000</v>
      </c>
      <c r="AH115" s="203">
        <f t="shared" si="35"/>
        <v>0</v>
      </c>
      <c r="AI115" s="203">
        <f t="shared" si="35"/>
        <v>0</v>
      </c>
      <c r="AJ115" s="203">
        <f t="shared" si="35"/>
        <v>0</v>
      </c>
      <c r="AK115" s="203">
        <f t="shared" si="35"/>
        <v>0</v>
      </c>
      <c r="AL115" s="203">
        <f t="shared" si="35"/>
        <v>0</v>
      </c>
      <c r="AM115" s="203">
        <f t="shared" si="35"/>
        <v>0</v>
      </c>
      <c r="AN115" s="203">
        <f t="shared" si="35"/>
        <v>0</v>
      </c>
    </row>
    <row r="116" spans="2:40" x14ac:dyDescent="0.25">
      <c r="B116" s="192">
        <v>44893</v>
      </c>
      <c r="C116" s="194" t="s">
        <v>319</v>
      </c>
      <c r="D116" s="344" t="str">
        <f>AB13</f>
        <v>Stationary &amp; Office Suplies</v>
      </c>
      <c r="E116" s="204" t="s">
        <v>236</v>
      </c>
      <c r="F116" s="210" t="s">
        <v>54</v>
      </c>
      <c r="G116" s="197"/>
      <c r="H116" s="215">
        <v>27000</v>
      </c>
      <c r="I116" s="199">
        <f t="shared" si="23"/>
        <v>80037026.370000005</v>
      </c>
      <c r="J116" s="205"/>
      <c r="K116" s="206"/>
      <c r="L116" s="206"/>
      <c r="M116" s="206"/>
      <c r="N116" s="206"/>
      <c r="O116" s="207"/>
      <c r="P116" s="203">
        <f t="shared" si="33"/>
        <v>0</v>
      </c>
      <c r="Q116" s="203">
        <f t="shared" si="33"/>
        <v>0</v>
      </c>
      <c r="R116" s="203">
        <f t="shared" si="33"/>
        <v>0</v>
      </c>
      <c r="S116" s="203">
        <f t="shared" si="33"/>
        <v>0</v>
      </c>
      <c r="T116" s="203">
        <f t="shared" si="33"/>
        <v>0</v>
      </c>
      <c r="U116" s="203">
        <f t="shared" si="34"/>
        <v>0</v>
      </c>
      <c r="V116" s="203">
        <f t="shared" si="33"/>
        <v>0</v>
      </c>
      <c r="W116" s="203">
        <f t="shared" si="33"/>
        <v>0</v>
      </c>
      <c r="X116" s="203">
        <f t="shared" si="33"/>
        <v>0</v>
      </c>
      <c r="Y116" s="203">
        <f t="shared" si="33"/>
        <v>0</v>
      </c>
      <c r="Z116" s="203">
        <f t="shared" si="33"/>
        <v>0</v>
      </c>
      <c r="AA116" s="203">
        <f t="shared" si="33"/>
        <v>0</v>
      </c>
      <c r="AB116" s="203">
        <f t="shared" si="33"/>
        <v>27000</v>
      </c>
      <c r="AC116" s="203">
        <f t="shared" si="33"/>
        <v>0</v>
      </c>
      <c r="AD116" s="203">
        <f t="shared" si="33"/>
        <v>0</v>
      </c>
      <c r="AE116" s="203">
        <f t="shared" si="33"/>
        <v>0</v>
      </c>
      <c r="AF116" s="203">
        <f t="shared" si="33"/>
        <v>0</v>
      </c>
      <c r="AG116" s="203">
        <f t="shared" si="35"/>
        <v>0</v>
      </c>
      <c r="AH116" s="203">
        <f t="shared" si="35"/>
        <v>0</v>
      </c>
      <c r="AI116" s="203">
        <f t="shared" si="35"/>
        <v>0</v>
      </c>
      <c r="AJ116" s="203">
        <f t="shared" si="35"/>
        <v>0</v>
      </c>
      <c r="AK116" s="203">
        <f t="shared" si="35"/>
        <v>0</v>
      </c>
      <c r="AL116" s="203">
        <f t="shared" si="35"/>
        <v>0</v>
      </c>
      <c r="AM116" s="203">
        <f t="shared" si="35"/>
        <v>0</v>
      </c>
      <c r="AN116" s="203">
        <f t="shared" si="35"/>
        <v>0</v>
      </c>
    </row>
    <row r="117" spans="2:40" x14ac:dyDescent="0.25">
      <c r="B117" s="192">
        <v>44893</v>
      </c>
      <c r="C117" s="194" t="s">
        <v>320</v>
      </c>
      <c r="D117" s="194" t="s">
        <v>52</v>
      </c>
      <c r="E117" s="204" t="s">
        <v>237</v>
      </c>
      <c r="F117" s="210" t="s">
        <v>54</v>
      </c>
      <c r="G117" s="197"/>
      <c r="H117" s="215">
        <v>33500</v>
      </c>
      <c r="I117" s="199">
        <f t="shared" si="23"/>
        <v>80003526.370000005</v>
      </c>
      <c r="J117" s="205"/>
      <c r="K117" s="206"/>
      <c r="L117" s="206"/>
      <c r="M117" s="206"/>
      <c r="N117" s="206"/>
      <c r="O117" s="207"/>
      <c r="P117" s="203">
        <f t="shared" si="33"/>
        <v>0</v>
      </c>
      <c r="Q117" s="203">
        <f t="shared" si="33"/>
        <v>0</v>
      </c>
      <c r="R117" s="203">
        <f t="shared" si="33"/>
        <v>0</v>
      </c>
      <c r="S117" s="203">
        <f t="shared" si="33"/>
        <v>0</v>
      </c>
      <c r="T117" s="203">
        <f t="shared" si="33"/>
        <v>0</v>
      </c>
      <c r="U117" s="203">
        <f t="shared" si="34"/>
        <v>0</v>
      </c>
      <c r="V117" s="203">
        <f t="shared" si="33"/>
        <v>33500</v>
      </c>
      <c r="W117" s="203">
        <f t="shared" si="33"/>
        <v>0</v>
      </c>
      <c r="X117" s="203">
        <f t="shared" si="33"/>
        <v>0</v>
      </c>
      <c r="Y117" s="203">
        <f t="shared" si="33"/>
        <v>0</v>
      </c>
      <c r="Z117" s="203">
        <f t="shared" si="33"/>
        <v>0</v>
      </c>
      <c r="AA117" s="203">
        <f t="shared" si="33"/>
        <v>0</v>
      </c>
      <c r="AB117" s="203">
        <f t="shared" si="33"/>
        <v>0</v>
      </c>
      <c r="AC117" s="203">
        <f t="shared" si="33"/>
        <v>0</v>
      </c>
      <c r="AD117" s="203">
        <f t="shared" si="33"/>
        <v>0</v>
      </c>
      <c r="AE117" s="203">
        <f t="shared" si="33"/>
        <v>0</v>
      </c>
      <c r="AF117" s="203">
        <f t="shared" si="33"/>
        <v>0</v>
      </c>
      <c r="AG117" s="203">
        <f t="shared" si="35"/>
        <v>0</v>
      </c>
      <c r="AH117" s="203">
        <f t="shared" si="35"/>
        <v>0</v>
      </c>
      <c r="AI117" s="203">
        <f t="shared" si="35"/>
        <v>0</v>
      </c>
      <c r="AJ117" s="203">
        <f t="shared" si="35"/>
        <v>0</v>
      </c>
      <c r="AK117" s="203">
        <f t="shared" si="35"/>
        <v>0</v>
      </c>
      <c r="AL117" s="203">
        <f t="shared" si="35"/>
        <v>0</v>
      </c>
      <c r="AM117" s="203">
        <f t="shared" si="35"/>
        <v>0</v>
      </c>
      <c r="AN117" s="203">
        <f t="shared" si="35"/>
        <v>0</v>
      </c>
    </row>
    <row r="118" spans="2:40" x14ac:dyDescent="0.25">
      <c r="B118" s="192">
        <v>44894</v>
      </c>
      <c r="C118" s="194" t="s">
        <v>321</v>
      </c>
      <c r="D118" s="194" t="str">
        <f>AJ13</f>
        <v>Utilities</v>
      </c>
      <c r="E118" s="204" t="s">
        <v>238</v>
      </c>
      <c r="F118" s="210" t="s">
        <v>54</v>
      </c>
      <c r="G118" s="197"/>
      <c r="H118" s="215">
        <v>558500</v>
      </c>
      <c r="I118" s="199">
        <f t="shared" si="23"/>
        <v>79445026.370000005</v>
      </c>
      <c r="J118" s="205"/>
      <c r="K118" s="206"/>
      <c r="L118" s="206"/>
      <c r="M118" s="206"/>
      <c r="N118" s="206"/>
      <c r="O118" s="207"/>
      <c r="P118" s="203">
        <f t="shared" si="33"/>
        <v>0</v>
      </c>
      <c r="Q118" s="203">
        <f t="shared" si="33"/>
        <v>0</v>
      </c>
      <c r="R118" s="203">
        <f t="shared" si="33"/>
        <v>0</v>
      </c>
      <c r="S118" s="203">
        <f t="shared" si="33"/>
        <v>0</v>
      </c>
      <c r="T118" s="203">
        <f t="shared" si="33"/>
        <v>0</v>
      </c>
      <c r="U118" s="203">
        <f t="shared" si="34"/>
        <v>0</v>
      </c>
      <c r="V118" s="203">
        <f t="shared" si="33"/>
        <v>0</v>
      </c>
      <c r="W118" s="203">
        <f t="shared" si="33"/>
        <v>0</v>
      </c>
      <c r="X118" s="203">
        <f t="shared" si="33"/>
        <v>0</v>
      </c>
      <c r="Y118" s="203">
        <f t="shared" si="33"/>
        <v>0</v>
      </c>
      <c r="Z118" s="203">
        <f t="shared" si="33"/>
        <v>0</v>
      </c>
      <c r="AA118" s="203">
        <f t="shared" si="33"/>
        <v>0</v>
      </c>
      <c r="AB118" s="203">
        <f t="shared" si="33"/>
        <v>0</v>
      </c>
      <c r="AC118" s="203">
        <f t="shared" si="33"/>
        <v>0</v>
      </c>
      <c r="AD118" s="203">
        <f t="shared" si="33"/>
        <v>0</v>
      </c>
      <c r="AE118" s="203">
        <f t="shared" si="33"/>
        <v>0</v>
      </c>
      <c r="AF118" s="203">
        <f t="shared" si="33"/>
        <v>0</v>
      </c>
      <c r="AG118" s="203">
        <f t="shared" si="35"/>
        <v>0</v>
      </c>
      <c r="AH118" s="203">
        <f t="shared" si="35"/>
        <v>0</v>
      </c>
      <c r="AI118" s="203">
        <f t="shared" si="35"/>
        <v>0</v>
      </c>
      <c r="AJ118" s="203">
        <f t="shared" si="35"/>
        <v>558500</v>
      </c>
      <c r="AK118" s="203">
        <f t="shared" si="35"/>
        <v>0</v>
      </c>
      <c r="AL118" s="203">
        <f t="shared" si="35"/>
        <v>0</v>
      </c>
      <c r="AM118" s="203">
        <f t="shared" si="35"/>
        <v>0</v>
      </c>
      <c r="AN118" s="203">
        <f t="shared" si="35"/>
        <v>0</v>
      </c>
    </row>
    <row r="119" spans="2:40" x14ac:dyDescent="0.25">
      <c r="B119" s="192">
        <v>44894</v>
      </c>
      <c r="C119" s="194" t="s">
        <v>323</v>
      </c>
      <c r="D119" s="194" t="s">
        <v>277</v>
      </c>
      <c r="E119" s="204" t="s">
        <v>239</v>
      </c>
      <c r="F119" s="210" t="s">
        <v>130</v>
      </c>
      <c r="G119" s="197"/>
      <c r="H119" s="215">
        <v>610000</v>
      </c>
      <c r="I119" s="199">
        <f t="shared" si="23"/>
        <v>78835026.370000005</v>
      </c>
      <c r="J119" s="205"/>
      <c r="K119" s="206"/>
      <c r="L119" s="206"/>
      <c r="M119" s="206"/>
      <c r="N119" s="206"/>
      <c r="O119" s="207"/>
      <c r="P119" s="203">
        <f t="shared" si="33"/>
        <v>0</v>
      </c>
      <c r="Q119" s="203">
        <f t="shared" si="33"/>
        <v>0</v>
      </c>
      <c r="R119" s="203">
        <f t="shared" si="33"/>
        <v>0</v>
      </c>
      <c r="S119" s="203">
        <f t="shared" si="33"/>
        <v>0</v>
      </c>
      <c r="T119" s="203">
        <f t="shared" si="33"/>
        <v>0</v>
      </c>
      <c r="U119" s="203">
        <f t="shared" si="34"/>
        <v>0</v>
      </c>
      <c r="V119" s="203">
        <f t="shared" si="33"/>
        <v>0</v>
      </c>
      <c r="W119" s="203">
        <f t="shared" si="33"/>
        <v>0</v>
      </c>
      <c r="X119" s="203">
        <f t="shared" si="33"/>
        <v>610000</v>
      </c>
      <c r="Y119" s="203">
        <f t="shared" si="33"/>
        <v>0</v>
      </c>
      <c r="Z119" s="203">
        <f t="shared" si="33"/>
        <v>0</v>
      </c>
      <c r="AA119" s="203">
        <f t="shared" si="33"/>
        <v>0</v>
      </c>
      <c r="AB119" s="203">
        <f t="shared" si="33"/>
        <v>0</v>
      </c>
      <c r="AC119" s="203">
        <f t="shared" si="33"/>
        <v>0</v>
      </c>
      <c r="AD119" s="203">
        <f t="shared" si="33"/>
        <v>0</v>
      </c>
      <c r="AE119" s="203">
        <f t="shared" si="33"/>
        <v>0</v>
      </c>
      <c r="AF119" s="203">
        <f t="shared" si="33"/>
        <v>0</v>
      </c>
      <c r="AG119" s="203">
        <f t="shared" si="35"/>
        <v>0</v>
      </c>
      <c r="AH119" s="203">
        <f t="shared" si="35"/>
        <v>0</v>
      </c>
      <c r="AI119" s="203">
        <f t="shared" si="35"/>
        <v>0</v>
      </c>
      <c r="AJ119" s="203">
        <f t="shared" si="35"/>
        <v>0</v>
      </c>
      <c r="AK119" s="203">
        <f t="shared" si="35"/>
        <v>0</v>
      </c>
      <c r="AL119" s="203">
        <f t="shared" si="35"/>
        <v>0</v>
      </c>
      <c r="AM119" s="203">
        <f t="shared" si="35"/>
        <v>0</v>
      </c>
      <c r="AN119" s="203">
        <f t="shared" si="35"/>
        <v>0</v>
      </c>
    </row>
    <row r="120" spans="2:40" x14ac:dyDescent="0.25">
      <c r="B120" s="192">
        <v>44894</v>
      </c>
      <c r="C120" s="194" t="s">
        <v>44</v>
      </c>
      <c r="D120" s="194" t="s">
        <v>48</v>
      </c>
      <c r="E120" s="204" t="s">
        <v>302</v>
      </c>
      <c r="F120" s="210" t="s">
        <v>54</v>
      </c>
      <c r="G120" s="197"/>
      <c r="H120" s="215">
        <v>50000</v>
      </c>
      <c r="I120" s="199">
        <f t="shared" si="23"/>
        <v>78785026.370000005</v>
      </c>
      <c r="J120" s="205"/>
      <c r="K120" s="206"/>
      <c r="L120" s="206"/>
      <c r="M120" s="206"/>
      <c r="N120" s="206"/>
      <c r="O120" s="207"/>
      <c r="P120" s="203">
        <f t="shared" si="33"/>
        <v>0</v>
      </c>
      <c r="Q120" s="203">
        <f t="shared" si="33"/>
        <v>0</v>
      </c>
      <c r="R120" s="203">
        <f t="shared" si="33"/>
        <v>0</v>
      </c>
      <c r="S120" s="203">
        <f t="shared" si="33"/>
        <v>0</v>
      </c>
      <c r="T120" s="203">
        <f t="shared" si="33"/>
        <v>0</v>
      </c>
      <c r="U120" s="203">
        <f t="shared" si="34"/>
        <v>0</v>
      </c>
      <c r="V120" s="203">
        <f t="shared" si="33"/>
        <v>0</v>
      </c>
      <c r="W120" s="203">
        <f t="shared" si="33"/>
        <v>0</v>
      </c>
      <c r="X120" s="203">
        <f t="shared" si="33"/>
        <v>0</v>
      </c>
      <c r="Y120" s="203">
        <f t="shared" si="33"/>
        <v>0</v>
      </c>
      <c r="Z120" s="203">
        <f t="shared" si="33"/>
        <v>0</v>
      </c>
      <c r="AA120" s="203">
        <f t="shared" si="33"/>
        <v>0</v>
      </c>
      <c r="AB120" s="203">
        <f t="shared" si="33"/>
        <v>0</v>
      </c>
      <c r="AC120" s="203">
        <f t="shared" si="33"/>
        <v>0</v>
      </c>
      <c r="AD120" s="203">
        <f t="shared" si="33"/>
        <v>0</v>
      </c>
      <c r="AE120" s="203">
        <f t="shared" si="33"/>
        <v>0</v>
      </c>
      <c r="AF120" s="203">
        <f t="shared" si="33"/>
        <v>0</v>
      </c>
      <c r="AG120" s="203">
        <f t="shared" si="35"/>
        <v>0</v>
      </c>
      <c r="AH120" s="203">
        <f t="shared" si="35"/>
        <v>0</v>
      </c>
      <c r="AI120" s="203">
        <f t="shared" si="35"/>
        <v>0</v>
      </c>
      <c r="AJ120" s="203">
        <f t="shared" si="35"/>
        <v>50000</v>
      </c>
      <c r="AK120" s="203">
        <f t="shared" si="35"/>
        <v>0</v>
      </c>
      <c r="AL120" s="203">
        <f t="shared" si="35"/>
        <v>0</v>
      </c>
      <c r="AM120" s="203">
        <f t="shared" si="35"/>
        <v>0</v>
      </c>
      <c r="AN120" s="203">
        <f t="shared" si="35"/>
        <v>0</v>
      </c>
    </row>
    <row r="121" spans="2:40" x14ac:dyDescent="0.25">
      <c r="B121" s="192">
        <v>44895</v>
      </c>
      <c r="C121" s="194" t="s">
        <v>324</v>
      </c>
      <c r="D121" s="194" t="s">
        <v>111</v>
      </c>
      <c r="E121" s="204" t="s">
        <v>331</v>
      </c>
      <c r="F121" s="210" t="s">
        <v>54</v>
      </c>
      <c r="G121" s="197"/>
      <c r="H121" s="215">
        <v>27700</v>
      </c>
      <c r="I121" s="199">
        <f t="shared" si="23"/>
        <v>78757326.370000005</v>
      </c>
      <c r="J121" s="205"/>
      <c r="K121" s="206"/>
      <c r="L121" s="206"/>
      <c r="M121" s="206"/>
      <c r="N121" s="206"/>
      <c r="O121" s="207"/>
      <c r="P121" s="203">
        <f t="shared" si="33"/>
        <v>0</v>
      </c>
      <c r="Q121" s="203">
        <f t="shared" si="33"/>
        <v>0</v>
      </c>
      <c r="R121" s="203">
        <f t="shared" si="33"/>
        <v>0</v>
      </c>
      <c r="S121" s="203">
        <f t="shared" si="33"/>
        <v>27700</v>
      </c>
      <c r="T121" s="203">
        <f t="shared" si="33"/>
        <v>0</v>
      </c>
      <c r="U121" s="203">
        <f t="shared" si="34"/>
        <v>0</v>
      </c>
      <c r="V121" s="203">
        <f t="shared" si="33"/>
        <v>0</v>
      </c>
      <c r="W121" s="203">
        <f t="shared" si="33"/>
        <v>0</v>
      </c>
      <c r="X121" s="203">
        <f t="shared" si="33"/>
        <v>0</v>
      </c>
      <c r="Y121" s="203">
        <f t="shared" si="33"/>
        <v>0</v>
      </c>
      <c r="Z121" s="203">
        <f t="shared" si="33"/>
        <v>0</v>
      </c>
      <c r="AA121" s="203">
        <f t="shared" si="33"/>
        <v>0</v>
      </c>
      <c r="AB121" s="203">
        <f t="shared" si="33"/>
        <v>0</v>
      </c>
      <c r="AC121" s="203">
        <f t="shared" si="33"/>
        <v>0</v>
      </c>
      <c r="AD121" s="203">
        <f t="shared" si="33"/>
        <v>0</v>
      </c>
      <c r="AE121" s="203">
        <f t="shared" si="33"/>
        <v>0</v>
      </c>
      <c r="AF121" s="203">
        <f t="shared" si="33"/>
        <v>0</v>
      </c>
      <c r="AG121" s="203">
        <f t="shared" si="35"/>
        <v>0</v>
      </c>
      <c r="AH121" s="203">
        <f t="shared" si="35"/>
        <v>0</v>
      </c>
      <c r="AI121" s="203">
        <f t="shared" si="35"/>
        <v>0</v>
      </c>
      <c r="AJ121" s="203">
        <f t="shared" si="35"/>
        <v>0</v>
      </c>
      <c r="AK121" s="203">
        <f t="shared" si="35"/>
        <v>0</v>
      </c>
      <c r="AL121" s="203">
        <f t="shared" si="35"/>
        <v>0</v>
      </c>
      <c r="AM121" s="203">
        <f t="shared" si="35"/>
        <v>0</v>
      </c>
      <c r="AN121" s="203">
        <f t="shared" si="35"/>
        <v>0</v>
      </c>
    </row>
    <row r="122" spans="2:40" x14ac:dyDescent="0.25">
      <c r="B122" s="192">
        <v>44895</v>
      </c>
      <c r="C122" s="194" t="s">
        <v>325</v>
      </c>
      <c r="D122" s="194" t="s">
        <v>111</v>
      </c>
      <c r="E122" s="204" t="s">
        <v>332</v>
      </c>
      <c r="F122" s="210" t="s">
        <v>54</v>
      </c>
      <c r="G122" s="197"/>
      <c r="H122" s="215">
        <v>18000</v>
      </c>
      <c r="I122" s="199">
        <f t="shared" si="23"/>
        <v>78739326.370000005</v>
      </c>
      <c r="J122" s="205"/>
      <c r="K122" s="206"/>
      <c r="L122" s="206"/>
      <c r="M122" s="206"/>
      <c r="N122" s="206"/>
      <c r="O122" s="207"/>
      <c r="P122" s="203">
        <f t="shared" si="33"/>
        <v>0</v>
      </c>
      <c r="Q122" s="203">
        <f t="shared" si="33"/>
        <v>0</v>
      </c>
      <c r="R122" s="203">
        <f t="shared" si="33"/>
        <v>0</v>
      </c>
      <c r="S122" s="203">
        <f t="shared" si="33"/>
        <v>18000</v>
      </c>
      <c r="T122" s="203">
        <f t="shared" si="33"/>
        <v>0</v>
      </c>
      <c r="U122" s="203">
        <f t="shared" si="34"/>
        <v>0</v>
      </c>
      <c r="V122" s="203">
        <f t="shared" si="33"/>
        <v>0</v>
      </c>
      <c r="W122" s="203">
        <f t="shared" si="33"/>
        <v>0</v>
      </c>
      <c r="X122" s="203">
        <f t="shared" si="33"/>
        <v>0</v>
      </c>
      <c r="Y122" s="203">
        <f t="shared" si="33"/>
        <v>0</v>
      </c>
      <c r="Z122" s="203">
        <f t="shared" si="33"/>
        <v>0</v>
      </c>
      <c r="AA122" s="203">
        <f t="shared" si="33"/>
        <v>0</v>
      </c>
      <c r="AB122" s="203">
        <f t="shared" si="33"/>
        <v>0</v>
      </c>
      <c r="AC122" s="203">
        <f t="shared" si="33"/>
        <v>0</v>
      </c>
      <c r="AD122" s="203">
        <f t="shared" si="33"/>
        <v>0</v>
      </c>
      <c r="AE122" s="203">
        <f t="shared" si="33"/>
        <v>0</v>
      </c>
      <c r="AF122" s="203">
        <f t="shared" si="33"/>
        <v>0</v>
      </c>
      <c r="AG122" s="203">
        <f t="shared" si="35"/>
        <v>0</v>
      </c>
      <c r="AH122" s="203">
        <f t="shared" si="35"/>
        <v>0</v>
      </c>
      <c r="AI122" s="203">
        <f t="shared" si="35"/>
        <v>0</v>
      </c>
      <c r="AJ122" s="203">
        <f t="shared" si="35"/>
        <v>0</v>
      </c>
      <c r="AK122" s="203">
        <f t="shared" si="35"/>
        <v>0</v>
      </c>
      <c r="AL122" s="203">
        <f t="shared" si="35"/>
        <v>0</v>
      </c>
      <c r="AM122" s="203">
        <f t="shared" si="35"/>
        <v>0</v>
      </c>
      <c r="AN122" s="203">
        <f t="shared" si="35"/>
        <v>0</v>
      </c>
    </row>
    <row r="123" spans="2:40" x14ac:dyDescent="0.25">
      <c r="B123" s="192">
        <v>44896</v>
      </c>
      <c r="C123" s="194" t="s">
        <v>330</v>
      </c>
      <c r="D123" s="194" t="s">
        <v>111</v>
      </c>
      <c r="E123" s="204" t="s">
        <v>333</v>
      </c>
      <c r="F123" s="210" t="s">
        <v>54</v>
      </c>
      <c r="G123" s="197"/>
      <c r="H123" s="215">
        <v>103200</v>
      </c>
      <c r="I123" s="199">
        <f t="shared" si="23"/>
        <v>78636126.370000005</v>
      </c>
      <c r="J123" s="205"/>
      <c r="K123" s="206"/>
      <c r="L123" s="206"/>
      <c r="M123" s="206"/>
      <c r="N123" s="206"/>
      <c r="O123" s="207"/>
      <c r="P123" s="203">
        <f t="shared" si="33"/>
        <v>0</v>
      </c>
      <c r="Q123" s="203">
        <f t="shared" si="33"/>
        <v>0</v>
      </c>
      <c r="R123" s="203">
        <f t="shared" si="33"/>
        <v>0</v>
      </c>
      <c r="S123" s="203">
        <f t="shared" si="33"/>
        <v>103200</v>
      </c>
      <c r="T123" s="203">
        <f t="shared" si="33"/>
        <v>0</v>
      </c>
      <c r="U123" s="203">
        <f t="shared" si="34"/>
        <v>0</v>
      </c>
      <c r="V123" s="203">
        <f t="shared" si="33"/>
        <v>0</v>
      </c>
      <c r="W123" s="203">
        <f t="shared" si="33"/>
        <v>0</v>
      </c>
      <c r="X123" s="203">
        <f t="shared" si="33"/>
        <v>0</v>
      </c>
      <c r="Y123" s="203">
        <f t="shared" si="33"/>
        <v>0</v>
      </c>
      <c r="Z123" s="203">
        <f t="shared" si="33"/>
        <v>0</v>
      </c>
      <c r="AA123" s="203">
        <f t="shared" si="33"/>
        <v>0</v>
      </c>
      <c r="AB123" s="203">
        <f t="shared" si="33"/>
        <v>0</v>
      </c>
      <c r="AC123" s="203">
        <f t="shared" si="33"/>
        <v>0</v>
      </c>
      <c r="AD123" s="203">
        <f t="shared" si="33"/>
        <v>0</v>
      </c>
      <c r="AE123" s="203">
        <f t="shared" si="33"/>
        <v>0</v>
      </c>
      <c r="AF123" s="203">
        <f t="shared" si="33"/>
        <v>0</v>
      </c>
      <c r="AG123" s="203">
        <f t="shared" si="35"/>
        <v>0</v>
      </c>
      <c r="AH123" s="203">
        <f t="shared" si="35"/>
        <v>0</v>
      </c>
      <c r="AI123" s="203">
        <f t="shared" si="35"/>
        <v>0</v>
      </c>
      <c r="AJ123" s="203">
        <f t="shared" si="35"/>
        <v>0</v>
      </c>
      <c r="AK123" s="203">
        <f t="shared" si="35"/>
        <v>0</v>
      </c>
      <c r="AL123" s="203">
        <f t="shared" si="35"/>
        <v>0</v>
      </c>
      <c r="AM123" s="203">
        <f t="shared" si="35"/>
        <v>0</v>
      </c>
      <c r="AN123" s="203">
        <f t="shared" si="35"/>
        <v>0</v>
      </c>
    </row>
    <row r="124" spans="2:40" x14ac:dyDescent="0.25">
      <c r="B124" s="192">
        <v>44896</v>
      </c>
      <c r="C124" s="194" t="s">
        <v>342</v>
      </c>
      <c r="D124" s="194" t="s">
        <v>111</v>
      </c>
      <c r="E124" s="204" t="s">
        <v>334</v>
      </c>
      <c r="F124" s="210" t="s">
        <v>54</v>
      </c>
      <c r="G124" s="197"/>
      <c r="H124" s="215">
        <v>60000</v>
      </c>
      <c r="I124" s="199">
        <f t="shared" si="23"/>
        <v>78576126.370000005</v>
      </c>
      <c r="J124" s="205"/>
      <c r="K124" s="206"/>
      <c r="L124" s="206"/>
      <c r="M124" s="206"/>
      <c r="N124" s="206"/>
      <c r="O124" s="207"/>
      <c r="P124" s="203">
        <f t="shared" si="33"/>
        <v>0</v>
      </c>
      <c r="Q124" s="203">
        <f t="shared" si="33"/>
        <v>0</v>
      </c>
      <c r="R124" s="203">
        <f t="shared" si="33"/>
        <v>0</v>
      </c>
      <c r="S124" s="203">
        <f t="shared" si="33"/>
        <v>60000</v>
      </c>
      <c r="T124" s="203">
        <f t="shared" si="33"/>
        <v>0</v>
      </c>
      <c r="U124" s="203">
        <f t="shared" si="34"/>
        <v>0</v>
      </c>
      <c r="V124" s="203">
        <f t="shared" si="33"/>
        <v>0</v>
      </c>
      <c r="W124" s="203">
        <f t="shared" si="33"/>
        <v>0</v>
      </c>
      <c r="X124" s="203">
        <f t="shared" si="33"/>
        <v>0</v>
      </c>
      <c r="Y124" s="203">
        <f t="shared" si="33"/>
        <v>0</v>
      </c>
      <c r="Z124" s="203">
        <f t="shared" si="33"/>
        <v>0</v>
      </c>
      <c r="AA124" s="203">
        <f t="shared" si="33"/>
        <v>0</v>
      </c>
      <c r="AB124" s="203">
        <f t="shared" si="33"/>
        <v>0</v>
      </c>
      <c r="AC124" s="203">
        <f t="shared" si="33"/>
        <v>0</v>
      </c>
      <c r="AD124" s="203">
        <f t="shared" si="33"/>
        <v>0</v>
      </c>
      <c r="AE124" s="203">
        <f t="shared" si="33"/>
        <v>0</v>
      </c>
      <c r="AF124" s="203">
        <f t="shared" si="33"/>
        <v>0</v>
      </c>
      <c r="AG124" s="203">
        <f t="shared" si="35"/>
        <v>0</v>
      </c>
      <c r="AH124" s="203">
        <f t="shared" si="35"/>
        <v>0</v>
      </c>
      <c r="AI124" s="203">
        <f t="shared" si="35"/>
        <v>0</v>
      </c>
      <c r="AJ124" s="203">
        <f t="shared" si="35"/>
        <v>0</v>
      </c>
      <c r="AK124" s="203">
        <f t="shared" si="35"/>
        <v>0</v>
      </c>
      <c r="AL124" s="203">
        <f t="shared" si="35"/>
        <v>0</v>
      </c>
      <c r="AM124" s="203">
        <f t="shared" si="35"/>
        <v>0</v>
      </c>
      <c r="AN124" s="203">
        <f t="shared" si="35"/>
        <v>0</v>
      </c>
    </row>
    <row r="125" spans="2:40" x14ac:dyDescent="0.25">
      <c r="B125" s="192">
        <v>44896</v>
      </c>
      <c r="C125" s="194" t="s">
        <v>304</v>
      </c>
      <c r="D125" s="194" t="s">
        <v>119</v>
      </c>
      <c r="E125" s="204" t="s">
        <v>335</v>
      </c>
      <c r="F125" s="210" t="s">
        <v>54</v>
      </c>
      <c r="G125" s="197"/>
      <c r="H125" s="215">
        <v>10000</v>
      </c>
      <c r="I125" s="199">
        <f t="shared" si="23"/>
        <v>78566126.370000005</v>
      </c>
      <c r="J125" s="205"/>
      <c r="K125" s="206"/>
      <c r="L125" s="206"/>
      <c r="M125" s="206"/>
      <c r="N125" s="206"/>
      <c r="O125" s="207"/>
      <c r="P125" s="203">
        <f t="shared" si="33"/>
        <v>0</v>
      </c>
      <c r="Q125" s="203">
        <f t="shared" si="33"/>
        <v>0</v>
      </c>
      <c r="R125" s="203">
        <f t="shared" si="33"/>
        <v>0</v>
      </c>
      <c r="S125" s="203">
        <f t="shared" si="33"/>
        <v>0</v>
      </c>
      <c r="T125" s="203">
        <f t="shared" si="33"/>
        <v>0</v>
      </c>
      <c r="U125" s="203">
        <f t="shared" si="34"/>
        <v>0</v>
      </c>
      <c r="V125" s="203">
        <f t="shared" si="33"/>
        <v>0</v>
      </c>
      <c r="W125" s="203">
        <f t="shared" si="33"/>
        <v>0</v>
      </c>
      <c r="X125" s="203">
        <f t="shared" si="33"/>
        <v>0</v>
      </c>
      <c r="Y125" s="203">
        <f t="shared" si="33"/>
        <v>0</v>
      </c>
      <c r="Z125" s="203">
        <f t="shared" si="33"/>
        <v>0</v>
      </c>
      <c r="AA125" s="203">
        <f t="shared" si="33"/>
        <v>0</v>
      </c>
      <c r="AB125" s="203">
        <f t="shared" si="33"/>
        <v>0</v>
      </c>
      <c r="AC125" s="203">
        <f t="shared" si="33"/>
        <v>0</v>
      </c>
      <c r="AD125" s="203">
        <f t="shared" si="33"/>
        <v>0</v>
      </c>
      <c r="AE125" s="203">
        <f t="shared" si="33"/>
        <v>0</v>
      </c>
      <c r="AF125" s="203">
        <f t="shared" si="33"/>
        <v>0</v>
      </c>
      <c r="AG125" s="203">
        <f t="shared" si="35"/>
        <v>10000</v>
      </c>
      <c r="AH125" s="203">
        <f t="shared" si="35"/>
        <v>0</v>
      </c>
      <c r="AI125" s="203">
        <f t="shared" si="35"/>
        <v>0</v>
      </c>
      <c r="AJ125" s="203">
        <f t="shared" si="35"/>
        <v>0</v>
      </c>
      <c r="AK125" s="203">
        <f t="shared" si="35"/>
        <v>0</v>
      </c>
      <c r="AL125" s="203">
        <f t="shared" si="35"/>
        <v>0</v>
      </c>
      <c r="AM125" s="203">
        <f t="shared" si="35"/>
        <v>0</v>
      </c>
      <c r="AN125" s="203">
        <f t="shared" si="35"/>
        <v>0</v>
      </c>
    </row>
    <row r="126" spans="2:40" x14ac:dyDescent="0.25">
      <c r="B126" s="192">
        <v>44897</v>
      </c>
      <c r="C126" s="194" t="s">
        <v>348</v>
      </c>
      <c r="D126" s="194" t="s">
        <v>111</v>
      </c>
      <c r="E126" s="204" t="s">
        <v>336</v>
      </c>
      <c r="F126" s="210" t="s">
        <v>54</v>
      </c>
      <c r="G126" s="197"/>
      <c r="H126" s="215">
        <v>275000</v>
      </c>
      <c r="I126" s="199">
        <f t="shared" si="23"/>
        <v>78291126.370000005</v>
      </c>
      <c r="J126" s="205"/>
      <c r="K126" s="206"/>
      <c r="L126" s="206"/>
      <c r="M126" s="206"/>
      <c r="N126" s="206"/>
      <c r="O126" s="207"/>
      <c r="P126" s="203">
        <f t="shared" si="33"/>
        <v>0</v>
      </c>
      <c r="Q126" s="203">
        <f t="shared" si="33"/>
        <v>0</v>
      </c>
      <c r="R126" s="203">
        <f t="shared" si="33"/>
        <v>0</v>
      </c>
      <c r="S126" s="203">
        <f t="shared" si="33"/>
        <v>275000</v>
      </c>
      <c r="T126" s="203">
        <f t="shared" si="33"/>
        <v>0</v>
      </c>
      <c r="U126" s="203">
        <f t="shared" si="34"/>
        <v>0</v>
      </c>
      <c r="V126" s="203">
        <f t="shared" si="33"/>
        <v>0</v>
      </c>
      <c r="W126" s="203">
        <f t="shared" si="33"/>
        <v>0</v>
      </c>
      <c r="X126" s="203">
        <f t="shared" si="33"/>
        <v>0</v>
      </c>
      <c r="Y126" s="203">
        <f t="shared" si="33"/>
        <v>0</v>
      </c>
      <c r="Z126" s="203">
        <f t="shared" si="33"/>
        <v>0</v>
      </c>
      <c r="AA126" s="203">
        <f t="shared" si="33"/>
        <v>0</v>
      </c>
      <c r="AB126" s="203">
        <f t="shared" si="33"/>
        <v>0</v>
      </c>
      <c r="AC126" s="203">
        <f t="shared" si="33"/>
        <v>0</v>
      </c>
      <c r="AD126" s="203">
        <f t="shared" si="33"/>
        <v>0</v>
      </c>
      <c r="AE126" s="203">
        <f t="shared" si="33"/>
        <v>0</v>
      </c>
      <c r="AF126" s="203">
        <f t="shared" si="33"/>
        <v>0</v>
      </c>
      <c r="AG126" s="203">
        <f t="shared" si="35"/>
        <v>0</v>
      </c>
      <c r="AH126" s="203">
        <f t="shared" si="35"/>
        <v>0</v>
      </c>
      <c r="AI126" s="203">
        <f t="shared" si="35"/>
        <v>0</v>
      </c>
      <c r="AJ126" s="203">
        <f t="shared" si="35"/>
        <v>0</v>
      </c>
      <c r="AK126" s="203">
        <f t="shared" si="35"/>
        <v>0</v>
      </c>
      <c r="AL126" s="203">
        <f t="shared" si="35"/>
        <v>0</v>
      </c>
      <c r="AM126" s="203">
        <f t="shared" si="35"/>
        <v>0</v>
      </c>
      <c r="AN126" s="203">
        <f t="shared" si="35"/>
        <v>0</v>
      </c>
    </row>
    <row r="127" spans="2:40" x14ac:dyDescent="0.25">
      <c r="B127" s="192">
        <v>44897</v>
      </c>
      <c r="C127" s="194" t="s">
        <v>349</v>
      </c>
      <c r="D127" s="194" t="s">
        <v>111</v>
      </c>
      <c r="E127" s="204" t="s">
        <v>337</v>
      </c>
      <c r="F127" s="210" t="s">
        <v>54</v>
      </c>
      <c r="G127" s="197"/>
      <c r="H127" s="215">
        <v>482000</v>
      </c>
      <c r="I127" s="199">
        <f t="shared" si="23"/>
        <v>77809126.370000005</v>
      </c>
      <c r="J127" s="205"/>
      <c r="K127" s="206"/>
      <c r="L127" s="206"/>
      <c r="M127" s="206"/>
      <c r="N127" s="206"/>
      <c r="O127" s="207"/>
      <c r="P127" s="203">
        <f t="shared" si="33"/>
        <v>0</v>
      </c>
      <c r="Q127" s="203">
        <f t="shared" si="33"/>
        <v>0</v>
      </c>
      <c r="R127" s="203">
        <f t="shared" si="33"/>
        <v>0</v>
      </c>
      <c r="S127" s="203">
        <f t="shared" si="33"/>
        <v>482000</v>
      </c>
      <c r="T127" s="203">
        <f t="shared" si="33"/>
        <v>0</v>
      </c>
      <c r="U127" s="203">
        <f t="shared" si="34"/>
        <v>0</v>
      </c>
      <c r="V127" s="203">
        <f t="shared" si="33"/>
        <v>0</v>
      </c>
      <c r="W127" s="203">
        <f t="shared" si="33"/>
        <v>0</v>
      </c>
      <c r="X127" s="203">
        <f t="shared" si="33"/>
        <v>0</v>
      </c>
      <c r="Y127" s="203">
        <f t="shared" si="33"/>
        <v>0</v>
      </c>
      <c r="Z127" s="203">
        <f t="shared" si="33"/>
        <v>0</v>
      </c>
      <c r="AA127" s="203">
        <f t="shared" si="33"/>
        <v>0</v>
      </c>
      <c r="AB127" s="203">
        <f t="shared" si="33"/>
        <v>0</v>
      </c>
      <c r="AC127" s="203">
        <f t="shared" si="33"/>
        <v>0</v>
      </c>
      <c r="AD127" s="203">
        <f t="shared" si="33"/>
        <v>0</v>
      </c>
      <c r="AE127" s="203">
        <f t="shared" si="33"/>
        <v>0</v>
      </c>
      <c r="AF127" s="203">
        <f t="shared" ref="AF127:AN132" si="36">IF($D127=AF$13,$H127, 0)</f>
        <v>0</v>
      </c>
      <c r="AG127" s="203">
        <f t="shared" si="36"/>
        <v>0</v>
      </c>
      <c r="AH127" s="203">
        <f t="shared" si="36"/>
        <v>0</v>
      </c>
      <c r="AI127" s="203">
        <f t="shared" si="36"/>
        <v>0</v>
      </c>
      <c r="AJ127" s="203">
        <f t="shared" si="36"/>
        <v>0</v>
      </c>
      <c r="AK127" s="203">
        <f t="shared" si="36"/>
        <v>0</v>
      </c>
      <c r="AL127" s="203">
        <f t="shared" si="36"/>
        <v>0</v>
      </c>
      <c r="AM127" s="203">
        <f t="shared" si="36"/>
        <v>0</v>
      </c>
      <c r="AN127" s="203">
        <f t="shared" si="36"/>
        <v>0</v>
      </c>
    </row>
    <row r="128" spans="2:40" x14ac:dyDescent="0.25">
      <c r="B128" s="192">
        <v>44898</v>
      </c>
      <c r="C128" s="194" t="s">
        <v>350</v>
      </c>
      <c r="D128" s="194" t="s">
        <v>111</v>
      </c>
      <c r="E128" s="204" t="s">
        <v>338</v>
      </c>
      <c r="F128" s="210" t="s">
        <v>54</v>
      </c>
      <c r="G128" s="197"/>
      <c r="H128" s="215">
        <v>50000</v>
      </c>
      <c r="I128" s="199">
        <f t="shared" si="23"/>
        <v>77759126.370000005</v>
      </c>
      <c r="J128" s="205"/>
      <c r="K128" s="206"/>
      <c r="L128" s="206"/>
      <c r="M128" s="206"/>
      <c r="N128" s="206"/>
      <c r="O128" s="207"/>
      <c r="P128" s="203">
        <f t="shared" ref="P128:AF132" si="37">IF($D128=P$13,$H128, 0)</f>
        <v>0</v>
      </c>
      <c r="Q128" s="203">
        <f t="shared" si="37"/>
        <v>0</v>
      </c>
      <c r="R128" s="203">
        <f t="shared" si="37"/>
        <v>0</v>
      </c>
      <c r="S128" s="203">
        <f t="shared" si="37"/>
        <v>50000</v>
      </c>
      <c r="T128" s="203">
        <f t="shared" si="37"/>
        <v>0</v>
      </c>
      <c r="U128" s="203">
        <f t="shared" si="37"/>
        <v>0</v>
      </c>
      <c r="V128" s="203">
        <f t="shared" si="37"/>
        <v>0</v>
      </c>
      <c r="W128" s="203">
        <f t="shared" si="37"/>
        <v>0</v>
      </c>
      <c r="X128" s="203">
        <f t="shared" si="37"/>
        <v>0</v>
      </c>
      <c r="Y128" s="203">
        <f t="shared" si="37"/>
        <v>0</v>
      </c>
      <c r="Z128" s="203">
        <f t="shared" si="37"/>
        <v>0</v>
      </c>
      <c r="AA128" s="203">
        <f t="shared" si="37"/>
        <v>0</v>
      </c>
      <c r="AB128" s="203">
        <f t="shared" si="37"/>
        <v>0</v>
      </c>
      <c r="AC128" s="203">
        <f t="shared" si="37"/>
        <v>0</v>
      </c>
      <c r="AD128" s="203">
        <f t="shared" si="37"/>
        <v>0</v>
      </c>
      <c r="AE128" s="203">
        <f t="shared" si="37"/>
        <v>0</v>
      </c>
      <c r="AF128" s="203">
        <f t="shared" si="37"/>
        <v>0</v>
      </c>
      <c r="AG128" s="203">
        <f t="shared" si="36"/>
        <v>0</v>
      </c>
      <c r="AH128" s="203">
        <f t="shared" si="36"/>
        <v>0</v>
      </c>
      <c r="AI128" s="203">
        <f t="shared" si="36"/>
        <v>0</v>
      </c>
      <c r="AJ128" s="203">
        <f t="shared" si="36"/>
        <v>0</v>
      </c>
      <c r="AK128" s="203">
        <f t="shared" si="36"/>
        <v>0</v>
      </c>
      <c r="AL128" s="203">
        <f t="shared" si="36"/>
        <v>0</v>
      </c>
      <c r="AM128" s="203">
        <f t="shared" si="36"/>
        <v>0</v>
      </c>
      <c r="AN128" s="203">
        <f t="shared" si="36"/>
        <v>0</v>
      </c>
    </row>
    <row r="129" spans="2:40" x14ac:dyDescent="0.25">
      <c r="B129" s="192">
        <v>44902</v>
      </c>
      <c r="C129" s="194" t="s">
        <v>353</v>
      </c>
      <c r="D129" s="194" t="s">
        <v>111</v>
      </c>
      <c r="E129" s="204" t="s">
        <v>339</v>
      </c>
      <c r="F129" s="210" t="s">
        <v>54</v>
      </c>
      <c r="G129" s="197"/>
      <c r="H129" s="215">
        <v>45000</v>
      </c>
      <c r="I129" s="199">
        <f t="shared" si="23"/>
        <v>77714126.370000005</v>
      </c>
      <c r="J129" s="205"/>
      <c r="K129" s="206"/>
      <c r="L129" s="206"/>
      <c r="M129" s="206"/>
      <c r="N129" s="206"/>
      <c r="O129" s="207"/>
      <c r="P129" s="203">
        <f t="shared" si="37"/>
        <v>0</v>
      </c>
      <c r="Q129" s="203">
        <f t="shared" si="37"/>
        <v>0</v>
      </c>
      <c r="R129" s="203">
        <f t="shared" si="37"/>
        <v>0</v>
      </c>
      <c r="S129" s="203">
        <f t="shared" si="37"/>
        <v>45000</v>
      </c>
      <c r="T129" s="203">
        <f t="shared" si="37"/>
        <v>0</v>
      </c>
      <c r="U129" s="203">
        <f t="shared" si="37"/>
        <v>0</v>
      </c>
      <c r="V129" s="203">
        <f t="shared" si="37"/>
        <v>0</v>
      </c>
      <c r="W129" s="203">
        <f t="shared" si="37"/>
        <v>0</v>
      </c>
      <c r="X129" s="203">
        <f t="shared" si="37"/>
        <v>0</v>
      </c>
      <c r="Y129" s="203">
        <f t="shared" si="37"/>
        <v>0</v>
      </c>
      <c r="Z129" s="203">
        <f t="shared" si="37"/>
        <v>0</v>
      </c>
      <c r="AA129" s="203">
        <f t="shared" si="37"/>
        <v>0</v>
      </c>
      <c r="AB129" s="203">
        <f t="shared" si="37"/>
        <v>0</v>
      </c>
      <c r="AC129" s="203">
        <f t="shared" si="37"/>
        <v>0</v>
      </c>
      <c r="AD129" s="203">
        <f t="shared" si="37"/>
        <v>0</v>
      </c>
      <c r="AE129" s="203">
        <f t="shared" si="37"/>
        <v>0</v>
      </c>
      <c r="AF129" s="203">
        <f t="shared" si="37"/>
        <v>0</v>
      </c>
      <c r="AG129" s="203">
        <f t="shared" si="36"/>
        <v>0</v>
      </c>
      <c r="AH129" s="203">
        <f t="shared" si="36"/>
        <v>0</v>
      </c>
      <c r="AI129" s="203">
        <f t="shared" si="36"/>
        <v>0</v>
      </c>
      <c r="AJ129" s="203">
        <f t="shared" si="36"/>
        <v>0</v>
      </c>
      <c r="AK129" s="203">
        <f t="shared" si="36"/>
        <v>0</v>
      </c>
      <c r="AL129" s="203">
        <f t="shared" si="36"/>
        <v>0</v>
      </c>
      <c r="AM129" s="203">
        <f t="shared" si="36"/>
        <v>0</v>
      </c>
      <c r="AN129" s="203">
        <f t="shared" si="36"/>
        <v>0</v>
      </c>
    </row>
    <row r="130" spans="2:40" x14ac:dyDescent="0.25">
      <c r="B130" s="192">
        <v>44903</v>
      </c>
      <c r="C130" s="194" t="s">
        <v>44</v>
      </c>
      <c r="D130" s="194" t="s">
        <v>111</v>
      </c>
      <c r="E130" s="204" t="s">
        <v>340</v>
      </c>
      <c r="F130" s="210" t="s">
        <v>54</v>
      </c>
      <c r="G130" s="197"/>
      <c r="H130" s="215">
        <v>50000</v>
      </c>
      <c r="I130" s="199">
        <f t="shared" si="23"/>
        <v>77664126.370000005</v>
      </c>
      <c r="J130" s="205"/>
      <c r="K130" s="206"/>
      <c r="L130" s="206"/>
      <c r="M130" s="206"/>
      <c r="N130" s="206"/>
      <c r="O130" s="207"/>
      <c r="P130" s="203">
        <f t="shared" si="37"/>
        <v>0</v>
      </c>
      <c r="Q130" s="203">
        <f t="shared" si="37"/>
        <v>0</v>
      </c>
      <c r="R130" s="203">
        <f t="shared" si="37"/>
        <v>0</v>
      </c>
      <c r="S130" s="203">
        <f t="shared" si="37"/>
        <v>50000</v>
      </c>
      <c r="T130" s="203">
        <f t="shared" si="37"/>
        <v>0</v>
      </c>
      <c r="U130" s="203">
        <f t="shared" si="37"/>
        <v>0</v>
      </c>
      <c r="V130" s="203">
        <f t="shared" si="37"/>
        <v>0</v>
      </c>
      <c r="W130" s="203">
        <f t="shared" si="37"/>
        <v>0</v>
      </c>
      <c r="X130" s="203">
        <f t="shared" si="37"/>
        <v>0</v>
      </c>
      <c r="Y130" s="203">
        <f t="shared" si="37"/>
        <v>0</v>
      </c>
      <c r="Z130" s="203">
        <f t="shared" si="37"/>
        <v>0</v>
      </c>
      <c r="AA130" s="203">
        <f t="shared" si="37"/>
        <v>0</v>
      </c>
      <c r="AB130" s="203">
        <f t="shared" si="37"/>
        <v>0</v>
      </c>
      <c r="AC130" s="203">
        <f t="shared" si="37"/>
        <v>0</v>
      </c>
      <c r="AD130" s="203">
        <f t="shared" si="37"/>
        <v>0</v>
      </c>
      <c r="AE130" s="203">
        <f t="shared" si="37"/>
        <v>0</v>
      </c>
      <c r="AF130" s="203">
        <f t="shared" si="37"/>
        <v>0</v>
      </c>
      <c r="AG130" s="203">
        <f t="shared" si="36"/>
        <v>0</v>
      </c>
      <c r="AH130" s="203">
        <f t="shared" si="36"/>
        <v>0</v>
      </c>
      <c r="AI130" s="203">
        <f t="shared" si="36"/>
        <v>0</v>
      </c>
      <c r="AJ130" s="203">
        <f t="shared" si="36"/>
        <v>0</v>
      </c>
      <c r="AK130" s="203">
        <f t="shared" si="36"/>
        <v>0</v>
      </c>
      <c r="AL130" s="203">
        <f t="shared" si="36"/>
        <v>0</v>
      </c>
      <c r="AM130" s="203">
        <f t="shared" si="36"/>
        <v>0</v>
      </c>
      <c r="AN130" s="203">
        <f t="shared" si="36"/>
        <v>0</v>
      </c>
    </row>
    <row r="131" spans="2:40" x14ac:dyDescent="0.25">
      <c r="B131" s="192">
        <v>44903</v>
      </c>
      <c r="C131" s="194" t="s">
        <v>358</v>
      </c>
      <c r="D131" s="194" t="s">
        <v>52</v>
      </c>
      <c r="E131" s="204" t="s">
        <v>341</v>
      </c>
      <c r="F131" s="210" t="s">
        <v>130</v>
      </c>
      <c r="G131" s="197"/>
      <c r="H131" s="215">
        <v>780000</v>
      </c>
      <c r="I131" s="199">
        <f t="shared" si="23"/>
        <v>76884126.370000005</v>
      </c>
      <c r="J131" s="205"/>
      <c r="K131" s="206"/>
      <c r="L131" s="206"/>
      <c r="M131" s="206"/>
      <c r="N131" s="206"/>
      <c r="O131" s="207"/>
      <c r="P131" s="203">
        <f t="shared" si="37"/>
        <v>0</v>
      </c>
      <c r="Q131" s="203">
        <f t="shared" si="37"/>
        <v>0</v>
      </c>
      <c r="R131" s="203">
        <f t="shared" si="37"/>
        <v>0</v>
      </c>
      <c r="S131" s="203">
        <f t="shared" si="37"/>
        <v>0</v>
      </c>
      <c r="T131" s="203">
        <f t="shared" si="37"/>
        <v>0</v>
      </c>
      <c r="U131" s="203">
        <f t="shared" si="37"/>
        <v>0</v>
      </c>
      <c r="V131" s="203">
        <f t="shared" si="37"/>
        <v>780000</v>
      </c>
      <c r="W131" s="203">
        <f t="shared" si="37"/>
        <v>0</v>
      </c>
      <c r="X131" s="203">
        <f t="shared" si="37"/>
        <v>0</v>
      </c>
      <c r="Y131" s="203">
        <f t="shared" si="37"/>
        <v>0</v>
      </c>
      <c r="Z131" s="203">
        <f t="shared" si="37"/>
        <v>0</v>
      </c>
      <c r="AA131" s="203">
        <f t="shared" si="37"/>
        <v>0</v>
      </c>
      <c r="AB131" s="203">
        <f t="shared" si="37"/>
        <v>0</v>
      </c>
      <c r="AC131" s="203">
        <f t="shared" si="37"/>
        <v>0</v>
      </c>
      <c r="AD131" s="203">
        <f t="shared" si="37"/>
        <v>0</v>
      </c>
      <c r="AE131" s="203">
        <f t="shared" si="37"/>
        <v>0</v>
      </c>
      <c r="AF131" s="203">
        <f t="shared" si="37"/>
        <v>0</v>
      </c>
      <c r="AG131" s="203">
        <f t="shared" si="36"/>
        <v>0</v>
      </c>
      <c r="AH131" s="203">
        <f t="shared" si="36"/>
        <v>0</v>
      </c>
      <c r="AI131" s="203">
        <f t="shared" si="36"/>
        <v>0</v>
      </c>
      <c r="AJ131" s="203">
        <f t="shared" si="36"/>
        <v>0</v>
      </c>
      <c r="AK131" s="203">
        <f t="shared" si="36"/>
        <v>0</v>
      </c>
      <c r="AL131" s="203">
        <f t="shared" si="36"/>
        <v>0</v>
      </c>
      <c r="AM131" s="203">
        <f t="shared" si="36"/>
        <v>0</v>
      </c>
      <c r="AN131" s="203">
        <f t="shared" si="36"/>
        <v>0</v>
      </c>
    </row>
    <row r="132" spans="2:40" x14ac:dyDescent="0.25">
      <c r="B132" s="192">
        <v>44903</v>
      </c>
      <c r="C132" s="194" t="s">
        <v>359</v>
      </c>
      <c r="D132" s="194" t="s">
        <v>111</v>
      </c>
      <c r="E132" s="204" t="s">
        <v>345</v>
      </c>
      <c r="F132" s="210" t="s">
        <v>54</v>
      </c>
      <c r="G132" s="197"/>
      <c r="H132" s="215">
        <v>25000</v>
      </c>
      <c r="I132" s="199">
        <f t="shared" si="23"/>
        <v>76859126.370000005</v>
      </c>
      <c r="J132" s="205"/>
      <c r="K132" s="206"/>
      <c r="L132" s="206"/>
      <c r="M132" s="206"/>
      <c r="N132" s="206"/>
      <c r="O132" s="207"/>
      <c r="P132" s="203">
        <f t="shared" si="37"/>
        <v>0</v>
      </c>
      <c r="Q132" s="203">
        <f t="shared" si="37"/>
        <v>0</v>
      </c>
      <c r="R132" s="203">
        <f t="shared" si="37"/>
        <v>0</v>
      </c>
      <c r="S132" s="203">
        <f t="shared" si="37"/>
        <v>25000</v>
      </c>
      <c r="T132" s="203">
        <f t="shared" si="37"/>
        <v>0</v>
      </c>
      <c r="U132" s="203">
        <f t="shared" si="37"/>
        <v>0</v>
      </c>
      <c r="V132" s="203">
        <f t="shared" si="37"/>
        <v>0</v>
      </c>
      <c r="W132" s="203">
        <f t="shared" si="37"/>
        <v>0</v>
      </c>
      <c r="X132" s="203">
        <f t="shared" si="37"/>
        <v>0</v>
      </c>
      <c r="Y132" s="203">
        <f t="shared" si="37"/>
        <v>0</v>
      </c>
      <c r="Z132" s="203">
        <f t="shared" si="37"/>
        <v>0</v>
      </c>
      <c r="AA132" s="203">
        <f t="shared" si="37"/>
        <v>0</v>
      </c>
      <c r="AB132" s="203">
        <f t="shared" si="37"/>
        <v>0</v>
      </c>
      <c r="AC132" s="203">
        <f t="shared" si="37"/>
        <v>0</v>
      </c>
      <c r="AD132" s="203">
        <f t="shared" si="37"/>
        <v>0</v>
      </c>
      <c r="AE132" s="203">
        <f t="shared" si="37"/>
        <v>0</v>
      </c>
      <c r="AF132" s="203">
        <f t="shared" si="37"/>
        <v>0</v>
      </c>
      <c r="AG132" s="203">
        <f t="shared" si="36"/>
        <v>0</v>
      </c>
      <c r="AH132" s="203">
        <f t="shared" si="36"/>
        <v>0</v>
      </c>
      <c r="AI132" s="203">
        <f t="shared" si="36"/>
        <v>0</v>
      </c>
      <c r="AJ132" s="203">
        <f t="shared" si="36"/>
        <v>0</v>
      </c>
      <c r="AK132" s="203">
        <f t="shared" si="36"/>
        <v>0</v>
      </c>
      <c r="AL132" s="203">
        <f t="shared" si="36"/>
        <v>0</v>
      </c>
      <c r="AM132" s="203">
        <f t="shared" si="36"/>
        <v>0</v>
      </c>
      <c r="AN132" s="203">
        <f t="shared" si="36"/>
        <v>0</v>
      </c>
    </row>
    <row r="133" spans="2:40" x14ac:dyDescent="0.25">
      <c r="B133" s="192">
        <v>44904</v>
      </c>
      <c r="C133" s="194" t="s">
        <v>360</v>
      </c>
      <c r="D133" s="194" t="s">
        <v>403</v>
      </c>
      <c r="E133" s="204" t="s">
        <v>347</v>
      </c>
      <c r="F133" s="210" t="s">
        <v>73</v>
      </c>
      <c r="G133" s="197"/>
      <c r="H133" s="215">
        <v>124775</v>
      </c>
      <c r="I133" s="199">
        <f t="shared" si="23"/>
        <v>76734351.370000005</v>
      </c>
      <c r="J133" s="205"/>
      <c r="K133" s="206"/>
      <c r="L133" s="206"/>
      <c r="M133" s="206"/>
      <c r="N133" s="206"/>
      <c r="O133" s="207"/>
      <c r="P133" s="208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79"/>
      <c r="AN133" s="45"/>
    </row>
    <row r="134" spans="2:40" x14ac:dyDescent="0.25">
      <c r="B134" s="192">
        <v>44904</v>
      </c>
      <c r="C134" s="194" t="s">
        <v>44</v>
      </c>
      <c r="D134" s="194" t="s">
        <v>48</v>
      </c>
      <c r="E134" s="204" t="s">
        <v>369</v>
      </c>
      <c r="F134" s="210" t="s">
        <v>54</v>
      </c>
      <c r="G134" s="197"/>
      <c r="H134" s="215">
        <v>100000</v>
      </c>
      <c r="I134" s="199">
        <f t="shared" si="23"/>
        <v>76634351.370000005</v>
      </c>
      <c r="J134" s="205"/>
      <c r="K134" s="206"/>
      <c r="L134" s="206"/>
      <c r="M134" s="206"/>
      <c r="N134" s="206"/>
      <c r="O134" s="207"/>
      <c r="P134" s="203">
        <f t="shared" ref="P134:AF139" si="38">IF($D134=P$13,$H134, 0)</f>
        <v>0</v>
      </c>
      <c r="Q134" s="203">
        <f t="shared" si="38"/>
        <v>0</v>
      </c>
      <c r="R134" s="203">
        <f t="shared" si="38"/>
        <v>0</v>
      </c>
      <c r="S134" s="203">
        <f t="shared" si="38"/>
        <v>0</v>
      </c>
      <c r="T134" s="203">
        <f t="shared" si="38"/>
        <v>0</v>
      </c>
      <c r="U134" s="203">
        <f t="shared" si="38"/>
        <v>0</v>
      </c>
      <c r="V134" s="203">
        <f t="shared" si="38"/>
        <v>0</v>
      </c>
      <c r="W134" s="203">
        <f t="shared" si="38"/>
        <v>0</v>
      </c>
      <c r="X134" s="203">
        <f t="shared" si="38"/>
        <v>0</v>
      </c>
      <c r="Y134" s="203">
        <f t="shared" si="38"/>
        <v>0</v>
      </c>
      <c r="Z134" s="203">
        <f t="shared" si="38"/>
        <v>0</v>
      </c>
      <c r="AA134" s="203">
        <f t="shared" si="38"/>
        <v>0</v>
      </c>
      <c r="AB134" s="203">
        <f t="shared" si="38"/>
        <v>0</v>
      </c>
      <c r="AC134" s="203">
        <f t="shared" si="38"/>
        <v>0</v>
      </c>
      <c r="AD134" s="203">
        <f t="shared" si="38"/>
        <v>0</v>
      </c>
      <c r="AE134" s="203">
        <f t="shared" si="38"/>
        <v>0</v>
      </c>
      <c r="AF134" s="203">
        <f t="shared" si="38"/>
        <v>0</v>
      </c>
      <c r="AG134" s="203">
        <f t="shared" ref="AG134:AN139" si="39">IF($D134=AG$13,$H134, 0)</f>
        <v>0</v>
      </c>
      <c r="AH134" s="203">
        <f t="shared" si="39"/>
        <v>0</v>
      </c>
      <c r="AI134" s="203">
        <f t="shared" si="39"/>
        <v>0</v>
      </c>
      <c r="AJ134" s="203">
        <f t="shared" si="39"/>
        <v>100000</v>
      </c>
      <c r="AK134" s="203">
        <f t="shared" si="39"/>
        <v>0</v>
      </c>
      <c r="AL134" s="203">
        <f t="shared" si="39"/>
        <v>0</v>
      </c>
      <c r="AM134" s="203">
        <f t="shared" si="39"/>
        <v>0</v>
      </c>
      <c r="AN134" s="203">
        <f t="shared" si="39"/>
        <v>0</v>
      </c>
    </row>
    <row r="135" spans="2:40" x14ac:dyDescent="0.25">
      <c r="B135" s="192">
        <v>44904</v>
      </c>
      <c r="C135" s="194" t="s">
        <v>400</v>
      </c>
      <c r="D135" s="194" t="s">
        <v>57</v>
      </c>
      <c r="E135" s="204" t="s">
        <v>370</v>
      </c>
      <c r="F135" s="210" t="s">
        <v>130</v>
      </c>
      <c r="G135" s="197"/>
      <c r="H135" s="215">
        <v>40000</v>
      </c>
      <c r="I135" s="199">
        <f t="shared" si="23"/>
        <v>76594351.370000005</v>
      </c>
      <c r="J135" s="205"/>
      <c r="K135" s="206"/>
      <c r="L135" s="206"/>
      <c r="M135" s="206"/>
      <c r="N135" s="206"/>
      <c r="O135" s="207"/>
      <c r="P135" s="203">
        <f t="shared" si="38"/>
        <v>0</v>
      </c>
      <c r="Q135" s="203">
        <f t="shared" si="38"/>
        <v>0</v>
      </c>
      <c r="R135" s="203">
        <f t="shared" si="38"/>
        <v>0</v>
      </c>
      <c r="S135" s="203">
        <f t="shared" si="38"/>
        <v>0</v>
      </c>
      <c r="T135" s="203">
        <f t="shared" si="38"/>
        <v>0</v>
      </c>
      <c r="U135" s="203">
        <f t="shared" si="38"/>
        <v>0</v>
      </c>
      <c r="V135" s="203">
        <f t="shared" si="38"/>
        <v>40000</v>
      </c>
      <c r="W135" s="203">
        <f t="shared" si="38"/>
        <v>0</v>
      </c>
      <c r="X135" s="203">
        <f t="shared" si="38"/>
        <v>0</v>
      </c>
      <c r="Y135" s="203">
        <f t="shared" si="38"/>
        <v>0</v>
      </c>
      <c r="Z135" s="203">
        <f t="shared" si="38"/>
        <v>0</v>
      </c>
      <c r="AA135" s="203">
        <f t="shared" si="38"/>
        <v>0</v>
      </c>
      <c r="AB135" s="203">
        <f t="shared" si="38"/>
        <v>0</v>
      </c>
      <c r="AC135" s="203">
        <f t="shared" si="38"/>
        <v>0</v>
      </c>
      <c r="AD135" s="203">
        <f t="shared" si="38"/>
        <v>0</v>
      </c>
      <c r="AE135" s="203">
        <f t="shared" si="38"/>
        <v>0</v>
      </c>
      <c r="AF135" s="203">
        <f t="shared" si="38"/>
        <v>0</v>
      </c>
      <c r="AG135" s="203">
        <f t="shared" si="39"/>
        <v>0</v>
      </c>
      <c r="AH135" s="203">
        <f t="shared" si="39"/>
        <v>0</v>
      </c>
      <c r="AI135" s="203">
        <f t="shared" si="39"/>
        <v>0</v>
      </c>
      <c r="AJ135" s="203">
        <f t="shared" si="39"/>
        <v>0</v>
      </c>
      <c r="AK135" s="203">
        <f t="shared" si="39"/>
        <v>0</v>
      </c>
      <c r="AL135" s="203">
        <f t="shared" si="39"/>
        <v>0</v>
      </c>
      <c r="AM135" s="203">
        <f t="shared" si="39"/>
        <v>0</v>
      </c>
      <c r="AN135" s="203">
        <f t="shared" si="39"/>
        <v>0</v>
      </c>
    </row>
    <row r="136" spans="2:40" x14ac:dyDescent="0.25">
      <c r="B136" s="192">
        <v>44908</v>
      </c>
      <c r="C136" s="194" t="s">
        <v>366</v>
      </c>
      <c r="D136" s="194" t="s">
        <v>111</v>
      </c>
      <c r="E136" s="204" t="s">
        <v>371</v>
      </c>
      <c r="F136" s="210" t="s">
        <v>54</v>
      </c>
      <c r="G136" s="197"/>
      <c r="H136" s="215">
        <v>545500</v>
      </c>
      <c r="I136" s="199">
        <f t="shared" si="23"/>
        <v>76048851.370000005</v>
      </c>
      <c r="J136" s="205"/>
      <c r="K136" s="206"/>
      <c r="L136" s="206"/>
      <c r="M136" s="206"/>
      <c r="N136" s="206"/>
      <c r="O136" s="207"/>
      <c r="P136" s="203">
        <f t="shared" si="38"/>
        <v>0</v>
      </c>
      <c r="Q136" s="203">
        <f t="shared" si="38"/>
        <v>0</v>
      </c>
      <c r="R136" s="203">
        <f t="shared" si="38"/>
        <v>0</v>
      </c>
      <c r="S136" s="203">
        <f t="shared" si="38"/>
        <v>545500</v>
      </c>
      <c r="T136" s="203">
        <f t="shared" si="38"/>
        <v>0</v>
      </c>
      <c r="U136" s="203">
        <f t="shared" si="38"/>
        <v>0</v>
      </c>
      <c r="V136" s="203">
        <f t="shared" si="38"/>
        <v>0</v>
      </c>
      <c r="W136" s="203">
        <f t="shared" si="38"/>
        <v>0</v>
      </c>
      <c r="X136" s="203">
        <f t="shared" si="38"/>
        <v>0</v>
      </c>
      <c r="Y136" s="203">
        <f t="shared" si="38"/>
        <v>0</v>
      </c>
      <c r="Z136" s="203">
        <f t="shared" si="38"/>
        <v>0</v>
      </c>
      <c r="AA136" s="203">
        <f t="shared" si="38"/>
        <v>0</v>
      </c>
      <c r="AB136" s="203">
        <f t="shared" si="38"/>
        <v>0</v>
      </c>
      <c r="AC136" s="203">
        <f t="shared" si="38"/>
        <v>0</v>
      </c>
      <c r="AD136" s="203">
        <f t="shared" si="38"/>
        <v>0</v>
      </c>
      <c r="AE136" s="203">
        <f t="shared" si="38"/>
        <v>0</v>
      </c>
      <c r="AF136" s="203">
        <f t="shared" si="38"/>
        <v>0</v>
      </c>
      <c r="AG136" s="203">
        <f t="shared" si="39"/>
        <v>0</v>
      </c>
      <c r="AH136" s="203">
        <f t="shared" si="39"/>
        <v>0</v>
      </c>
      <c r="AI136" s="203">
        <f t="shared" si="39"/>
        <v>0</v>
      </c>
      <c r="AJ136" s="203">
        <f t="shared" si="39"/>
        <v>0</v>
      </c>
      <c r="AK136" s="203">
        <f t="shared" si="39"/>
        <v>0</v>
      </c>
      <c r="AL136" s="203">
        <f t="shared" si="39"/>
        <v>0</v>
      </c>
      <c r="AM136" s="203">
        <f t="shared" si="39"/>
        <v>0</v>
      </c>
      <c r="AN136" s="203">
        <f t="shared" si="39"/>
        <v>0</v>
      </c>
    </row>
    <row r="137" spans="2:40" x14ac:dyDescent="0.25">
      <c r="B137" s="192">
        <v>44908</v>
      </c>
      <c r="C137" s="194" t="s">
        <v>44</v>
      </c>
      <c r="D137" s="194" t="s">
        <v>48</v>
      </c>
      <c r="E137" s="204" t="s">
        <v>372</v>
      </c>
      <c r="F137" s="210" t="s">
        <v>54</v>
      </c>
      <c r="G137" s="197"/>
      <c r="H137" s="215">
        <v>100000</v>
      </c>
      <c r="I137" s="199">
        <f t="shared" si="23"/>
        <v>75948851.370000005</v>
      </c>
      <c r="J137" s="205"/>
      <c r="K137" s="206"/>
      <c r="L137" s="206"/>
      <c r="M137" s="206"/>
      <c r="N137" s="206"/>
      <c r="O137" s="207"/>
      <c r="P137" s="203">
        <f t="shared" si="38"/>
        <v>0</v>
      </c>
      <c r="Q137" s="203">
        <f t="shared" si="38"/>
        <v>0</v>
      </c>
      <c r="R137" s="203">
        <f t="shared" si="38"/>
        <v>0</v>
      </c>
      <c r="S137" s="203">
        <f t="shared" si="38"/>
        <v>0</v>
      </c>
      <c r="T137" s="203">
        <f t="shared" si="38"/>
        <v>0</v>
      </c>
      <c r="U137" s="203">
        <f t="shared" si="38"/>
        <v>0</v>
      </c>
      <c r="V137" s="203">
        <f t="shared" si="38"/>
        <v>0</v>
      </c>
      <c r="W137" s="203">
        <f t="shared" si="38"/>
        <v>0</v>
      </c>
      <c r="X137" s="203">
        <f t="shared" si="38"/>
        <v>0</v>
      </c>
      <c r="Y137" s="203">
        <f t="shared" si="38"/>
        <v>0</v>
      </c>
      <c r="Z137" s="203">
        <f t="shared" si="38"/>
        <v>0</v>
      </c>
      <c r="AA137" s="203">
        <f t="shared" si="38"/>
        <v>0</v>
      </c>
      <c r="AB137" s="203">
        <f t="shared" si="38"/>
        <v>0</v>
      </c>
      <c r="AC137" s="203">
        <f t="shared" si="38"/>
        <v>0</v>
      </c>
      <c r="AD137" s="203">
        <f t="shared" si="38"/>
        <v>0</v>
      </c>
      <c r="AE137" s="203">
        <f t="shared" si="38"/>
        <v>0</v>
      </c>
      <c r="AF137" s="203">
        <f t="shared" si="38"/>
        <v>0</v>
      </c>
      <c r="AG137" s="203">
        <f t="shared" si="39"/>
        <v>0</v>
      </c>
      <c r="AH137" s="203">
        <f t="shared" si="39"/>
        <v>0</v>
      </c>
      <c r="AI137" s="203">
        <f t="shared" si="39"/>
        <v>0</v>
      </c>
      <c r="AJ137" s="203">
        <f t="shared" si="39"/>
        <v>100000</v>
      </c>
      <c r="AK137" s="203">
        <f t="shared" si="39"/>
        <v>0</v>
      </c>
      <c r="AL137" s="203">
        <f t="shared" si="39"/>
        <v>0</v>
      </c>
      <c r="AM137" s="203">
        <f t="shared" si="39"/>
        <v>0</v>
      </c>
      <c r="AN137" s="203">
        <f t="shared" si="39"/>
        <v>0</v>
      </c>
    </row>
    <row r="138" spans="2:40" x14ac:dyDescent="0.25">
      <c r="B138" s="192">
        <v>44908</v>
      </c>
      <c r="C138" s="194" t="s">
        <v>410</v>
      </c>
      <c r="D138" s="194" t="s">
        <v>57</v>
      </c>
      <c r="E138" s="204" t="s">
        <v>373</v>
      </c>
      <c r="F138" s="210" t="s">
        <v>54</v>
      </c>
      <c r="G138" s="197"/>
      <c r="H138" s="215">
        <v>40000</v>
      </c>
      <c r="I138" s="199">
        <f t="shared" si="23"/>
        <v>75908851.370000005</v>
      </c>
      <c r="J138" s="205"/>
      <c r="K138" s="206"/>
      <c r="L138" s="206"/>
      <c r="M138" s="206"/>
      <c r="N138" s="206"/>
      <c r="O138" s="207"/>
      <c r="P138" s="203">
        <f t="shared" si="38"/>
        <v>0</v>
      </c>
      <c r="Q138" s="203">
        <f t="shared" si="38"/>
        <v>0</v>
      </c>
      <c r="R138" s="203">
        <f t="shared" si="38"/>
        <v>0</v>
      </c>
      <c r="S138" s="203">
        <f t="shared" si="38"/>
        <v>0</v>
      </c>
      <c r="T138" s="203">
        <f t="shared" si="38"/>
        <v>0</v>
      </c>
      <c r="U138" s="203">
        <f t="shared" si="38"/>
        <v>0</v>
      </c>
      <c r="V138" s="203">
        <f t="shared" si="38"/>
        <v>40000</v>
      </c>
      <c r="W138" s="203">
        <f t="shared" si="38"/>
        <v>0</v>
      </c>
      <c r="X138" s="203">
        <f t="shared" si="38"/>
        <v>0</v>
      </c>
      <c r="Y138" s="203">
        <f t="shared" si="38"/>
        <v>0</v>
      </c>
      <c r="Z138" s="203">
        <f t="shared" si="38"/>
        <v>0</v>
      </c>
      <c r="AA138" s="203">
        <f t="shared" si="38"/>
        <v>0</v>
      </c>
      <c r="AB138" s="203">
        <f t="shared" si="38"/>
        <v>0</v>
      </c>
      <c r="AC138" s="203">
        <f t="shared" si="38"/>
        <v>0</v>
      </c>
      <c r="AD138" s="203">
        <f t="shared" si="38"/>
        <v>0</v>
      </c>
      <c r="AE138" s="203">
        <f t="shared" si="38"/>
        <v>0</v>
      </c>
      <c r="AF138" s="203">
        <f t="shared" si="38"/>
        <v>0</v>
      </c>
      <c r="AG138" s="203">
        <f t="shared" si="39"/>
        <v>0</v>
      </c>
      <c r="AH138" s="203">
        <f t="shared" si="39"/>
        <v>0</v>
      </c>
      <c r="AI138" s="203">
        <f t="shared" si="39"/>
        <v>0</v>
      </c>
      <c r="AJ138" s="203">
        <f t="shared" si="39"/>
        <v>0</v>
      </c>
      <c r="AK138" s="203">
        <f t="shared" si="39"/>
        <v>0</v>
      </c>
      <c r="AL138" s="203">
        <f t="shared" si="39"/>
        <v>0</v>
      </c>
      <c r="AM138" s="203">
        <f t="shared" si="39"/>
        <v>0</v>
      </c>
      <c r="AN138" s="203">
        <f t="shared" si="39"/>
        <v>0</v>
      </c>
    </row>
    <row r="139" spans="2:40" x14ac:dyDescent="0.25">
      <c r="B139" s="192">
        <v>44909</v>
      </c>
      <c r="C139" s="194" t="s">
        <v>351</v>
      </c>
      <c r="D139" s="194" t="s">
        <v>119</v>
      </c>
      <c r="E139" s="204" t="s">
        <v>374</v>
      </c>
      <c r="F139" s="210" t="s">
        <v>54</v>
      </c>
      <c r="G139" s="197"/>
      <c r="H139" s="215">
        <v>10000</v>
      </c>
      <c r="I139" s="199">
        <f t="shared" si="23"/>
        <v>75898851.370000005</v>
      </c>
      <c r="J139" s="205"/>
      <c r="K139" s="206"/>
      <c r="L139" s="206"/>
      <c r="M139" s="206"/>
      <c r="N139" s="206"/>
      <c r="O139" s="207"/>
      <c r="P139" s="203">
        <f t="shared" si="38"/>
        <v>0</v>
      </c>
      <c r="Q139" s="203">
        <f t="shared" si="38"/>
        <v>0</v>
      </c>
      <c r="R139" s="203">
        <f t="shared" si="38"/>
        <v>0</v>
      </c>
      <c r="S139" s="203">
        <f t="shared" si="38"/>
        <v>0</v>
      </c>
      <c r="T139" s="203">
        <f t="shared" si="38"/>
        <v>0</v>
      </c>
      <c r="U139" s="203">
        <f t="shared" si="38"/>
        <v>0</v>
      </c>
      <c r="V139" s="203">
        <f t="shared" si="38"/>
        <v>0</v>
      </c>
      <c r="W139" s="203">
        <f t="shared" si="38"/>
        <v>0</v>
      </c>
      <c r="X139" s="203">
        <f t="shared" si="38"/>
        <v>0</v>
      </c>
      <c r="Y139" s="203">
        <f t="shared" si="38"/>
        <v>0</v>
      </c>
      <c r="Z139" s="203">
        <f t="shared" si="38"/>
        <v>0</v>
      </c>
      <c r="AA139" s="203">
        <f t="shared" si="38"/>
        <v>0</v>
      </c>
      <c r="AB139" s="203">
        <f t="shared" si="38"/>
        <v>0</v>
      </c>
      <c r="AC139" s="203">
        <f t="shared" si="38"/>
        <v>0</v>
      </c>
      <c r="AD139" s="203">
        <f t="shared" si="38"/>
        <v>0</v>
      </c>
      <c r="AE139" s="203">
        <f t="shared" si="38"/>
        <v>0</v>
      </c>
      <c r="AF139" s="203">
        <f t="shared" si="38"/>
        <v>0</v>
      </c>
      <c r="AG139" s="203">
        <f t="shared" si="39"/>
        <v>10000</v>
      </c>
      <c r="AH139" s="203">
        <f t="shared" si="39"/>
        <v>0</v>
      </c>
      <c r="AI139" s="203">
        <f t="shared" si="39"/>
        <v>0</v>
      </c>
      <c r="AJ139" s="203">
        <f t="shared" si="39"/>
        <v>0</v>
      </c>
      <c r="AK139" s="203">
        <f t="shared" si="39"/>
        <v>0</v>
      </c>
      <c r="AL139" s="203">
        <f t="shared" si="39"/>
        <v>0</v>
      </c>
      <c r="AM139" s="203">
        <f t="shared" si="39"/>
        <v>0</v>
      </c>
      <c r="AN139" s="203">
        <f t="shared" si="39"/>
        <v>0</v>
      </c>
    </row>
    <row r="140" spans="2:40" ht="19" x14ac:dyDescent="0.25">
      <c r="B140" s="192">
        <v>44910</v>
      </c>
      <c r="C140" s="194" t="s">
        <v>393</v>
      </c>
      <c r="D140" s="194" t="s">
        <v>166</v>
      </c>
      <c r="E140" s="204" t="s">
        <v>375</v>
      </c>
      <c r="F140" s="210" t="s">
        <v>91</v>
      </c>
      <c r="G140" s="197"/>
      <c r="H140" s="215">
        <v>190000</v>
      </c>
      <c r="I140" s="199">
        <f t="shared" si="23"/>
        <v>75708851.370000005</v>
      </c>
      <c r="J140" s="205"/>
      <c r="K140" s="206"/>
      <c r="L140" s="206"/>
      <c r="M140" s="206"/>
      <c r="N140" s="206"/>
      <c r="O140" s="207"/>
      <c r="P140" s="208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4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79"/>
      <c r="AN140" s="45"/>
    </row>
    <row r="141" spans="2:40" x14ac:dyDescent="0.25">
      <c r="B141" s="192">
        <v>44910</v>
      </c>
      <c r="C141" s="194" t="s">
        <v>57</v>
      </c>
      <c r="D141" s="194" t="s">
        <v>57</v>
      </c>
      <c r="E141" s="204" t="s">
        <v>376</v>
      </c>
      <c r="F141" s="210" t="s">
        <v>130</v>
      </c>
      <c r="G141" s="197"/>
      <c r="H141" s="215">
        <v>126400</v>
      </c>
      <c r="I141" s="199">
        <f t="shared" si="23"/>
        <v>75582451.370000005</v>
      </c>
      <c r="J141" s="205"/>
      <c r="K141" s="206"/>
      <c r="L141" s="206"/>
      <c r="M141" s="206"/>
      <c r="N141" s="206"/>
      <c r="O141" s="207"/>
      <c r="P141" s="203">
        <f t="shared" ref="P141:AF144" si="40">IF($D141=P$13,$H141, 0)</f>
        <v>0</v>
      </c>
      <c r="Q141" s="203">
        <f t="shared" si="40"/>
        <v>0</v>
      </c>
      <c r="R141" s="203">
        <f t="shared" si="40"/>
        <v>0</v>
      </c>
      <c r="S141" s="203">
        <f t="shared" si="40"/>
        <v>0</v>
      </c>
      <c r="T141" s="203">
        <f t="shared" si="40"/>
        <v>0</v>
      </c>
      <c r="U141" s="203">
        <f t="shared" si="40"/>
        <v>0</v>
      </c>
      <c r="V141" s="203">
        <f t="shared" si="40"/>
        <v>126400</v>
      </c>
      <c r="W141" s="203">
        <f t="shared" si="40"/>
        <v>0</v>
      </c>
      <c r="X141" s="203">
        <f t="shared" si="40"/>
        <v>0</v>
      </c>
      <c r="Y141" s="203">
        <f t="shared" si="40"/>
        <v>0</v>
      </c>
      <c r="Z141" s="203">
        <f t="shared" si="40"/>
        <v>0</v>
      </c>
      <c r="AA141" s="203">
        <f t="shared" si="40"/>
        <v>0</v>
      </c>
      <c r="AB141" s="203">
        <f t="shared" si="40"/>
        <v>0</v>
      </c>
      <c r="AC141" s="203">
        <f t="shared" si="40"/>
        <v>0</v>
      </c>
      <c r="AD141" s="203">
        <f t="shared" si="40"/>
        <v>0</v>
      </c>
      <c r="AE141" s="203">
        <f t="shared" si="40"/>
        <v>0</v>
      </c>
      <c r="AF141" s="203">
        <f t="shared" si="40"/>
        <v>0</v>
      </c>
      <c r="AG141" s="203">
        <f t="shared" ref="AG141:AN144" si="41">IF($D141=AG$13,$H141, 0)</f>
        <v>0</v>
      </c>
      <c r="AH141" s="203">
        <f t="shared" si="41"/>
        <v>0</v>
      </c>
      <c r="AI141" s="203">
        <f t="shared" si="41"/>
        <v>0</v>
      </c>
      <c r="AJ141" s="203">
        <f t="shared" si="41"/>
        <v>0</v>
      </c>
      <c r="AK141" s="203">
        <f t="shared" si="41"/>
        <v>0</v>
      </c>
      <c r="AL141" s="203">
        <f t="shared" si="41"/>
        <v>0</v>
      </c>
      <c r="AM141" s="203">
        <f t="shared" si="41"/>
        <v>0</v>
      </c>
      <c r="AN141" s="203">
        <f t="shared" si="41"/>
        <v>0</v>
      </c>
    </row>
    <row r="142" spans="2:40" x14ac:dyDescent="0.25">
      <c r="B142" s="192">
        <v>44910</v>
      </c>
      <c r="C142" s="194" t="s">
        <v>401</v>
      </c>
      <c r="D142" s="194" t="s">
        <v>111</v>
      </c>
      <c r="E142" s="204" t="s">
        <v>377</v>
      </c>
      <c r="F142" s="210" t="s">
        <v>130</v>
      </c>
      <c r="G142" s="197"/>
      <c r="H142" s="215">
        <v>40000</v>
      </c>
      <c r="I142" s="199">
        <f t="shared" si="23"/>
        <v>75542451.370000005</v>
      </c>
      <c r="J142" s="205"/>
      <c r="K142" s="206"/>
      <c r="L142" s="206"/>
      <c r="M142" s="206"/>
      <c r="N142" s="206"/>
      <c r="O142" s="207"/>
      <c r="P142" s="203">
        <f t="shared" si="40"/>
        <v>0</v>
      </c>
      <c r="Q142" s="203">
        <f t="shared" si="40"/>
        <v>0</v>
      </c>
      <c r="R142" s="203">
        <f t="shared" si="40"/>
        <v>0</v>
      </c>
      <c r="S142" s="203">
        <f t="shared" si="40"/>
        <v>40000</v>
      </c>
      <c r="T142" s="203">
        <f t="shared" si="40"/>
        <v>0</v>
      </c>
      <c r="U142" s="203">
        <f t="shared" si="40"/>
        <v>0</v>
      </c>
      <c r="V142" s="203">
        <f t="shared" si="40"/>
        <v>0</v>
      </c>
      <c r="W142" s="203">
        <f t="shared" si="40"/>
        <v>0</v>
      </c>
      <c r="X142" s="203">
        <f t="shared" si="40"/>
        <v>0</v>
      </c>
      <c r="Y142" s="203">
        <f t="shared" si="40"/>
        <v>0</v>
      </c>
      <c r="Z142" s="203">
        <f t="shared" si="40"/>
        <v>0</v>
      </c>
      <c r="AA142" s="203">
        <f t="shared" si="40"/>
        <v>0</v>
      </c>
      <c r="AB142" s="203">
        <f t="shared" si="40"/>
        <v>0</v>
      </c>
      <c r="AC142" s="203">
        <f t="shared" si="40"/>
        <v>0</v>
      </c>
      <c r="AD142" s="203">
        <f t="shared" si="40"/>
        <v>0</v>
      </c>
      <c r="AE142" s="203">
        <f t="shared" si="40"/>
        <v>0</v>
      </c>
      <c r="AF142" s="203">
        <f t="shared" si="40"/>
        <v>0</v>
      </c>
      <c r="AG142" s="203">
        <f t="shared" si="41"/>
        <v>0</v>
      </c>
      <c r="AH142" s="203">
        <f t="shared" si="41"/>
        <v>0</v>
      </c>
      <c r="AI142" s="203">
        <f t="shared" si="41"/>
        <v>0</v>
      </c>
      <c r="AJ142" s="203">
        <f t="shared" si="41"/>
        <v>0</v>
      </c>
      <c r="AK142" s="203">
        <f t="shared" si="41"/>
        <v>0</v>
      </c>
      <c r="AL142" s="203">
        <f t="shared" si="41"/>
        <v>0</v>
      </c>
      <c r="AM142" s="203">
        <f t="shared" si="41"/>
        <v>0</v>
      </c>
      <c r="AN142" s="203">
        <f t="shared" si="41"/>
        <v>0</v>
      </c>
    </row>
    <row r="143" spans="2:40" x14ac:dyDescent="0.25">
      <c r="B143" s="192">
        <v>44910</v>
      </c>
      <c r="C143" s="194" t="s">
        <v>404</v>
      </c>
      <c r="D143" s="194" t="s">
        <v>417</v>
      </c>
      <c r="E143" s="204" t="s">
        <v>378</v>
      </c>
      <c r="F143" s="210" t="s">
        <v>130</v>
      </c>
      <c r="G143" s="197"/>
      <c r="H143" s="215">
        <v>3660000</v>
      </c>
      <c r="I143" s="199">
        <f t="shared" si="23"/>
        <v>71882451.370000005</v>
      </c>
      <c r="J143" s="205"/>
      <c r="K143" s="206"/>
      <c r="L143" s="206"/>
      <c r="M143" s="206"/>
      <c r="N143" s="206"/>
      <c r="O143" s="207"/>
      <c r="P143" s="203">
        <f t="shared" si="40"/>
        <v>0</v>
      </c>
      <c r="Q143" s="203">
        <f t="shared" si="40"/>
        <v>0</v>
      </c>
      <c r="R143" s="203">
        <f t="shared" si="40"/>
        <v>0</v>
      </c>
      <c r="S143" s="203">
        <f t="shared" si="40"/>
        <v>0</v>
      </c>
      <c r="T143" s="203">
        <f t="shared" si="40"/>
        <v>0</v>
      </c>
      <c r="U143" s="203">
        <f t="shared" si="40"/>
        <v>0</v>
      </c>
      <c r="V143" s="203">
        <f t="shared" si="40"/>
        <v>0</v>
      </c>
      <c r="W143" s="203">
        <f t="shared" si="40"/>
        <v>0</v>
      </c>
      <c r="X143" s="203">
        <f t="shared" si="40"/>
        <v>0</v>
      </c>
      <c r="Y143" s="203">
        <f t="shared" si="40"/>
        <v>0</v>
      </c>
      <c r="Z143" s="203">
        <f t="shared" si="40"/>
        <v>0</v>
      </c>
      <c r="AA143" s="203">
        <f t="shared" si="40"/>
        <v>0</v>
      </c>
      <c r="AB143" s="203">
        <f t="shared" si="40"/>
        <v>0</v>
      </c>
      <c r="AC143" s="203">
        <f t="shared" si="40"/>
        <v>0</v>
      </c>
      <c r="AD143" s="203">
        <f t="shared" si="40"/>
        <v>0</v>
      </c>
      <c r="AE143" s="203">
        <f t="shared" si="40"/>
        <v>0</v>
      </c>
      <c r="AF143" s="203">
        <f t="shared" si="40"/>
        <v>0</v>
      </c>
      <c r="AG143" s="203">
        <f t="shared" si="41"/>
        <v>0</v>
      </c>
      <c r="AH143" s="203">
        <f t="shared" si="41"/>
        <v>0</v>
      </c>
      <c r="AI143" s="203">
        <f t="shared" si="41"/>
        <v>0</v>
      </c>
      <c r="AJ143" s="203">
        <f t="shared" si="41"/>
        <v>0</v>
      </c>
      <c r="AK143" s="203">
        <f t="shared" si="41"/>
        <v>0</v>
      </c>
      <c r="AL143" s="203">
        <f t="shared" si="41"/>
        <v>0</v>
      </c>
      <c r="AM143" s="203">
        <f t="shared" si="41"/>
        <v>0</v>
      </c>
      <c r="AN143" s="203">
        <f t="shared" si="41"/>
        <v>0</v>
      </c>
    </row>
    <row r="144" spans="2:40" x14ac:dyDescent="0.25">
      <c r="B144" s="192">
        <v>44915</v>
      </c>
      <c r="C144" s="194" t="s">
        <v>395</v>
      </c>
      <c r="D144" s="194" t="s">
        <v>57</v>
      </c>
      <c r="E144" s="204" t="s">
        <v>379</v>
      </c>
      <c r="F144" s="210" t="s">
        <v>130</v>
      </c>
      <c r="G144" s="197"/>
      <c r="H144" s="215">
        <v>427000</v>
      </c>
      <c r="I144" s="199">
        <f t="shared" si="23"/>
        <v>71455451.370000005</v>
      </c>
      <c r="J144" s="205"/>
      <c r="K144" s="206"/>
      <c r="L144" s="206"/>
      <c r="M144" s="206"/>
      <c r="N144" s="206"/>
      <c r="O144" s="207"/>
      <c r="P144" s="203">
        <f t="shared" si="40"/>
        <v>0</v>
      </c>
      <c r="Q144" s="203">
        <f t="shared" si="40"/>
        <v>0</v>
      </c>
      <c r="R144" s="203">
        <f t="shared" si="40"/>
        <v>0</v>
      </c>
      <c r="S144" s="203">
        <f t="shared" si="40"/>
        <v>0</v>
      </c>
      <c r="T144" s="203">
        <f t="shared" si="40"/>
        <v>0</v>
      </c>
      <c r="U144" s="203">
        <f t="shared" si="40"/>
        <v>0</v>
      </c>
      <c r="V144" s="203">
        <f t="shared" si="40"/>
        <v>427000</v>
      </c>
      <c r="W144" s="203">
        <f t="shared" si="40"/>
        <v>0</v>
      </c>
      <c r="X144" s="203">
        <f t="shared" si="40"/>
        <v>0</v>
      </c>
      <c r="Y144" s="203">
        <f t="shared" si="40"/>
        <v>0</v>
      </c>
      <c r="Z144" s="203">
        <f t="shared" si="40"/>
        <v>0</v>
      </c>
      <c r="AA144" s="203">
        <f t="shared" si="40"/>
        <v>0</v>
      </c>
      <c r="AB144" s="203">
        <f t="shared" si="40"/>
        <v>0</v>
      </c>
      <c r="AC144" s="203">
        <f t="shared" si="40"/>
        <v>0</v>
      </c>
      <c r="AD144" s="203">
        <f t="shared" si="40"/>
        <v>0</v>
      </c>
      <c r="AE144" s="203">
        <f t="shared" si="40"/>
        <v>0</v>
      </c>
      <c r="AF144" s="203">
        <f t="shared" si="40"/>
        <v>0</v>
      </c>
      <c r="AG144" s="203">
        <f t="shared" si="41"/>
        <v>0</v>
      </c>
      <c r="AH144" s="203">
        <f t="shared" si="41"/>
        <v>0</v>
      </c>
      <c r="AI144" s="203">
        <f t="shared" si="41"/>
        <v>0</v>
      </c>
      <c r="AJ144" s="203">
        <f t="shared" si="41"/>
        <v>0</v>
      </c>
      <c r="AK144" s="203">
        <f t="shared" si="41"/>
        <v>0</v>
      </c>
      <c r="AL144" s="203">
        <f t="shared" si="41"/>
        <v>0</v>
      </c>
      <c r="AM144" s="203">
        <f t="shared" si="41"/>
        <v>0</v>
      </c>
      <c r="AN144" s="203">
        <f t="shared" si="41"/>
        <v>0</v>
      </c>
    </row>
    <row r="145" spans="2:40" x14ac:dyDescent="0.25">
      <c r="B145" s="192">
        <v>44918</v>
      </c>
      <c r="C145" s="194" t="s">
        <v>409</v>
      </c>
      <c r="D145" s="194"/>
      <c r="E145" s="204" t="s">
        <v>380</v>
      </c>
      <c r="F145" s="210"/>
      <c r="G145" s="197"/>
      <c r="H145" s="215">
        <v>40000</v>
      </c>
      <c r="I145" s="199">
        <f t="shared" si="23"/>
        <v>71415451.370000005</v>
      </c>
      <c r="J145" s="205"/>
      <c r="K145" s="206"/>
      <c r="L145" s="206"/>
      <c r="M145" s="206"/>
      <c r="N145" s="206"/>
      <c r="O145" s="207"/>
      <c r="P145" s="208"/>
      <c r="Q145" s="11"/>
      <c r="R145" s="11"/>
      <c r="S145" s="11"/>
      <c r="T145" s="11"/>
      <c r="U145" s="11"/>
      <c r="V145" s="11"/>
      <c r="W145" s="11"/>
      <c r="X145" s="11"/>
      <c r="Y145" s="16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79"/>
      <c r="AN145" s="45"/>
    </row>
    <row r="146" spans="2:40" x14ac:dyDescent="0.25">
      <c r="B146" s="192"/>
      <c r="C146" s="194"/>
      <c r="D146" s="194"/>
      <c r="E146" s="204" t="s">
        <v>381</v>
      </c>
      <c r="F146" s="210"/>
      <c r="G146" s="197"/>
      <c r="H146" s="215">
        <v>0</v>
      </c>
      <c r="I146" s="199">
        <f t="shared" si="23"/>
        <v>71415451.370000005</v>
      </c>
      <c r="J146" s="205"/>
      <c r="K146" s="206"/>
      <c r="L146" s="206"/>
      <c r="M146" s="206"/>
      <c r="N146" s="206"/>
      <c r="O146" s="207"/>
      <c r="P146" s="208"/>
      <c r="Q146" s="11"/>
      <c r="R146" s="11"/>
      <c r="S146" s="11"/>
      <c r="T146" s="11"/>
      <c r="U146" s="11"/>
      <c r="V146" s="11"/>
      <c r="W146" s="11"/>
      <c r="X146" s="11"/>
      <c r="Y146" s="16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79"/>
      <c r="AN146" s="45"/>
    </row>
    <row r="147" spans="2:40" x14ac:dyDescent="0.25">
      <c r="B147" s="192"/>
      <c r="C147" s="194"/>
      <c r="D147" s="194"/>
      <c r="E147" s="204" t="s">
        <v>382</v>
      </c>
      <c r="F147" s="210"/>
      <c r="G147" s="197"/>
      <c r="H147" s="215"/>
      <c r="I147" s="199">
        <f t="shared" si="23"/>
        <v>71415451.370000005</v>
      </c>
      <c r="J147" s="205"/>
      <c r="K147" s="206"/>
      <c r="L147" s="206"/>
      <c r="M147" s="206"/>
      <c r="N147" s="206"/>
      <c r="O147" s="207"/>
      <c r="P147" s="208"/>
      <c r="Q147" s="11"/>
      <c r="R147" s="11"/>
      <c r="S147" s="11"/>
      <c r="T147" s="11"/>
      <c r="U147" s="11"/>
      <c r="V147" s="11"/>
      <c r="W147" s="11"/>
      <c r="X147" s="11"/>
      <c r="Y147" s="16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79"/>
      <c r="AN147" s="45"/>
    </row>
    <row r="148" spans="2:40" x14ac:dyDescent="0.25">
      <c r="B148" s="192"/>
      <c r="C148" s="194"/>
      <c r="D148" s="194"/>
      <c r="E148" s="204" t="s">
        <v>383</v>
      </c>
      <c r="F148" s="210"/>
      <c r="G148" s="197"/>
      <c r="H148" s="215"/>
      <c r="I148" s="199">
        <f t="shared" si="23"/>
        <v>71415451.370000005</v>
      </c>
      <c r="J148" s="205"/>
      <c r="K148" s="206"/>
      <c r="L148" s="206"/>
      <c r="M148" s="206"/>
      <c r="N148" s="206"/>
      <c r="O148" s="207"/>
      <c r="P148" s="208"/>
      <c r="Q148" s="11"/>
      <c r="R148" s="11"/>
      <c r="S148" s="11"/>
      <c r="T148" s="11"/>
      <c r="U148" s="11"/>
      <c r="V148" s="11"/>
      <c r="W148" s="11"/>
      <c r="X148" s="11"/>
      <c r="Y148" s="16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79"/>
      <c r="AN148" s="45"/>
    </row>
    <row r="149" spans="2:40" x14ac:dyDescent="0.25">
      <c r="B149" s="192"/>
      <c r="C149" s="194"/>
      <c r="D149" s="194"/>
      <c r="E149" s="204" t="s">
        <v>384</v>
      </c>
      <c r="F149" s="210"/>
      <c r="G149" s="197"/>
      <c r="H149" s="215"/>
      <c r="I149" s="199">
        <f t="shared" ref="I149:I212" si="42">I148+G149-H149</f>
        <v>71415451.370000005</v>
      </c>
      <c r="J149" s="205"/>
      <c r="K149" s="206"/>
      <c r="L149" s="206"/>
      <c r="M149" s="206"/>
      <c r="N149" s="206"/>
      <c r="O149" s="207"/>
      <c r="P149" s="208"/>
      <c r="Q149" s="11"/>
      <c r="R149" s="11"/>
      <c r="S149" s="11"/>
      <c r="T149" s="11"/>
      <c r="U149" s="11"/>
      <c r="V149" s="11"/>
      <c r="W149" s="14"/>
      <c r="X149" s="11"/>
      <c r="Y149" s="14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79"/>
      <c r="AN149" s="45"/>
    </row>
    <row r="150" spans="2:40" x14ac:dyDescent="0.25">
      <c r="B150" s="192"/>
      <c r="C150" s="194"/>
      <c r="D150" s="194"/>
      <c r="E150" s="204" t="s">
        <v>385</v>
      </c>
      <c r="F150" s="210"/>
      <c r="G150" s="197"/>
      <c r="H150" s="215"/>
      <c r="I150" s="199">
        <f t="shared" si="42"/>
        <v>71415451.370000005</v>
      </c>
      <c r="J150" s="205"/>
      <c r="K150" s="206"/>
      <c r="L150" s="206"/>
      <c r="M150" s="206"/>
      <c r="N150" s="206"/>
      <c r="O150" s="207"/>
      <c r="P150" s="208"/>
      <c r="Q150" s="11"/>
      <c r="R150" s="11"/>
      <c r="S150" s="11"/>
      <c r="T150" s="11"/>
      <c r="U150" s="11"/>
      <c r="V150" s="11"/>
      <c r="W150" s="11"/>
      <c r="X150" s="11"/>
      <c r="Y150" s="16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79"/>
      <c r="AN150" s="45"/>
    </row>
    <row r="151" spans="2:40" x14ac:dyDescent="0.25">
      <c r="B151" s="192"/>
      <c r="C151" s="194"/>
      <c r="D151" s="194"/>
      <c r="E151" s="204" t="s">
        <v>386</v>
      </c>
      <c r="F151" s="210"/>
      <c r="G151" s="197"/>
      <c r="H151" s="215"/>
      <c r="I151" s="199">
        <f t="shared" si="42"/>
        <v>71415451.370000005</v>
      </c>
      <c r="J151" s="205"/>
      <c r="K151" s="206"/>
      <c r="L151" s="206"/>
      <c r="M151" s="206"/>
      <c r="N151" s="206"/>
      <c r="O151" s="207"/>
      <c r="P151" s="208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79"/>
      <c r="AN151" s="45"/>
    </row>
    <row r="152" spans="2:40" x14ac:dyDescent="0.25">
      <c r="B152" s="192"/>
      <c r="C152" s="194"/>
      <c r="D152" s="194"/>
      <c r="E152" s="204" t="s">
        <v>387</v>
      </c>
      <c r="F152" s="210"/>
      <c r="G152" s="197"/>
      <c r="H152" s="215"/>
      <c r="I152" s="199">
        <f t="shared" si="42"/>
        <v>71415451.370000005</v>
      </c>
      <c r="J152" s="205"/>
      <c r="K152" s="206"/>
      <c r="L152" s="206"/>
      <c r="M152" s="206"/>
      <c r="N152" s="206"/>
      <c r="O152" s="207"/>
      <c r="P152" s="208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4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79"/>
      <c r="AN152" s="45"/>
    </row>
    <row r="153" spans="2:40" x14ac:dyDescent="0.25">
      <c r="B153" s="192"/>
      <c r="C153" s="194"/>
      <c r="D153" s="194"/>
      <c r="E153" s="204"/>
      <c r="F153" s="210"/>
      <c r="G153" s="197"/>
      <c r="H153" s="215"/>
      <c r="I153" s="199">
        <f t="shared" si="42"/>
        <v>71415451.370000005</v>
      </c>
      <c r="J153" s="205"/>
      <c r="K153" s="206"/>
      <c r="L153" s="206"/>
      <c r="M153" s="206"/>
      <c r="N153" s="206"/>
      <c r="O153" s="207"/>
      <c r="P153" s="208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4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79"/>
      <c r="AN153" s="45"/>
    </row>
    <row r="154" spans="2:40" x14ac:dyDescent="0.25">
      <c r="B154" s="192"/>
      <c r="C154" s="194"/>
      <c r="D154" s="194"/>
      <c r="E154" s="204"/>
      <c r="F154" s="210"/>
      <c r="G154" s="197"/>
      <c r="H154" s="215"/>
      <c r="I154" s="199">
        <f t="shared" si="42"/>
        <v>71415451.370000005</v>
      </c>
      <c r="J154" s="205"/>
      <c r="K154" s="206"/>
      <c r="L154" s="206"/>
      <c r="M154" s="206"/>
      <c r="N154" s="206"/>
      <c r="O154" s="207"/>
      <c r="P154" s="208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4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79"/>
      <c r="AN154" s="45"/>
    </row>
    <row r="155" spans="2:40" x14ac:dyDescent="0.25">
      <c r="B155" s="192"/>
      <c r="C155" s="194"/>
      <c r="D155" s="194"/>
      <c r="E155" s="204"/>
      <c r="F155" s="210"/>
      <c r="G155" s="197"/>
      <c r="H155" s="215"/>
      <c r="I155" s="199">
        <f t="shared" si="42"/>
        <v>71415451.370000005</v>
      </c>
      <c r="J155" s="205"/>
      <c r="K155" s="206"/>
      <c r="L155" s="206"/>
      <c r="M155" s="206"/>
      <c r="N155" s="206"/>
      <c r="O155" s="207"/>
      <c r="P155" s="208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4"/>
      <c r="AB155" s="14"/>
      <c r="AC155" s="14"/>
      <c r="AD155" s="14"/>
      <c r="AE155" s="14"/>
      <c r="AF155" s="11"/>
      <c r="AG155" s="11"/>
      <c r="AH155" s="11"/>
      <c r="AI155" s="11"/>
      <c r="AJ155" s="11"/>
      <c r="AK155" s="11"/>
      <c r="AL155" s="11"/>
      <c r="AM155" s="79"/>
      <c r="AN155" s="45"/>
    </row>
    <row r="156" spans="2:40" x14ac:dyDescent="0.25">
      <c r="B156" s="192"/>
      <c r="C156" s="194"/>
      <c r="D156" s="194"/>
      <c r="E156" s="204"/>
      <c r="F156" s="210"/>
      <c r="G156" s="197"/>
      <c r="H156" s="215"/>
      <c r="I156" s="199">
        <f t="shared" si="42"/>
        <v>71415451.370000005</v>
      </c>
      <c r="J156" s="205"/>
      <c r="K156" s="206"/>
      <c r="L156" s="206"/>
      <c r="M156" s="206"/>
      <c r="N156" s="206"/>
      <c r="O156" s="207"/>
      <c r="P156" s="208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79"/>
      <c r="AN156" s="45"/>
    </row>
    <row r="157" spans="2:40" x14ac:dyDescent="0.25">
      <c r="B157" s="192"/>
      <c r="C157" s="194"/>
      <c r="D157" s="194"/>
      <c r="E157" s="204"/>
      <c r="F157" s="210"/>
      <c r="G157" s="197"/>
      <c r="H157" s="215"/>
      <c r="I157" s="199">
        <f t="shared" si="42"/>
        <v>71415451.370000005</v>
      </c>
      <c r="J157" s="205"/>
      <c r="K157" s="206"/>
      <c r="L157" s="206"/>
      <c r="M157" s="206"/>
      <c r="N157" s="206"/>
      <c r="O157" s="207"/>
      <c r="P157" s="208"/>
      <c r="Q157" s="11"/>
      <c r="R157" s="11"/>
      <c r="S157" s="11"/>
      <c r="T157" s="11"/>
      <c r="U157" s="11"/>
      <c r="V157" s="11"/>
      <c r="W157" s="11"/>
      <c r="X157" s="14"/>
      <c r="Y157" s="14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79"/>
      <c r="AN157" s="45"/>
    </row>
    <row r="158" spans="2:40" x14ac:dyDescent="0.25">
      <c r="B158" s="192"/>
      <c r="C158" s="194"/>
      <c r="D158" s="194"/>
      <c r="E158" s="204"/>
      <c r="F158" s="210"/>
      <c r="G158" s="197"/>
      <c r="H158" s="215"/>
      <c r="I158" s="199">
        <f t="shared" si="42"/>
        <v>71415451.370000005</v>
      </c>
      <c r="J158" s="205"/>
      <c r="K158" s="206"/>
      <c r="L158" s="206"/>
      <c r="M158" s="206"/>
      <c r="N158" s="206"/>
      <c r="O158" s="207"/>
      <c r="P158" s="208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6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79"/>
      <c r="AN158" s="45"/>
    </row>
    <row r="159" spans="2:40" x14ac:dyDescent="0.25">
      <c r="B159" s="192"/>
      <c r="C159" s="194"/>
      <c r="D159" s="194"/>
      <c r="E159" s="204"/>
      <c r="F159" s="210"/>
      <c r="G159" s="197"/>
      <c r="H159" s="215"/>
      <c r="I159" s="199">
        <f t="shared" si="42"/>
        <v>71415451.370000005</v>
      </c>
      <c r="J159" s="205"/>
      <c r="K159" s="206"/>
      <c r="L159" s="206"/>
      <c r="M159" s="206"/>
      <c r="N159" s="206"/>
      <c r="O159" s="207"/>
      <c r="P159" s="208"/>
      <c r="Q159" s="11"/>
      <c r="R159" s="11"/>
      <c r="S159" s="11"/>
      <c r="T159" s="11"/>
      <c r="U159" s="11"/>
      <c r="V159" s="14"/>
      <c r="W159" s="11"/>
      <c r="X159" s="11"/>
      <c r="Y159" s="11"/>
      <c r="Z159" s="11"/>
      <c r="AA159" s="14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79"/>
      <c r="AN159" s="45"/>
    </row>
    <row r="160" spans="2:40" x14ac:dyDescent="0.25">
      <c r="B160" s="192"/>
      <c r="C160" s="194"/>
      <c r="D160" s="194"/>
      <c r="E160" s="204"/>
      <c r="F160" s="210"/>
      <c r="G160" s="197"/>
      <c r="H160" s="215"/>
      <c r="I160" s="199">
        <f t="shared" si="42"/>
        <v>71415451.370000005</v>
      </c>
      <c r="J160" s="205"/>
      <c r="K160" s="206"/>
      <c r="L160" s="206"/>
      <c r="M160" s="206"/>
      <c r="N160" s="206"/>
      <c r="O160" s="207"/>
      <c r="P160" s="208"/>
      <c r="Q160" s="11"/>
      <c r="R160" s="11"/>
      <c r="S160" s="11"/>
      <c r="T160" s="11"/>
      <c r="U160" s="11"/>
      <c r="V160" s="11"/>
      <c r="W160" s="11"/>
      <c r="X160" s="11"/>
      <c r="Y160" s="11"/>
      <c r="Z160" s="14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79"/>
      <c r="AN160" s="45"/>
    </row>
    <row r="161" spans="2:40" x14ac:dyDescent="0.25">
      <c r="B161" s="192"/>
      <c r="C161" s="194"/>
      <c r="D161" s="194"/>
      <c r="E161" s="204"/>
      <c r="F161" s="210"/>
      <c r="G161" s="197"/>
      <c r="H161" s="215"/>
      <c r="I161" s="199">
        <f t="shared" si="42"/>
        <v>71415451.370000005</v>
      </c>
      <c r="J161" s="205"/>
      <c r="K161" s="206"/>
      <c r="L161" s="206"/>
      <c r="M161" s="206"/>
      <c r="N161" s="206"/>
      <c r="O161" s="207"/>
      <c r="P161" s="208"/>
      <c r="Q161" s="11"/>
      <c r="R161" s="11"/>
      <c r="S161" s="11"/>
      <c r="T161" s="11"/>
      <c r="U161" s="11"/>
      <c r="V161" s="11"/>
      <c r="W161" s="11"/>
      <c r="X161" s="11"/>
      <c r="Y161" s="11"/>
      <c r="Z161" s="14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79"/>
      <c r="AN161" s="45"/>
    </row>
    <row r="162" spans="2:40" x14ac:dyDescent="0.25">
      <c r="B162" s="192"/>
      <c r="C162" s="194"/>
      <c r="D162" s="194"/>
      <c r="E162" s="204"/>
      <c r="F162" s="210"/>
      <c r="G162" s="197"/>
      <c r="H162" s="215"/>
      <c r="I162" s="199">
        <f t="shared" si="42"/>
        <v>71415451.370000005</v>
      </c>
      <c r="J162" s="205"/>
      <c r="K162" s="206"/>
      <c r="L162" s="206"/>
      <c r="M162" s="206"/>
      <c r="N162" s="206"/>
      <c r="O162" s="207"/>
      <c r="P162" s="219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79"/>
      <c r="AN162" s="45"/>
    </row>
    <row r="163" spans="2:40" x14ac:dyDescent="0.25">
      <c r="B163" s="192"/>
      <c r="C163" s="194"/>
      <c r="D163" s="194"/>
      <c r="E163" s="204"/>
      <c r="F163" s="210"/>
      <c r="G163" s="197"/>
      <c r="H163" s="215"/>
      <c r="I163" s="199">
        <f t="shared" si="42"/>
        <v>71415451.370000005</v>
      </c>
      <c r="J163" s="205"/>
      <c r="K163" s="206"/>
      <c r="L163" s="206"/>
      <c r="M163" s="206"/>
      <c r="N163" s="206"/>
      <c r="O163" s="207"/>
      <c r="P163" s="208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79"/>
      <c r="AN163" s="45"/>
    </row>
    <row r="164" spans="2:40" x14ac:dyDescent="0.25">
      <c r="B164" s="192"/>
      <c r="C164" s="194"/>
      <c r="D164" s="194"/>
      <c r="E164" s="204"/>
      <c r="F164" s="210"/>
      <c r="G164" s="197"/>
      <c r="H164" s="215"/>
      <c r="I164" s="199">
        <f t="shared" si="42"/>
        <v>71415451.370000005</v>
      </c>
      <c r="J164" s="205"/>
      <c r="K164" s="206"/>
      <c r="L164" s="206"/>
      <c r="M164" s="206"/>
      <c r="N164" s="206"/>
      <c r="O164" s="207"/>
      <c r="P164" s="208"/>
      <c r="Q164" s="11"/>
      <c r="R164" s="11"/>
      <c r="S164" s="15"/>
      <c r="T164" s="15"/>
      <c r="U164" s="15"/>
      <c r="V164" s="11"/>
      <c r="W164" s="11"/>
      <c r="X164" s="11"/>
      <c r="Y164" s="11"/>
      <c r="Z164" s="11"/>
      <c r="AA164" s="11"/>
      <c r="AB164" s="15"/>
      <c r="AC164" s="15"/>
      <c r="AD164" s="15"/>
      <c r="AE164" s="15"/>
      <c r="AF164" s="11"/>
      <c r="AG164" s="11"/>
      <c r="AH164" s="11"/>
      <c r="AI164" s="11"/>
      <c r="AJ164" s="11"/>
      <c r="AK164" s="11"/>
      <c r="AL164" s="11"/>
      <c r="AM164" s="79"/>
      <c r="AN164" s="45"/>
    </row>
    <row r="165" spans="2:40" x14ac:dyDescent="0.25">
      <c r="B165" s="192"/>
      <c r="C165" s="194"/>
      <c r="D165" s="194"/>
      <c r="E165" s="204"/>
      <c r="F165" s="210"/>
      <c r="G165" s="197"/>
      <c r="H165" s="215"/>
      <c r="I165" s="199">
        <f t="shared" si="42"/>
        <v>71415451.370000005</v>
      </c>
      <c r="J165" s="205"/>
      <c r="K165" s="206"/>
      <c r="L165" s="206"/>
      <c r="M165" s="206"/>
      <c r="N165" s="206"/>
      <c r="O165" s="207"/>
      <c r="P165" s="208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79"/>
      <c r="AN165" s="45"/>
    </row>
    <row r="166" spans="2:40" x14ac:dyDescent="0.25">
      <c r="B166" s="192"/>
      <c r="C166" s="194"/>
      <c r="D166" s="194"/>
      <c r="E166" s="204"/>
      <c r="F166" s="210"/>
      <c r="G166" s="197"/>
      <c r="H166" s="215"/>
      <c r="I166" s="199">
        <f t="shared" si="42"/>
        <v>71415451.370000005</v>
      </c>
      <c r="J166" s="205"/>
      <c r="K166" s="206"/>
      <c r="L166" s="206"/>
      <c r="M166" s="206"/>
      <c r="N166" s="206"/>
      <c r="O166" s="207"/>
      <c r="P166" s="208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4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79"/>
      <c r="AN166" s="45"/>
    </row>
    <row r="167" spans="2:40" x14ac:dyDescent="0.25">
      <c r="B167" s="192"/>
      <c r="C167" s="194"/>
      <c r="D167" s="194"/>
      <c r="E167" s="204"/>
      <c r="F167" s="210"/>
      <c r="G167" s="197"/>
      <c r="H167" s="215"/>
      <c r="I167" s="199">
        <f t="shared" si="42"/>
        <v>71415451.370000005</v>
      </c>
      <c r="J167" s="205"/>
      <c r="K167" s="206"/>
      <c r="L167" s="206"/>
      <c r="M167" s="206"/>
      <c r="N167" s="206"/>
      <c r="O167" s="207"/>
      <c r="P167" s="208"/>
      <c r="Q167" s="11"/>
      <c r="R167" s="11"/>
      <c r="S167" s="11"/>
      <c r="T167" s="11"/>
      <c r="U167" s="11"/>
      <c r="V167" s="11"/>
      <c r="W167" s="11"/>
      <c r="X167" s="11"/>
      <c r="Y167" s="16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79"/>
      <c r="AN167" s="45"/>
    </row>
    <row r="168" spans="2:40" x14ac:dyDescent="0.25">
      <c r="B168" s="192"/>
      <c r="C168" s="194"/>
      <c r="D168" s="194"/>
      <c r="E168" s="204"/>
      <c r="F168" s="210"/>
      <c r="G168" s="197"/>
      <c r="H168" s="215"/>
      <c r="I168" s="199">
        <f t="shared" si="42"/>
        <v>71415451.370000005</v>
      </c>
      <c r="J168" s="205"/>
      <c r="K168" s="206"/>
      <c r="L168" s="206"/>
      <c r="M168" s="206"/>
      <c r="N168" s="206"/>
      <c r="O168" s="207"/>
      <c r="P168" s="208"/>
      <c r="Q168" s="11"/>
      <c r="R168" s="11"/>
      <c r="S168" s="11"/>
      <c r="T168" s="11"/>
      <c r="U168" s="11"/>
      <c r="V168" s="11"/>
      <c r="W168" s="14"/>
      <c r="X168" s="14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79"/>
      <c r="AN168" s="45"/>
    </row>
    <row r="169" spans="2:40" x14ac:dyDescent="0.25">
      <c r="B169" s="192"/>
      <c r="C169" s="194"/>
      <c r="D169" s="194"/>
      <c r="E169" s="204"/>
      <c r="F169" s="210"/>
      <c r="G169" s="197"/>
      <c r="H169" s="215"/>
      <c r="I169" s="199">
        <f t="shared" si="42"/>
        <v>71415451.370000005</v>
      </c>
      <c r="J169" s="205"/>
      <c r="K169" s="206"/>
      <c r="L169" s="206"/>
      <c r="M169" s="206"/>
      <c r="N169" s="206"/>
      <c r="O169" s="207"/>
      <c r="P169" s="208"/>
      <c r="Q169" s="11"/>
      <c r="R169" s="11"/>
      <c r="S169" s="11"/>
      <c r="T169" s="11"/>
      <c r="U169" s="11"/>
      <c r="V169" s="11"/>
      <c r="W169" s="11"/>
      <c r="X169" s="11"/>
      <c r="Y169" s="16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79"/>
      <c r="AN169" s="45"/>
    </row>
    <row r="170" spans="2:40" x14ac:dyDescent="0.25">
      <c r="B170" s="192"/>
      <c r="C170" s="194"/>
      <c r="D170" s="194"/>
      <c r="E170" s="204"/>
      <c r="F170" s="210"/>
      <c r="G170" s="197"/>
      <c r="H170" s="215"/>
      <c r="I170" s="199">
        <f t="shared" si="42"/>
        <v>71415451.370000005</v>
      </c>
      <c r="J170" s="205"/>
      <c r="K170" s="206"/>
      <c r="L170" s="206"/>
      <c r="M170" s="206"/>
      <c r="N170" s="206"/>
      <c r="O170" s="207"/>
      <c r="P170" s="208"/>
      <c r="Q170" s="11"/>
      <c r="R170" s="11"/>
      <c r="S170" s="11"/>
      <c r="T170" s="11"/>
      <c r="U170" s="11"/>
      <c r="V170" s="11"/>
      <c r="W170" s="11"/>
      <c r="X170" s="11"/>
      <c r="Y170" s="16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79"/>
      <c r="AN170" s="45"/>
    </row>
    <row r="171" spans="2:40" x14ac:dyDescent="0.25">
      <c r="B171" s="192"/>
      <c r="C171" s="194"/>
      <c r="D171" s="194"/>
      <c r="E171" s="204"/>
      <c r="F171" s="210"/>
      <c r="G171" s="197"/>
      <c r="H171" s="215"/>
      <c r="I171" s="199">
        <f t="shared" si="42"/>
        <v>71415451.370000005</v>
      </c>
      <c r="J171" s="205"/>
      <c r="K171" s="206"/>
      <c r="L171" s="206"/>
      <c r="M171" s="206"/>
      <c r="N171" s="206"/>
      <c r="O171" s="207"/>
      <c r="P171" s="208"/>
      <c r="Q171" s="11"/>
      <c r="R171" s="11"/>
      <c r="S171" s="11"/>
      <c r="T171" s="11"/>
      <c r="U171" s="11"/>
      <c r="V171" s="11"/>
      <c r="W171" s="11"/>
      <c r="X171" s="11"/>
      <c r="Y171" s="16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79"/>
      <c r="AN171" s="45"/>
    </row>
    <row r="172" spans="2:40" x14ac:dyDescent="0.25">
      <c r="B172" s="192"/>
      <c r="C172" s="194"/>
      <c r="D172" s="194"/>
      <c r="E172" s="204"/>
      <c r="F172" s="210"/>
      <c r="G172" s="197"/>
      <c r="H172" s="215"/>
      <c r="I172" s="199">
        <f t="shared" si="42"/>
        <v>71415451.370000005</v>
      </c>
      <c r="J172" s="205"/>
      <c r="K172" s="206"/>
      <c r="L172" s="206"/>
      <c r="M172" s="206"/>
      <c r="N172" s="206"/>
      <c r="O172" s="207"/>
      <c r="P172" s="208"/>
      <c r="Q172" s="11"/>
      <c r="R172" s="11"/>
      <c r="S172" s="11"/>
      <c r="T172" s="11"/>
      <c r="U172" s="11"/>
      <c r="V172" s="11"/>
      <c r="W172" s="11"/>
      <c r="X172" s="11"/>
      <c r="Y172" s="16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79"/>
      <c r="AN172" s="45"/>
    </row>
    <row r="173" spans="2:40" x14ac:dyDescent="0.25">
      <c r="B173" s="192"/>
      <c r="C173" s="194"/>
      <c r="D173" s="194"/>
      <c r="E173" s="204"/>
      <c r="F173" s="210"/>
      <c r="G173" s="197"/>
      <c r="H173" s="215"/>
      <c r="I173" s="199">
        <f t="shared" si="42"/>
        <v>71415451.370000005</v>
      </c>
      <c r="J173" s="205"/>
      <c r="K173" s="206"/>
      <c r="L173" s="206"/>
      <c r="M173" s="206"/>
      <c r="N173" s="206"/>
      <c r="O173" s="207"/>
      <c r="P173" s="208"/>
      <c r="Q173" s="11"/>
      <c r="R173" s="11"/>
      <c r="S173" s="11"/>
      <c r="T173" s="11"/>
      <c r="U173" s="11"/>
      <c r="V173" s="11"/>
      <c r="W173" s="11"/>
      <c r="X173" s="11"/>
      <c r="Y173" s="16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79"/>
      <c r="AN173" s="45"/>
    </row>
    <row r="174" spans="2:40" x14ac:dyDescent="0.25">
      <c r="B174" s="192"/>
      <c r="C174" s="194"/>
      <c r="D174" s="194"/>
      <c r="E174" s="204"/>
      <c r="F174" s="210"/>
      <c r="G174" s="197"/>
      <c r="H174" s="215"/>
      <c r="I174" s="199">
        <f t="shared" si="42"/>
        <v>71415451.370000005</v>
      </c>
      <c r="J174" s="205"/>
      <c r="K174" s="206"/>
      <c r="L174" s="206"/>
      <c r="M174" s="206"/>
      <c r="N174" s="206"/>
      <c r="O174" s="207"/>
      <c r="P174" s="208"/>
      <c r="Q174" s="11"/>
      <c r="R174" s="11"/>
      <c r="S174" s="11"/>
      <c r="T174" s="11"/>
      <c r="U174" s="11"/>
      <c r="V174" s="11"/>
      <c r="W174" s="11"/>
      <c r="X174" s="11"/>
      <c r="Y174" s="16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79"/>
      <c r="AN174" s="45"/>
    </row>
    <row r="175" spans="2:40" x14ac:dyDescent="0.25">
      <c r="B175" s="192"/>
      <c r="C175" s="194"/>
      <c r="D175" s="194"/>
      <c r="E175" s="204"/>
      <c r="F175" s="210"/>
      <c r="G175" s="197"/>
      <c r="H175" s="215"/>
      <c r="I175" s="199">
        <f t="shared" si="42"/>
        <v>71415451.370000005</v>
      </c>
      <c r="J175" s="205"/>
      <c r="K175" s="206"/>
      <c r="L175" s="206"/>
      <c r="M175" s="206"/>
      <c r="N175" s="206"/>
      <c r="O175" s="207"/>
      <c r="P175" s="208"/>
      <c r="Q175" s="11"/>
      <c r="R175" s="11"/>
      <c r="S175" s="11"/>
      <c r="T175" s="11"/>
      <c r="U175" s="11"/>
      <c r="V175" s="11"/>
      <c r="W175" s="11"/>
      <c r="X175" s="11"/>
      <c r="Y175" s="16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79"/>
      <c r="AN175" s="45"/>
    </row>
    <row r="176" spans="2:40" x14ac:dyDescent="0.25">
      <c r="B176" s="192"/>
      <c r="C176" s="194"/>
      <c r="D176" s="194"/>
      <c r="E176" s="204"/>
      <c r="F176" s="210"/>
      <c r="G176" s="197"/>
      <c r="H176" s="215"/>
      <c r="I176" s="199">
        <f t="shared" si="42"/>
        <v>71415451.370000005</v>
      </c>
      <c r="J176" s="205"/>
      <c r="K176" s="206"/>
      <c r="L176" s="206"/>
      <c r="M176" s="206"/>
      <c r="N176" s="206"/>
      <c r="O176" s="207"/>
      <c r="P176" s="208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79"/>
      <c r="AN176" s="45"/>
    </row>
    <row r="177" spans="2:40" x14ac:dyDescent="0.25">
      <c r="B177" s="192"/>
      <c r="C177" s="194"/>
      <c r="D177" s="194"/>
      <c r="E177" s="204"/>
      <c r="F177" s="210"/>
      <c r="G177" s="197"/>
      <c r="H177" s="215"/>
      <c r="I177" s="199">
        <f t="shared" si="42"/>
        <v>71415451.370000005</v>
      </c>
      <c r="J177" s="205"/>
      <c r="K177" s="206"/>
      <c r="L177" s="206"/>
      <c r="M177" s="206"/>
      <c r="N177" s="206"/>
      <c r="O177" s="207"/>
      <c r="P177" s="208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79"/>
      <c r="AN177" s="45"/>
    </row>
    <row r="178" spans="2:40" x14ac:dyDescent="0.25">
      <c r="B178" s="192"/>
      <c r="C178" s="194"/>
      <c r="D178" s="194"/>
      <c r="E178" s="204"/>
      <c r="F178" s="210"/>
      <c r="G178" s="197"/>
      <c r="H178" s="215"/>
      <c r="I178" s="199">
        <f t="shared" si="42"/>
        <v>71415451.370000005</v>
      </c>
      <c r="J178" s="205"/>
      <c r="K178" s="206"/>
      <c r="L178" s="206"/>
      <c r="M178" s="206"/>
      <c r="N178" s="206"/>
      <c r="O178" s="207"/>
      <c r="P178" s="208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79"/>
      <c r="AN178" s="45"/>
    </row>
    <row r="179" spans="2:40" x14ac:dyDescent="0.25">
      <c r="B179" s="192"/>
      <c r="C179" s="194"/>
      <c r="D179" s="194"/>
      <c r="E179" s="204"/>
      <c r="F179" s="210"/>
      <c r="G179" s="197"/>
      <c r="H179" s="215"/>
      <c r="I179" s="199">
        <f t="shared" si="42"/>
        <v>71415451.370000005</v>
      </c>
      <c r="J179" s="205"/>
      <c r="K179" s="206"/>
      <c r="L179" s="206"/>
      <c r="M179" s="206"/>
      <c r="N179" s="206"/>
      <c r="O179" s="207"/>
      <c r="P179" s="208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79"/>
      <c r="AN179" s="45"/>
    </row>
    <row r="180" spans="2:40" x14ac:dyDescent="0.25">
      <c r="B180" s="192"/>
      <c r="C180" s="194"/>
      <c r="D180" s="194"/>
      <c r="E180" s="204"/>
      <c r="F180" s="210"/>
      <c r="G180" s="197"/>
      <c r="H180" s="215"/>
      <c r="I180" s="199">
        <f t="shared" si="42"/>
        <v>71415451.370000005</v>
      </c>
      <c r="J180" s="205"/>
      <c r="K180" s="206"/>
      <c r="L180" s="206"/>
      <c r="M180" s="206"/>
      <c r="N180" s="206"/>
      <c r="O180" s="207"/>
      <c r="P180" s="208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79"/>
      <c r="AN180" s="45"/>
    </row>
    <row r="181" spans="2:40" x14ac:dyDescent="0.25">
      <c r="B181" s="192"/>
      <c r="C181" s="194"/>
      <c r="D181" s="194"/>
      <c r="E181" s="204"/>
      <c r="F181" s="210"/>
      <c r="G181" s="197"/>
      <c r="H181" s="215"/>
      <c r="I181" s="199">
        <f t="shared" si="42"/>
        <v>71415451.370000005</v>
      </c>
      <c r="J181" s="205"/>
      <c r="K181" s="206"/>
      <c r="L181" s="206"/>
      <c r="M181" s="206"/>
      <c r="N181" s="206"/>
      <c r="O181" s="207"/>
      <c r="P181" s="208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79"/>
      <c r="AN181" s="45"/>
    </row>
    <row r="182" spans="2:40" x14ac:dyDescent="0.25">
      <c r="B182" s="192"/>
      <c r="C182" s="194"/>
      <c r="D182" s="194"/>
      <c r="E182" s="204"/>
      <c r="F182" s="210"/>
      <c r="G182" s="197"/>
      <c r="H182" s="215"/>
      <c r="I182" s="199">
        <f t="shared" si="42"/>
        <v>71415451.370000005</v>
      </c>
      <c r="J182" s="205"/>
      <c r="K182" s="206"/>
      <c r="L182" s="206"/>
      <c r="M182" s="206"/>
      <c r="N182" s="206"/>
      <c r="O182" s="207"/>
      <c r="P182" s="208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79"/>
      <c r="AN182" s="45"/>
    </row>
    <row r="183" spans="2:40" x14ac:dyDescent="0.25">
      <c r="B183" s="192"/>
      <c r="C183" s="194"/>
      <c r="D183" s="194"/>
      <c r="E183" s="204"/>
      <c r="F183" s="210"/>
      <c r="G183" s="197"/>
      <c r="H183" s="215"/>
      <c r="I183" s="199">
        <f t="shared" si="42"/>
        <v>71415451.370000005</v>
      </c>
      <c r="J183" s="205"/>
      <c r="K183" s="206"/>
      <c r="L183" s="206"/>
      <c r="M183" s="206"/>
      <c r="N183" s="206"/>
      <c r="O183" s="207"/>
      <c r="P183" s="208"/>
      <c r="Q183" s="11"/>
      <c r="R183" s="11"/>
      <c r="S183" s="11"/>
      <c r="T183" s="11"/>
      <c r="U183" s="11"/>
      <c r="V183" s="14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79"/>
      <c r="AN183" s="45"/>
    </row>
    <row r="184" spans="2:40" x14ac:dyDescent="0.25">
      <c r="B184" s="192"/>
      <c r="C184" s="194"/>
      <c r="D184" s="194"/>
      <c r="E184" s="204"/>
      <c r="F184" s="210"/>
      <c r="G184" s="197"/>
      <c r="H184" s="215">
        <v>0</v>
      </c>
      <c r="I184" s="199">
        <f t="shared" si="42"/>
        <v>71415451.370000005</v>
      </c>
      <c r="J184" s="205"/>
      <c r="K184" s="206"/>
      <c r="L184" s="206"/>
      <c r="M184" s="206"/>
      <c r="N184" s="206"/>
      <c r="O184" s="207"/>
      <c r="P184" s="208"/>
      <c r="Q184" s="11"/>
      <c r="R184" s="11"/>
      <c r="S184" s="11"/>
      <c r="T184" s="11"/>
      <c r="U184" s="11"/>
      <c r="V184" s="14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79"/>
      <c r="AN184" s="45"/>
    </row>
    <row r="185" spans="2:40" x14ac:dyDescent="0.25">
      <c r="B185" s="192"/>
      <c r="C185" s="194"/>
      <c r="D185" s="194"/>
      <c r="E185" s="204"/>
      <c r="F185" s="210"/>
      <c r="G185" s="197"/>
      <c r="H185" s="215">
        <v>0</v>
      </c>
      <c r="I185" s="199">
        <f t="shared" si="42"/>
        <v>71415451.370000005</v>
      </c>
      <c r="J185" s="205"/>
      <c r="K185" s="206"/>
      <c r="L185" s="206"/>
      <c r="M185" s="206"/>
      <c r="N185" s="206"/>
      <c r="O185" s="207"/>
      <c r="P185" s="208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79"/>
      <c r="AN185" s="45"/>
    </row>
    <row r="186" spans="2:40" x14ac:dyDescent="0.25">
      <c r="B186" s="192"/>
      <c r="C186" s="194"/>
      <c r="D186" s="194"/>
      <c r="E186" s="204"/>
      <c r="F186" s="210"/>
      <c r="G186" s="197"/>
      <c r="H186" s="215"/>
      <c r="I186" s="199">
        <f t="shared" si="42"/>
        <v>71415451.370000005</v>
      </c>
      <c r="J186" s="205"/>
      <c r="K186" s="206"/>
      <c r="L186" s="206"/>
      <c r="M186" s="206"/>
      <c r="N186" s="206"/>
      <c r="O186" s="207"/>
      <c r="P186" s="208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79"/>
      <c r="AN186" s="45"/>
    </row>
    <row r="187" spans="2:40" x14ac:dyDescent="0.25">
      <c r="B187" s="192"/>
      <c r="C187" s="194"/>
      <c r="D187" s="194"/>
      <c r="E187" s="204"/>
      <c r="F187" s="210"/>
      <c r="G187" s="197"/>
      <c r="H187" s="215"/>
      <c r="I187" s="199">
        <f t="shared" si="42"/>
        <v>71415451.370000005</v>
      </c>
      <c r="J187" s="205"/>
      <c r="K187" s="206"/>
      <c r="L187" s="206"/>
      <c r="M187" s="206"/>
      <c r="N187" s="206"/>
      <c r="O187" s="207"/>
      <c r="P187" s="208"/>
      <c r="Q187" s="11"/>
      <c r="R187" s="11"/>
      <c r="S187" s="11"/>
      <c r="T187" s="11"/>
      <c r="U187" s="11"/>
      <c r="V187" s="11"/>
      <c r="W187" s="11"/>
      <c r="X187" s="11"/>
      <c r="Y187" s="11"/>
      <c r="Z187" s="14"/>
      <c r="AA187" s="11"/>
      <c r="AB187" s="11"/>
      <c r="AC187" s="14"/>
      <c r="AD187" s="14"/>
      <c r="AE187" s="11"/>
      <c r="AF187" s="11"/>
      <c r="AG187" s="11"/>
      <c r="AH187" s="11"/>
      <c r="AI187" s="11"/>
      <c r="AJ187" s="11"/>
      <c r="AK187" s="11"/>
      <c r="AL187" s="11"/>
      <c r="AM187" s="79"/>
      <c r="AN187" s="45"/>
    </row>
    <row r="188" spans="2:40" x14ac:dyDescent="0.25">
      <c r="B188" s="192"/>
      <c r="C188" s="194"/>
      <c r="D188" s="194"/>
      <c r="E188" s="204"/>
      <c r="F188" s="210"/>
      <c r="G188" s="197"/>
      <c r="H188" s="215"/>
      <c r="I188" s="199">
        <f t="shared" si="42"/>
        <v>71415451.370000005</v>
      </c>
      <c r="J188" s="205"/>
      <c r="K188" s="206"/>
      <c r="L188" s="206"/>
      <c r="M188" s="206"/>
      <c r="N188" s="206"/>
      <c r="O188" s="207"/>
      <c r="P188" s="208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5"/>
      <c r="AC188" s="15"/>
      <c r="AD188" s="15"/>
      <c r="AE188" s="15"/>
      <c r="AF188" s="11"/>
      <c r="AG188" s="11"/>
      <c r="AH188" s="11"/>
      <c r="AI188" s="11"/>
      <c r="AJ188" s="11"/>
      <c r="AK188" s="11"/>
      <c r="AL188" s="11"/>
      <c r="AM188" s="79"/>
      <c r="AN188" s="45"/>
    </row>
    <row r="189" spans="2:40" x14ac:dyDescent="0.25">
      <c r="B189" s="192"/>
      <c r="C189" s="194"/>
      <c r="D189" s="194"/>
      <c r="E189" s="204"/>
      <c r="F189" s="210"/>
      <c r="G189" s="197"/>
      <c r="H189" s="215"/>
      <c r="I189" s="199">
        <f t="shared" si="42"/>
        <v>71415451.370000005</v>
      </c>
      <c r="J189" s="205"/>
      <c r="K189" s="206"/>
      <c r="L189" s="206"/>
      <c r="M189" s="206"/>
      <c r="N189" s="206"/>
      <c r="O189" s="207"/>
      <c r="P189" s="208"/>
      <c r="Q189" s="11"/>
      <c r="R189" s="11"/>
      <c r="S189" s="11"/>
      <c r="T189" s="11"/>
      <c r="U189" s="11"/>
      <c r="V189" s="11"/>
      <c r="W189" s="11"/>
      <c r="X189" s="11"/>
      <c r="Y189" s="16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79"/>
      <c r="AN189" s="45"/>
    </row>
    <row r="190" spans="2:40" x14ac:dyDescent="0.25">
      <c r="B190" s="192"/>
      <c r="C190" s="194"/>
      <c r="D190" s="194"/>
      <c r="E190" s="204"/>
      <c r="F190" s="210"/>
      <c r="G190" s="197"/>
      <c r="H190" s="215"/>
      <c r="I190" s="199">
        <f t="shared" si="42"/>
        <v>71415451.370000005</v>
      </c>
      <c r="J190" s="205"/>
      <c r="K190" s="206"/>
      <c r="L190" s="206"/>
      <c r="M190" s="206"/>
      <c r="N190" s="206"/>
      <c r="O190" s="207"/>
      <c r="P190" s="208"/>
      <c r="Q190" s="11"/>
      <c r="R190" s="11"/>
      <c r="S190" s="11"/>
      <c r="T190" s="11"/>
      <c r="U190" s="11"/>
      <c r="V190" s="11"/>
      <c r="W190" s="11"/>
      <c r="X190" s="11"/>
      <c r="Y190" s="16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79"/>
      <c r="AN190" s="45"/>
    </row>
    <row r="191" spans="2:40" x14ac:dyDescent="0.25">
      <c r="B191" s="192"/>
      <c r="C191" s="194"/>
      <c r="D191" s="194"/>
      <c r="E191" s="204"/>
      <c r="F191" s="210"/>
      <c r="G191" s="197"/>
      <c r="H191" s="215"/>
      <c r="I191" s="199">
        <f t="shared" si="42"/>
        <v>71415451.370000005</v>
      </c>
      <c r="J191" s="205"/>
      <c r="K191" s="206"/>
      <c r="L191" s="206"/>
      <c r="M191" s="206"/>
      <c r="N191" s="206"/>
      <c r="O191" s="207"/>
      <c r="P191" s="208"/>
      <c r="Q191" s="11"/>
      <c r="R191" s="11"/>
      <c r="S191" s="11"/>
      <c r="T191" s="11"/>
      <c r="U191" s="11"/>
      <c r="V191" s="11"/>
      <c r="W191" s="11"/>
      <c r="X191" s="11"/>
      <c r="Y191" s="16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79"/>
      <c r="AN191" s="45"/>
    </row>
    <row r="192" spans="2:40" x14ac:dyDescent="0.25">
      <c r="B192" s="192"/>
      <c r="C192" s="194"/>
      <c r="D192" s="194"/>
      <c r="E192" s="204"/>
      <c r="F192" s="210"/>
      <c r="G192" s="197"/>
      <c r="H192" s="215"/>
      <c r="I192" s="199">
        <f t="shared" si="42"/>
        <v>71415451.370000005</v>
      </c>
      <c r="J192" s="205"/>
      <c r="K192" s="206"/>
      <c r="L192" s="206"/>
      <c r="M192" s="206"/>
      <c r="N192" s="206"/>
      <c r="O192" s="207"/>
      <c r="P192" s="208"/>
      <c r="Q192" s="11"/>
      <c r="R192" s="11"/>
      <c r="S192" s="11"/>
      <c r="T192" s="11"/>
      <c r="U192" s="11"/>
      <c r="V192" s="11"/>
      <c r="W192" s="11"/>
      <c r="X192" s="11"/>
      <c r="Y192" s="16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79"/>
      <c r="AN192" s="45"/>
    </row>
    <row r="193" spans="2:40" x14ac:dyDescent="0.25">
      <c r="B193" s="192"/>
      <c r="C193" s="194"/>
      <c r="D193" s="194"/>
      <c r="E193" s="204"/>
      <c r="F193" s="210"/>
      <c r="G193" s="197"/>
      <c r="H193" s="215"/>
      <c r="I193" s="199">
        <f t="shared" si="42"/>
        <v>71415451.370000005</v>
      </c>
      <c r="J193" s="205"/>
      <c r="K193" s="206"/>
      <c r="L193" s="206"/>
      <c r="M193" s="206"/>
      <c r="N193" s="206"/>
      <c r="O193" s="207"/>
      <c r="P193" s="208"/>
      <c r="Q193" s="11"/>
      <c r="R193" s="11"/>
      <c r="S193" s="11"/>
      <c r="T193" s="11"/>
      <c r="U193" s="11"/>
      <c r="V193" s="11"/>
      <c r="W193" s="11"/>
      <c r="X193" s="11"/>
      <c r="Y193" s="16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79"/>
      <c r="AN193" s="45"/>
    </row>
    <row r="194" spans="2:40" x14ac:dyDescent="0.25">
      <c r="B194" s="192"/>
      <c r="C194" s="194"/>
      <c r="D194" s="194"/>
      <c r="E194" s="204"/>
      <c r="F194" s="210"/>
      <c r="G194" s="197"/>
      <c r="H194" s="215"/>
      <c r="I194" s="199">
        <f t="shared" si="42"/>
        <v>71415451.370000005</v>
      </c>
      <c r="J194" s="205"/>
      <c r="K194" s="206"/>
      <c r="L194" s="206"/>
      <c r="M194" s="206"/>
      <c r="N194" s="206"/>
      <c r="O194" s="207"/>
      <c r="P194" s="208"/>
      <c r="Q194" s="11"/>
      <c r="R194" s="11"/>
      <c r="S194" s="11"/>
      <c r="T194" s="11"/>
      <c r="U194" s="11"/>
      <c r="V194" s="11"/>
      <c r="W194" s="11"/>
      <c r="X194" s="11"/>
      <c r="Y194" s="16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4"/>
      <c r="AK194" s="14"/>
      <c r="AL194" s="14"/>
      <c r="AM194" s="80"/>
      <c r="AN194" s="45"/>
    </row>
    <row r="195" spans="2:40" x14ac:dyDescent="0.25">
      <c r="B195" s="192"/>
      <c r="C195" s="194"/>
      <c r="D195" s="194"/>
      <c r="E195" s="204"/>
      <c r="F195" s="210"/>
      <c r="G195" s="197"/>
      <c r="H195" s="215"/>
      <c r="I195" s="199">
        <f t="shared" si="42"/>
        <v>71415451.370000005</v>
      </c>
      <c r="J195" s="205"/>
      <c r="K195" s="206"/>
      <c r="L195" s="206"/>
      <c r="M195" s="206"/>
      <c r="N195" s="206"/>
      <c r="O195" s="207"/>
      <c r="P195" s="208"/>
      <c r="Q195" s="11"/>
      <c r="R195" s="11"/>
      <c r="S195" s="11"/>
      <c r="T195" s="11"/>
      <c r="U195" s="11"/>
      <c r="V195" s="11"/>
      <c r="W195" s="11"/>
      <c r="X195" s="11"/>
      <c r="Y195" s="16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79"/>
      <c r="AN195" s="45"/>
    </row>
    <row r="196" spans="2:40" x14ac:dyDescent="0.25">
      <c r="B196" s="192"/>
      <c r="C196" s="194"/>
      <c r="D196" s="194"/>
      <c r="E196" s="204"/>
      <c r="F196" s="210"/>
      <c r="G196" s="197"/>
      <c r="H196" s="215"/>
      <c r="I196" s="199">
        <f t="shared" si="42"/>
        <v>71415451.370000005</v>
      </c>
      <c r="J196" s="205"/>
      <c r="K196" s="206"/>
      <c r="L196" s="206"/>
      <c r="M196" s="206"/>
      <c r="N196" s="206"/>
      <c r="O196" s="207"/>
      <c r="P196" s="208"/>
      <c r="Q196" s="11"/>
      <c r="R196" s="11"/>
      <c r="S196" s="11"/>
      <c r="T196" s="11"/>
      <c r="U196" s="11"/>
      <c r="V196" s="11"/>
      <c r="W196" s="11"/>
      <c r="X196" s="11"/>
      <c r="Y196" s="16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79"/>
      <c r="AN196" s="45"/>
    </row>
    <row r="197" spans="2:40" x14ac:dyDescent="0.25">
      <c r="B197" s="192"/>
      <c r="C197" s="194"/>
      <c r="D197" s="194"/>
      <c r="E197" s="204"/>
      <c r="F197" s="210"/>
      <c r="G197" s="197"/>
      <c r="H197" s="215"/>
      <c r="I197" s="199">
        <f t="shared" si="42"/>
        <v>71415451.370000005</v>
      </c>
      <c r="J197" s="205"/>
      <c r="K197" s="206"/>
      <c r="L197" s="206"/>
      <c r="M197" s="206"/>
      <c r="N197" s="206"/>
      <c r="O197" s="207"/>
      <c r="P197" s="208"/>
      <c r="Q197" s="11"/>
      <c r="R197" s="11"/>
      <c r="S197" s="11"/>
      <c r="T197" s="11"/>
      <c r="U197" s="11"/>
      <c r="V197" s="11"/>
      <c r="W197" s="14"/>
      <c r="X197" s="14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79"/>
      <c r="AN197" s="45"/>
    </row>
    <row r="198" spans="2:40" x14ac:dyDescent="0.25">
      <c r="B198" s="192"/>
      <c r="C198" s="194"/>
      <c r="D198" s="194"/>
      <c r="E198" s="204"/>
      <c r="F198" s="210"/>
      <c r="G198" s="197"/>
      <c r="H198" s="215"/>
      <c r="I198" s="199">
        <f t="shared" si="42"/>
        <v>71415451.370000005</v>
      </c>
      <c r="J198" s="205"/>
      <c r="K198" s="206"/>
      <c r="L198" s="206"/>
      <c r="M198" s="206"/>
      <c r="N198" s="206"/>
      <c r="O198" s="207"/>
      <c r="P198" s="208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5"/>
      <c r="AC198" s="15"/>
      <c r="AD198" s="15"/>
      <c r="AE198" s="15"/>
      <c r="AF198" s="11"/>
      <c r="AG198" s="11"/>
      <c r="AH198" s="11"/>
      <c r="AI198" s="11"/>
      <c r="AJ198" s="11"/>
      <c r="AK198" s="11"/>
      <c r="AL198" s="11"/>
      <c r="AM198" s="79"/>
      <c r="AN198" s="45"/>
    </row>
    <row r="199" spans="2:40" x14ac:dyDescent="0.25">
      <c r="B199" s="192"/>
      <c r="C199" s="194"/>
      <c r="D199" s="194"/>
      <c r="E199" s="204"/>
      <c r="F199" s="210"/>
      <c r="G199" s="197"/>
      <c r="H199" s="215"/>
      <c r="I199" s="199">
        <f t="shared" si="42"/>
        <v>71415451.370000005</v>
      </c>
      <c r="J199" s="205"/>
      <c r="K199" s="206"/>
      <c r="L199" s="206"/>
      <c r="M199" s="206"/>
      <c r="N199" s="206"/>
      <c r="O199" s="207"/>
      <c r="P199" s="208"/>
      <c r="Q199" s="14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79"/>
      <c r="AN199" s="45"/>
    </row>
    <row r="200" spans="2:40" x14ac:dyDescent="0.25">
      <c r="B200" s="192"/>
      <c r="C200" s="194"/>
      <c r="D200" s="194"/>
      <c r="E200" s="204"/>
      <c r="F200" s="210"/>
      <c r="G200" s="197"/>
      <c r="H200" s="215"/>
      <c r="I200" s="199">
        <f t="shared" si="42"/>
        <v>71415451.370000005</v>
      </c>
      <c r="J200" s="205"/>
      <c r="K200" s="206"/>
      <c r="L200" s="206"/>
      <c r="M200" s="206"/>
      <c r="N200" s="206"/>
      <c r="O200" s="207"/>
      <c r="P200" s="208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79"/>
      <c r="AN200" s="45"/>
    </row>
    <row r="201" spans="2:40" x14ac:dyDescent="0.25">
      <c r="B201" s="192"/>
      <c r="C201" s="194"/>
      <c r="D201" s="194"/>
      <c r="E201" s="204"/>
      <c r="F201" s="210"/>
      <c r="G201" s="197"/>
      <c r="H201" s="215"/>
      <c r="I201" s="199">
        <f t="shared" si="42"/>
        <v>71415451.370000005</v>
      </c>
      <c r="J201" s="205"/>
      <c r="K201" s="206"/>
      <c r="L201" s="206"/>
      <c r="M201" s="206"/>
      <c r="N201" s="206"/>
      <c r="O201" s="207"/>
      <c r="P201" s="208"/>
      <c r="Q201" s="11"/>
      <c r="R201" s="11"/>
      <c r="S201" s="11"/>
      <c r="T201" s="11"/>
      <c r="U201" s="11"/>
      <c r="V201" s="14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4"/>
      <c r="AJ201" s="11"/>
      <c r="AK201" s="11"/>
      <c r="AL201" s="11"/>
      <c r="AM201" s="79"/>
      <c r="AN201" s="45"/>
    </row>
    <row r="202" spans="2:40" x14ac:dyDescent="0.25">
      <c r="B202" s="192"/>
      <c r="C202" s="194"/>
      <c r="D202" s="194"/>
      <c r="E202" s="204"/>
      <c r="F202" s="210"/>
      <c r="G202" s="197"/>
      <c r="H202" s="215"/>
      <c r="I202" s="199">
        <f t="shared" si="42"/>
        <v>71415451.370000005</v>
      </c>
      <c r="J202" s="205"/>
      <c r="K202" s="206"/>
      <c r="L202" s="206"/>
      <c r="M202" s="206"/>
      <c r="N202" s="206"/>
      <c r="O202" s="207"/>
      <c r="P202" s="208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4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79"/>
      <c r="AN202" s="45"/>
    </row>
    <row r="203" spans="2:40" x14ac:dyDescent="0.25">
      <c r="B203" s="192"/>
      <c r="C203" s="194"/>
      <c r="D203" s="194"/>
      <c r="E203" s="204"/>
      <c r="F203" s="210"/>
      <c r="G203" s="197"/>
      <c r="H203" s="215"/>
      <c r="I203" s="199">
        <f t="shared" si="42"/>
        <v>71415451.370000005</v>
      </c>
      <c r="J203" s="205"/>
      <c r="K203" s="206"/>
      <c r="L203" s="206"/>
      <c r="M203" s="206"/>
      <c r="N203" s="206"/>
      <c r="O203" s="207"/>
      <c r="P203" s="208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4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79"/>
      <c r="AN203" s="45"/>
    </row>
    <row r="204" spans="2:40" x14ac:dyDescent="0.25">
      <c r="B204" s="192"/>
      <c r="C204" s="194"/>
      <c r="D204" s="194"/>
      <c r="E204" s="204"/>
      <c r="F204" s="210"/>
      <c r="G204" s="197"/>
      <c r="H204" s="215"/>
      <c r="I204" s="199">
        <f t="shared" si="42"/>
        <v>71415451.370000005</v>
      </c>
      <c r="J204" s="205"/>
      <c r="K204" s="206"/>
      <c r="L204" s="206"/>
      <c r="M204" s="206"/>
      <c r="N204" s="206"/>
      <c r="O204" s="207"/>
      <c r="P204" s="208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4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79"/>
      <c r="AN204" s="45"/>
    </row>
    <row r="205" spans="2:40" x14ac:dyDescent="0.25">
      <c r="B205" s="192"/>
      <c r="C205" s="194"/>
      <c r="D205" s="194"/>
      <c r="E205" s="204"/>
      <c r="F205" s="210"/>
      <c r="G205" s="197"/>
      <c r="H205" s="215"/>
      <c r="I205" s="199">
        <f t="shared" si="42"/>
        <v>71415451.370000005</v>
      </c>
      <c r="J205" s="205"/>
      <c r="K205" s="206"/>
      <c r="L205" s="206"/>
      <c r="M205" s="206"/>
      <c r="N205" s="206"/>
      <c r="O205" s="207"/>
      <c r="P205" s="208"/>
      <c r="Q205" s="11"/>
      <c r="R205" s="11"/>
      <c r="S205" s="11"/>
      <c r="T205" s="11"/>
      <c r="U205" s="11"/>
      <c r="V205" s="11"/>
      <c r="W205" s="11"/>
      <c r="X205" s="14"/>
      <c r="Y205" s="14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79"/>
      <c r="AN205" s="45"/>
    </row>
    <row r="206" spans="2:40" x14ac:dyDescent="0.25">
      <c r="B206" s="192"/>
      <c r="C206" s="194"/>
      <c r="D206" s="194"/>
      <c r="E206" s="204"/>
      <c r="F206" s="210"/>
      <c r="G206" s="197"/>
      <c r="H206" s="215"/>
      <c r="I206" s="199">
        <f t="shared" si="42"/>
        <v>71415451.370000005</v>
      </c>
      <c r="J206" s="205"/>
      <c r="K206" s="206"/>
      <c r="L206" s="206"/>
      <c r="M206" s="206"/>
      <c r="N206" s="206"/>
      <c r="O206" s="207"/>
      <c r="P206" s="208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79"/>
      <c r="AN206" s="45"/>
    </row>
    <row r="207" spans="2:40" x14ac:dyDescent="0.25">
      <c r="B207" s="192"/>
      <c r="C207" s="194"/>
      <c r="D207" s="194"/>
      <c r="E207" s="204"/>
      <c r="F207" s="210"/>
      <c r="G207" s="197"/>
      <c r="H207" s="215"/>
      <c r="I207" s="199">
        <f t="shared" si="42"/>
        <v>71415451.370000005</v>
      </c>
      <c r="J207" s="205"/>
      <c r="K207" s="206"/>
      <c r="L207" s="206"/>
      <c r="M207" s="206"/>
      <c r="N207" s="206"/>
      <c r="O207" s="207"/>
      <c r="P207" s="208"/>
      <c r="Q207" s="11"/>
      <c r="R207" s="11"/>
      <c r="S207" s="11"/>
      <c r="T207" s="11"/>
      <c r="U207" s="11"/>
      <c r="V207" s="14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79"/>
      <c r="AN207" s="45"/>
    </row>
    <row r="208" spans="2:40" x14ac:dyDescent="0.25">
      <c r="B208" s="192"/>
      <c r="C208" s="194"/>
      <c r="D208" s="194"/>
      <c r="E208" s="204"/>
      <c r="F208" s="210"/>
      <c r="G208" s="197"/>
      <c r="H208" s="215"/>
      <c r="I208" s="199">
        <f t="shared" si="42"/>
        <v>71415451.370000005</v>
      </c>
      <c r="J208" s="205"/>
      <c r="K208" s="206"/>
      <c r="L208" s="206"/>
      <c r="M208" s="206"/>
      <c r="N208" s="206"/>
      <c r="O208" s="207"/>
      <c r="P208" s="208"/>
      <c r="Q208" s="11"/>
      <c r="R208" s="11"/>
      <c r="S208" s="11"/>
      <c r="T208" s="11"/>
      <c r="U208" s="11"/>
      <c r="V208" s="11"/>
      <c r="W208" s="11"/>
      <c r="X208" s="11"/>
      <c r="Y208" s="16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79"/>
      <c r="AN208" s="45"/>
    </row>
    <row r="209" spans="2:40" x14ac:dyDescent="0.25">
      <c r="B209" s="192"/>
      <c r="C209" s="194"/>
      <c r="D209" s="194"/>
      <c r="E209" s="204"/>
      <c r="F209" s="210"/>
      <c r="G209" s="197"/>
      <c r="H209" s="215"/>
      <c r="I209" s="199">
        <f t="shared" si="42"/>
        <v>71415451.370000005</v>
      </c>
      <c r="J209" s="205"/>
      <c r="K209" s="206"/>
      <c r="L209" s="206"/>
      <c r="M209" s="206"/>
      <c r="N209" s="206"/>
      <c r="O209" s="207"/>
      <c r="P209" s="208"/>
      <c r="Q209" s="11"/>
      <c r="R209" s="11"/>
      <c r="S209" s="11"/>
      <c r="T209" s="11"/>
      <c r="U209" s="11"/>
      <c r="V209" s="11"/>
      <c r="W209" s="11"/>
      <c r="X209" s="11"/>
      <c r="Y209" s="16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79"/>
      <c r="AN209" s="45"/>
    </row>
    <row r="210" spans="2:40" x14ac:dyDescent="0.25">
      <c r="B210" s="192"/>
      <c r="C210" s="194"/>
      <c r="D210" s="194"/>
      <c r="E210" s="204"/>
      <c r="F210" s="210"/>
      <c r="G210" s="197"/>
      <c r="H210" s="215"/>
      <c r="I210" s="199">
        <f t="shared" si="42"/>
        <v>71415451.370000005</v>
      </c>
      <c r="J210" s="205"/>
      <c r="K210" s="206"/>
      <c r="L210" s="206"/>
      <c r="M210" s="206"/>
      <c r="N210" s="206"/>
      <c r="O210" s="207"/>
      <c r="P210" s="208"/>
      <c r="Q210" s="11"/>
      <c r="R210" s="11"/>
      <c r="S210" s="11"/>
      <c r="T210" s="11"/>
      <c r="U210" s="11"/>
      <c r="V210" s="11"/>
      <c r="W210" s="11"/>
      <c r="X210" s="11"/>
      <c r="Y210" s="16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79"/>
      <c r="AN210" s="45"/>
    </row>
    <row r="211" spans="2:40" x14ac:dyDescent="0.25">
      <c r="B211" s="192"/>
      <c r="C211" s="194"/>
      <c r="D211" s="194"/>
      <c r="E211" s="204"/>
      <c r="F211" s="210"/>
      <c r="G211" s="197"/>
      <c r="H211" s="215"/>
      <c r="I211" s="199">
        <f t="shared" si="42"/>
        <v>71415451.370000005</v>
      </c>
      <c r="J211" s="205"/>
      <c r="K211" s="206"/>
      <c r="L211" s="206"/>
      <c r="M211" s="206"/>
      <c r="N211" s="206"/>
      <c r="O211" s="207"/>
      <c r="P211" s="208"/>
      <c r="Q211" s="11"/>
      <c r="R211" s="11"/>
      <c r="S211" s="11"/>
      <c r="T211" s="11"/>
      <c r="U211" s="11"/>
      <c r="V211" s="11"/>
      <c r="W211" s="11"/>
      <c r="X211" s="11"/>
      <c r="Y211" s="16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79"/>
      <c r="AN211" s="45"/>
    </row>
    <row r="212" spans="2:40" x14ac:dyDescent="0.25">
      <c r="B212" s="192"/>
      <c r="C212" s="194"/>
      <c r="D212" s="194"/>
      <c r="E212" s="204"/>
      <c r="F212" s="210"/>
      <c r="G212" s="197"/>
      <c r="H212" s="215"/>
      <c r="I212" s="199">
        <f t="shared" si="42"/>
        <v>71415451.370000005</v>
      </c>
      <c r="J212" s="205"/>
      <c r="K212" s="206"/>
      <c r="L212" s="206"/>
      <c r="M212" s="206"/>
      <c r="N212" s="206"/>
      <c r="O212" s="207"/>
      <c r="P212" s="208"/>
      <c r="Q212" s="11"/>
      <c r="R212" s="11"/>
      <c r="S212" s="11"/>
      <c r="T212" s="11"/>
      <c r="U212" s="11"/>
      <c r="V212" s="11"/>
      <c r="W212" s="11"/>
      <c r="X212" s="11"/>
      <c r="Y212" s="16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79"/>
      <c r="AN212" s="45"/>
    </row>
    <row r="213" spans="2:40" x14ac:dyDescent="0.25">
      <c r="B213" s="192"/>
      <c r="C213" s="194"/>
      <c r="D213" s="194"/>
      <c r="E213" s="204"/>
      <c r="F213" s="210"/>
      <c r="G213" s="197"/>
      <c r="H213" s="215"/>
      <c r="I213" s="199">
        <f t="shared" ref="I213:I276" si="43">I212+G213-H213</f>
        <v>71415451.370000005</v>
      </c>
      <c r="J213" s="205"/>
      <c r="K213" s="206"/>
      <c r="L213" s="206"/>
      <c r="M213" s="206"/>
      <c r="N213" s="206"/>
      <c r="O213" s="207"/>
      <c r="P213" s="208"/>
      <c r="Q213" s="11"/>
      <c r="R213" s="11"/>
      <c r="S213" s="11"/>
      <c r="T213" s="11"/>
      <c r="U213" s="11"/>
      <c r="V213" s="11"/>
      <c r="W213" s="11"/>
      <c r="X213" s="11"/>
      <c r="Y213" s="16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79"/>
      <c r="AN213" s="45"/>
    </row>
    <row r="214" spans="2:40" x14ac:dyDescent="0.25">
      <c r="B214" s="192"/>
      <c r="C214" s="194"/>
      <c r="D214" s="194"/>
      <c r="E214" s="204"/>
      <c r="F214" s="210"/>
      <c r="G214" s="197"/>
      <c r="H214" s="215"/>
      <c r="I214" s="199">
        <f t="shared" si="43"/>
        <v>71415451.370000005</v>
      </c>
      <c r="J214" s="205"/>
      <c r="K214" s="206"/>
      <c r="L214" s="206"/>
      <c r="M214" s="206"/>
      <c r="N214" s="206"/>
      <c r="O214" s="207"/>
      <c r="P214" s="208"/>
      <c r="Q214" s="11"/>
      <c r="R214" s="11"/>
      <c r="S214" s="11"/>
      <c r="T214" s="11"/>
      <c r="U214" s="11"/>
      <c r="V214" s="11"/>
      <c r="W214" s="11"/>
      <c r="X214" s="11"/>
      <c r="Y214" s="16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79"/>
      <c r="AN214" s="45"/>
    </row>
    <row r="215" spans="2:40" x14ac:dyDescent="0.25">
      <c r="B215" s="192"/>
      <c r="C215" s="194"/>
      <c r="D215" s="194"/>
      <c r="E215" s="204"/>
      <c r="F215" s="210"/>
      <c r="G215" s="197"/>
      <c r="H215" s="215"/>
      <c r="I215" s="199">
        <f t="shared" si="43"/>
        <v>71415451.370000005</v>
      </c>
      <c r="J215" s="205"/>
      <c r="K215" s="206"/>
      <c r="L215" s="206"/>
      <c r="M215" s="206"/>
      <c r="N215" s="206"/>
      <c r="O215" s="207"/>
      <c r="P215" s="208"/>
      <c r="Q215" s="11"/>
      <c r="R215" s="11"/>
      <c r="S215" s="11"/>
      <c r="T215" s="11"/>
      <c r="U215" s="11"/>
      <c r="V215" s="11"/>
      <c r="W215" s="11"/>
      <c r="X215" s="11"/>
      <c r="Y215" s="16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79"/>
      <c r="AN215" s="45"/>
    </row>
    <row r="216" spans="2:40" x14ac:dyDescent="0.25">
      <c r="B216" s="192"/>
      <c r="C216" s="194"/>
      <c r="D216" s="194"/>
      <c r="E216" s="204"/>
      <c r="F216" s="210"/>
      <c r="G216" s="197"/>
      <c r="H216" s="215"/>
      <c r="I216" s="199">
        <f t="shared" si="43"/>
        <v>71415451.370000005</v>
      </c>
      <c r="J216" s="205"/>
      <c r="K216" s="206"/>
      <c r="L216" s="206"/>
      <c r="M216" s="206"/>
      <c r="N216" s="206"/>
      <c r="O216" s="207"/>
      <c r="P216" s="208"/>
      <c r="Q216" s="11"/>
      <c r="R216" s="11"/>
      <c r="S216" s="11"/>
      <c r="T216" s="11"/>
      <c r="U216" s="11"/>
      <c r="V216" s="11"/>
      <c r="W216" s="11"/>
      <c r="X216" s="11"/>
      <c r="Y216" s="16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79"/>
      <c r="AN216" s="45"/>
    </row>
    <row r="217" spans="2:40" x14ac:dyDescent="0.25">
      <c r="B217" s="192"/>
      <c r="C217" s="194"/>
      <c r="D217" s="194"/>
      <c r="E217" s="204"/>
      <c r="F217" s="210"/>
      <c r="G217" s="197"/>
      <c r="H217" s="215"/>
      <c r="I217" s="199">
        <f t="shared" si="43"/>
        <v>71415451.370000005</v>
      </c>
      <c r="J217" s="205"/>
      <c r="K217" s="206"/>
      <c r="L217" s="206"/>
      <c r="M217" s="206"/>
      <c r="N217" s="206"/>
      <c r="O217" s="207"/>
      <c r="P217" s="208"/>
      <c r="Q217" s="11"/>
      <c r="R217" s="11"/>
      <c r="S217" s="11"/>
      <c r="T217" s="11"/>
      <c r="U217" s="11"/>
      <c r="V217" s="11"/>
      <c r="W217" s="14"/>
      <c r="X217" s="14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79"/>
      <c r="AN217" s="45"/>
    </row>
    <row r="218" spans="2:40" x14ac:dyDescent="0.25">
      <c r="B218" s="192"/>
      <c r="C218" s="194"/>
      <c r="D218" s="194"/>
      <c r="E218" s="204"/>
      <c r="F218" s="210"/>
      <c r="G218" s="197"/>
      <c r="H218" s="215"/>
      <c r="I218" s="199">
        <f t="shared" si="43"/>
        <v>71415451.370000005</v>
      </c>
      <c r="J218" s="205"/>
      <c r="K218" s="206"/>
      <c r="L218" s="206"/>
      <c r="M218" s="206"/>
      <c r="N218" s="206"/>
      <c r="O218" s="207"/>
      <c r="P218" s="208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4"/>
      <c r="AH218" s="11"/>
      <c r="AI218" s="11"/>
      <c r="AJ218" s="11"/>
      <c r="AK218" s="11"/>
      <c r="AL218" s="11"/>
      <c r="AM218" s="79"/>
      <c r="AN218" s="45"/>
    </row>
    <row r="219" spans="2:40" x14ac:dyDescent="0.25">
      <c r="B219" s="192"/>
      <c r="C219" s="194"/>
      <c r="D219" s="194"/>
      <c r="E219" s="204"/>
      <c r="F219" s="210"/>
      <c r="G219" s="197"/>
      <c r="H219" s="215"/>
      <c r="I219" s="199">
        <f t="shared" si="43"/>
        <v>71415451.370000005</v>
      </c>
      <c r="J219" s="205"/>
      <c r="K219" s="206"/>
      <c r="L219" s="206"/>
      <c r="M219" s="206"/>
      <c r="N219" s="206"/>
      <c r="O219" s="207"/>
      <c r="P219" s="208"/>
      <c r="Q219" s="11"/>
      <c r="R219" s="11"/>
      <c r="S219" s="11"/>
      <c r="T219" s="11"/>
      <c r="U219" s="11"/>
      <c r="V219" s="11"/>
      <c r="W219" s="11"/>
      <c r="X219" s="11"/>
      <c r="Y219" s="16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79"/>
      <c r="AN219" s="45"/>
    </row>
    <row r="220" spans="2:40" x14ac:dyDescent="0.25">
      <c r="B220" s="192"/>
      <c r="C220" s="194"/>
      <c r="D220" s="194"/>
      <c r="E220" s="204"/>
      <c r="F220" s="210"/>
      <c r="G220" s="197"/>
      <c r="H220" s="215"/>
      <c r="I220" s="199">
        <f t="shared" si="43"/>
        <v>71415451.370000005</v>
      </c>
      <c r="J220" s="205"/>
      <c r="K220" s="206"/>
      <c r="L220" s="206"/>
      <c r="M220" s="206"/>
      <c r="N220" s="206"/>
      <c r="O220" s="207"/>
      <c r="P220" s="208"/>
      <c r="Q220" s="11"/>
      <c r="R220" s="11"/>
      <c r="S220" s="11"/>
      <c r="T220" s="11"/>
      <c r="U220" s="11"/>
      <c r="V220" s="11"/>
      <c r="W220" s="11"/>
      <c r="X220" s="11"/>
      <c r="Y220" s="16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79"/>
      <c r="AN220" s="45"/>
    </row>
    <row r="221" spans="2:40" x14ac:dyDescent="0.25">
      <c r="B221" s="192"/>
      <c r="C221" s="194"/>
      <c r="D221" s="194"/>
      <c r="E221" s="204"/>
      <c r="F221" s="210"/>
      <c r="G221" s="197"/>
      <c r="H221" s="215"/>
      <c r="I221" s="199">
        <f t="shared" si="43"/>
        <v>71415451.370000005</v>
      </c>
      <c r="J221" s="205"/>
      <c r="K221" s="206"/>
      <c r="L221" s="206"/>
      <c r="M221" s="206"/>
      <c r="N221" s="206"/>
      <c r="O221" s="207"/>
      <c r="P221" s="208"/>
      <c r="Q221" s="11"/>
      <c r="R221" s="11"/>
      <c r="S221" s="11"/>
      <c r="T221" s="11"/>
      <c r="U221" s="11"/>
      <c r="V221" s="11"/>
      <c r="W221" s="11"/>
      <c r="X221" s="11"/>
      <c r="Y221" s="16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79"/>
      <c r="AN221" s="45"/>
    </row>
    <row r="222" spans="2:40" x14ac:dyDescent="0.25">
      <c r="B222" s="192"/>
      <c r="C222" s="194"/>
      <c r="D222" s="194"/>
      <c r="E222" s="204"/>
      <c r="F222" s="210"/>
      <c r="G222" s="197"/>
      <c r="H222" s="215"/>
      <c r="I222" s="199">
        <f t="shared" si="43"/>
        <v>71415451.370000005</v>
      </c>
      <c r="J222" s="205"/>
      <c r="K222" s="206"/>
      <c r="L222" s="206"/>
      <c r="M222" s="206"/>
      <c r="N222" s="206"/>
      <c r="O222" s="207"/>
      <c r="P222" s="208"/>
      <c r="Q222" s="11"/>
      <c r="R222" s="11"/>
      <c r="S222" s="11"/>
      <c r="T222" s="11"/>
      <c r="U222" s="11"/>
      <c r="V222" s="11"/>
      <c r="W222" s="11"/>
      <c r="X222" s="11"/>
      <c r="Y222" s="16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79"/>
      <c r="AN222" s="45"/>
    </row>
    <row r="223" spans="2:40" x14ac:dyDescent="0.25">
      <c r="B223" s="192"/>
      <c r="C223" s="194"/>
      <c r="D223" s="194"/>
      <c r="E223" s="204"/>
      <c r="F223" s="210"/>
      <c r="G223" s="197"/>
      <c r="H223" s="215"/>
      <c r="I223" s="199">
        <f t="shared" si="43"/>
        <v>71415451.370000005</v>
      </c>
      <c r="J223" s="205"/>
      <c r="K223" s="206"/>
      <c r="L223" s="206"/>
      <c r="M223" s="206"/>
      <c r="N223" s="206"/>
      <c r="O223" s="207"/>
      <c r="P223" s="208"/>
      <c r="Q223" s="11"/>
      <c r="R223" s="11"/>
      <c r="S223" s="11"/>
      <c r="T223" s="11"/>
      <c r="U223" s="11"/>
      <c r="V223" s="11"/>
      <c r="W223" s="11"/>
      <c r="X223" s="11"/>
      <c r="Y223" s="16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79"/>
      <c r="AN223" s="45"/>
    </row>
    <row r="224" spans="2:40" x14ac:dyDescent="0.25">
      <c r="B224" s="192"/>
      <c r="C224" s="194"/>
      <c r="D224" s="194"/>
      <c r="E224" s="204"/>
      <c r="F224" s="210"/>
      <c r="G224" s="197"/>
      <c r="H224" s="215"/>
      <c r="I224" s="199">
        <f t="shared" si="43"/>
        <v>71415451.370000005</v>
      </c>
      <c r="J224" s="205"/>
      <c r="K224" s="206"/>
      <c r="L224" s="206"/>
      <c r="M224" s="206"/>
      <c r="N224" s="206"/>
      <c r="O224" s="207"/>
      <c r="P224" s="208"/>
      <c r="Q224" s="11"/>
      <c r="R224" s="11"/>
      <c r="S224" s="11"/>
      <c r="T224" s="11"/>
      <c r="U224" s="11"/>
      <c r="V224" s="11"/>
      <c r="W224" s="11"/>
      <c r="X224" s="11"/>
      <c r="Y224" s="16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79"/>
      <c r="AN224" s="45"/>
    </row>
    <row r="225" spans="2:40" x14ac:dyDescent="0.25">
      <c r="B225" s="192"/>
      <c r="C225" s="194"/>
      <c r="D225" s="194"/>
      <c r="E225" s="204"/>
      <c r="F225" s="210"/>
      <c r="G225" s="197"/>
      <c r="H225" s="215"/>
      <c r="I225" s="199">
        <f t="shared" si="43"/>
        <v>71415451.370000005</v>
      </c>
      <c r="J225" s="205"/>
      <c r="K225" s="206"/>
      <c r="L225" s="206"/>
      <c r="M225" s="206"/>
      <c r="N225" s="206"/>
      <c r="O225" s="207"/>
      <c r="P225" s="208"/>
      <c r="Q225" s="11"/>
      <c r="R225" s="11"/>
      <c r="S225" s="11"/>
      <c r="T225" s="11"/>
      <c r="U225" s="11"/>
      <c r="V225" s="11"/>
      <c r="W225" s="11"/>
      <c r="X225" s="11"/>
      <c r="Y225" s="16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79"/>
      <c r="AN225" s="45"/>
    </row>
    <row r="226" spans="2:40" x14ac:dyDescent="0.25">
      <c r="B226" s="192"/>
      <c r="C226" s="194"/>
      <c r="D226" s="194"/>
      <c r="E226" s="204"/>
      <c r="F226" s="210"/>
      <c r="G226" s="197"/>
      <c r="H226" s="215"/>
      <c r="I226" s="199">
        <f t="shared" si="43"/>
        <v>71415451.370000005</v>
      </c>
      <c r="J226" s="205"/>
      <c r="K226" s="206"/>
      <c r="L226" s="206"/>
      <c r="M226" s="206"/>
      <c r="N226" s="206"/>
      <c r="O226" s="207"/>
      <c r="P226" s="208"/>
      <c r="Q226" s="11"/>
      <c r="R226" s="11"/>
      <c r="S226" s="11"/>
      <c r="T226" s="11"/>
      <c r="U226" s="11"/>
      <c r="V226" s="11"/>
      <c r="W226" s="11"/>
      <c r="X226" s="11"/>
      <c r="Y226" s="16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79"/>
      <c r="AN226" s="45"/>
    </row>
    <row r="227" spans="2:40" x14ac:dyDescent="0.25">
      <c r="B227" s="192"/>
      <c r="C227" s="194"/>
      <c r="D227" s="194"/>
      <c r="E227" s="204"/>
      <c r="F227" s="210"/>
      <c r="G227" s="197"/>
      <c r="H227" s="215"/>
      <c r="I227" s="199">
        <f t="shared" si="43"/>
        <v>71415451.370000005</v>
      </c>
      <c r="J227" s="205"/>
      <c r="K227" s="206"/>
      <c r="L227" s="206"/>
      <c r="M227" s="206"/>
      <c r="N227" s="206"/>
      <c r="O227" s="207"/>
      <c r="P227" s="208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4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79"/>
      <c r="AN227" s="45"/>
    </row>
    <row r="228" spans="2:40" x14ac:dyDescent="0.25">
      <c r="B228" s="192"/>
      <c r="C228" s="194"/>
      <c r="D228" s="194"/>
      <c r="E228" s="204"/>
      <c r="F228" s="210"/>
      <c r="G228" s="197"/>
      <c r="H228" s="215"/>
      <c r="I228" s="199">
        <f t="shared" si="43"/>
        <v>71415451.370000005</v>
      </c>
      <c r="J228" s="205"/>
      <c r="K228" s="206"/>
      <c r="L228" s="206"/>
      <c r="M228" s="206"/>
      <c r="N228" s="206"/>
      <c r="O228" s="207"/>
      <c r="P228" s="208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4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79"/>
      <c r="AN228" s="45"/>
    </row>
    <row r="229" spans="2:40" x14ac:dyDescent="0.25">
      <c r="B229" s="192"/>
      <c r="C229" s="194"/>
      <c r="D229" s="194"/>
      <c r="E229" s="204"/>
      <c r="F229" s="210"/>
      <c r="G229" s="197"/>
      <c r="H229" s="215"/>
      <c r="I229" s="199">
        <f t="shared" si="43"/>
        <v>71415451.370000005</v>
      </c>
      <c r="J229" s="205"/>
      <c r="K229" s="206"/>
      <c r="L229" s="206"/>
      <c r="M229" s="206"/>
      <c r="N229" s="206"/>
      <c r="O229" s="207"/>
      <c r="P229" s="208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79"/>
      <c r="AN229" s="45"/>
    </row>
    <row r="230" spans="2:40" x14ac:dyDescent="0.25">
      <c r="B230" s="192"/>
      <c r="C230" s="194"/>
      <c r="D230" s="194"/>
      <c r="E230" s="204"/>
      <c r="F230" s="210"/>
      <c r="G230" s="197"/>
      <c r="H230" s="215"/>
      <c r="I230" s="199">
        <f t="shared" si="43"/>
        <v>71415451.370000005</v>
      </c>
      <c r="J230" s="205"/>
      <c r="K230" s="206"/>
      <c r="L230" s="206"/>
      <c r="M230" s="206"/>
      <c r="N230" s="206"/>
      <c r="O230" s="207"/>
      <c r="P230" s="208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79"/>
      <c r="AN230" s="45"/>
    </row>
    <row r="231" spans="2:40" x14ac:dyDescent="0.25">
      <c r="B231" s="192"/>
      <c r="C231" s="194"/>
      <c r="D231" s="194"/>
      <c r="E231" s="204"/>
      <c r="F231" s="210"/>
      <c r="G231" s="197"/>
      <c r="H231" s="215"/>
      <c r="I231" s="199">
        <f t="shared" si="43"/>
        <v>71415451.370000005</v>
      </c>
      <c r="J231" s="205"/>
      <c r="K231" s="206"/>
      <c r="L231" s="206"/>
      <c r="M231" s="206"/>
      <c r="N231" s="206"/>
      <c r="O231" s="207"/>
      <c r="P231" s="208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79"/>
      <c r="AN231" s="45"/>
    </row>
    <row r="232" spans="2:40" x14ac:dyDescent="0.25">
      <c r="B232" s="192"/>
      <c r="C232" s="194"/>
      <c r="D232" s="194"/>
      <c r="E232" s="204"/>
      <c r="F232" s="210"/>
      <c r="G232" s="197"/>
      <c r="H232" s="215"/>
      <c r="I232" s="199">
        <f t="shared" si="43"/>
        <v>71415451.370000005</v>
      </c>
      <c r="J232" s="205"/>
      <c r="K232" s="206"/>
      <c r="L232" s="206"/>
      <c r="M232" s="206"/>
      <c r="N232" s="206"/>
      <c r="O232" s="207"/>
      <c r="P232" s="208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79"/>
      <c r="AN232" s="45"/>
    </row>
    <row r="233" spans="2:40" x14ac:dyDescent="0.25">
      <c r="B233" s="192"/>
      <c r="C233" s="194"/>
      <c r="D233" s="194"/>
      <c r="E233" s="204"/>
      <c r="F233" s="210"/>
      <c r="G233" s="197"/>
      <c r="H233" s="215"/>
      <c r="I233" s="199">
        <f t="shared" si="43"/>
        <v>71415451.370000005</v>
      </c>
      <c r="J233" s="205"/>
      <c r="K233" s="206"/>
      <c r="L233" s="206"/>
      <c r="M233" s="206"/>
      <c r="N233" s="206"/>
      <c r="O233" s="207"/>
      <c r="P233" s="208"/>
      <c r="Q233" s="11"/>
      <c r="R233" s="11"/>
      <c r="S233" s="11"/>
      <c r="T233" s="11"/>
      <c r="U233" s="11"/>
      <c r="V233" s="14"/>
      <c r="W233" s="11"/>
      <c r="X233" s="11"/>
      <c r="Y233" s="11"/>
      <c r="Z233" s="11"/>
      <c r="AA233" s="14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79"/>
      <c r="AN233" s="45"/>
    </row>
    <row r="234" spans="2:40" x14ac:dyDescent="0.25">
      <c r="B234" s="192"/>
      <c r="C234" s="194"/>
      <c r="D234" s="194"/>
      <c r="E234" s="204"/>
      <c r="F234" s="210"/>
      <c r="G234" s="197"/>
      <c r="H234" s="215"/>
      <c r="I234" s="199">
        <f t="shared" si="43"/>
        <v>71415451.370000005</v>
      </c>
      <c r="J234" s="205"/>
      <c r="K234" s="206"/>
      <c r="L234" s="206"/>
      <c r="M234" s="206"/>
      <c r="N234" s="206"/>
      <c r="O234" s="207"/>
      <c r="P234" s="208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79"/>
      <c r="AN234" s="45"/>
    </row>
    <row r="235" spans="2:40" x14ac:dyDescent="0.25">
      <c r="B235" s="192"/>
      <c r="C235" s="194"/>
      <c r="D235" s="194"/>
      <c r="E235" s="204"/>
      <c r="F235" s="210"/>
      <c r="G235" s="197"/>
      <c r="H235" s="215"/>
      <c r="I235" s="199">
        <f t="shared" si="43"/>
        <v>71415451.370000005</v>
      </c>
      <c r="J235" s="205"/>
      <c r="K235" s="206"/>
      <c r="L235" s="206"/>
      <c r="M235" s="206"/>
      <c r="N235" s="206"/>
      <c r="O235" s="207"/>
      <c r="P235" s="208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79"/>
      <c r="AN235" s="45"/>
    </row>
    <row r="236" spans="2:40" x14ac:dyDescent="0.25">
      <c r="B236" s="192"/>
      <c r="C236" s="194"/>
      <c r="D236" s="194"/>
      <c r="E236" s="204"/>
      <c r="F236" s="210"/>
      <c r="G236" s="197"/>
      <c r="H236" s="215"/>
      <c r="I236" s="199">
        <f t="shared" si="43"/>
        <v>71415451.370000005</v>
      </c>
      <c r="J236" s="205"/>
      <c r="K236" s="206"/>
      <c r="L236" s="206"/>
      <c r="M236" s="206"/>
      <c r="N236" s="206"/>
      <c r="O236" s="207"/>
      <c r="P236" s="208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79"/>
      <c r="AN236" s="45"/>
    </row>
    <row r="237" spans="2:40" x14ac:dyDescent="0.25">
      <c r="B237" s="192"/>
      <c r="C237" s="194"/>
      <c r="D237" s="194"/>
      <c r="E237" s="204"/>
      <c r="F237" s="210"/>
      <c r="G237" s="197"/>
      <c r="H237" s="215"/>
      <c r="I237" s="199">
        <f t="shared" si="43"/>
        <v>71415451.370000005</v>
      </c>
      <c r="J237" s="205"/>
      <c r="K237" s="206"/>
      <c r="L237" s="206"/>
      <c r="M237" s="206"/>
      <c r="N237" s="206"/>
      <c r="O237" s="207"/>
      <c r="P237" s="208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79"/>
      <c r="AN237" s="45"/>
    </row>
    <row r="238" spans="2:40" x14ac:dyDescent="0.25">
      <c r="B238" s="192"/>
      <c r="C238" s="194"/>
      <c r="D238" s="194"/>
      <c r="E238" s="204"/>
      <c r="F238" s="210"/>
      <c r="G238" s="197"/>
      <c r="H238" s="215"/>
      <c r="I238" s="199">
        <f t="shared" si="43"/>
        <v>71415451.370000005</v>
      </c>
      <c r="J238" s="205"/>
      <c r="K238" s="206"/>
      <c r="L238" s="206"/>
      <c r="M238" s="206"/>
      <c r="N238" s="206"/>
      <c r="O238" s="207"/>
      <c r="P238" s="208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79"/>
      <c r="AN238" s="45"/>
    </row>
    <row r="239" spans="2:40" x14ac:dyDescent="0.25">
      <c r="B239" s="192"/>
      <c r="C239" s="194"/>
      <c r="D239" s="194"/>
      <c r="E239" s="204"/>
      <c r="F239" s="210"/>
      <c r="G239" s="197"/>
      <c r="H239" s="215"/>
      <c r="I239" s="199">
        <f t="shared" si="43"/>
        <v>71415451.370000005</v>
      </c>
      <c r="J239" s="205"/>
      <c r="K239" s="206"/>
      <c r="L239" s="206"/>
      <c r="M239" s="206"/>
      <c r="N239" s="206"/>
      <c r="O239" s="207"/>
      <c r="P239" s="208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79"/>
      <c r="AN239" s="45"/>
    </row>
    <row r="240" spans="2:40" x14ac:dyDescent="0.25">
      <c r="B240" s="192"/>
      <c r="C240" s="194"/>
      <c r="D240" s="194"/>
      <c r="E240" s="204"/>
      <c r="F240" s="210"/>
      <c r="G240" s="197"/>
      <c r="H240" s="215"/>
      <c r="I240" s="199">
        <f t="shared" si="43"/>
        <v>71415451.370000005</v>
      </c>
      <c r="J240" s="205"/>
      <c r="K240" s="206"/>
      <c r="L240" s="206"/>
      <c r="M240" s="206"/>
      <c r="N240" s="206"/>
      <c r="O240" s="207"/>
      <c r="P240" s="208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79"/>
      <c r="AN240" s="45"/>
    </row>
    <row r="241" spans="2:40" x14ac:dyDescent="0.25">
      <c r="B241" s="192"/>
      <c r="C241" s="194"/>
      <c r="D241" s="194"/>
      <c r="E241" s="204"/>
      <c r="F241" s="210"/>
      <c r="G241" s="197"/>
      <c r="H241" s="215"/>
      <c r="I241" s="199">
        <f t="shared" si="43"/>
        <v>71415451.370000005</v>
      </c>
      <c r="J241" s="205"/>
      <c r="K241" s="206"/>
      <c r="L241" s="206"/>
      <c r="M241" s="206"/>
      <c r="N241" s="206"/>
      <c r="O241" s="207"/>
      <c r="P241" s="208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79"/>
      <c r="AN241" s="45"/>
    </row>
    <row r="242" spans="2:40" x14ac:dyDescent="0.25">
      <c r="B242" s="192"/>
      <c r="C242" s="194"/>
      <c r="D242" s="194"/>
      <c r="E242" s="204"/>
      <c r="F242" s="210"/>
      <c r="G242" s="197"/>
      <c r="H242" s="215"/>
      <c r="I242" s="199">
        <f t="shared" si="43"/>
        <v>71415451.370000005</v>
      </c>
      <c r="J242" s="205"/>
      <c r="K242" s="206"/>
      <c r="L242" s="206"/>
      <c r="M242" s="206"/>
      <c r="N242" s="206"/>
      <c r="O242" s="207"/>
      <c r="P242" s="208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4"/>
      <c r="AK242" s="14"/>
      <c r="AL242" s="14"/>
      <c r="AM242" s="80"/>
      <c r="AN242" s="45"/>
    </row>
    <row r="243" spans="2:40" x14ac:dyDescent="0.25">
      <c r="B243" s="192"/>
      <c r="C243" s="194"/>
      <c r="D243" s="194"/>
      <c r="E243" s="204"/>
      <c r="F243" s="210"/>
      <c r="G243" s="197"/>
      <c r="H243" s="215"/>
      <c r="I243" s="199">
        <f t="shared" si="43"/>
        <v>71415451.370000005</v>
      </c>
      <c r="J243" s="205"/>
      <c r="K243" s="206"/>
      <c r="L243" s="206"/>
      <c r="M243" s="206"/>
      <c r="N243" s="206"/>
      <c r="O243" s="207"/>
      <c r="P243" s="208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79"/>
      <c r="AN243" s="45"/>
    </row>
    <row r="244" spans="2:40" x14ac:dyDescent="0.25">
      <c r="B244" s="192"/>
      <c r="C244" s="194"/>
      <c r="D244" s="194"/>
      <c r="E244" s="204"/>
      <c r="F244" s="210"/>
      <c r="G244" s="197"/>
      <c r="H244" s="215"/>
      <c r="I244" s="199">
        <f t="shared" si="43"/>
        <v>71415451.370000005</v>
      </c>
      <c r="J244" s="205"/>
      <c r="K244" s="206"/>
      <c r="L244" s="206"/>
      <c r="M244" s="206"/>
      <c r="N244" s="206"/>
      <c r="O244" s="207"/>
      <c r="P244" s="208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6"/>
      <c r="AK244" s="16"/>
      <c r="AL244" s="16"/>
      <c r="AM244" s="81"/>
      <c r="AN244" s="45"/>
    </row>
    <row r="245" spans="2:40" x14ac:dyDescent="0.25">
      <c r="B245" s="192"/>
      <c r="C245" s="194"/>
      <c r="D245" s="194"/>
      <c r="E245" s="204"/>
      <c r="F245" s="210"/>
      <c r="G245" s="197"/>
      <c r="H245" s="215"/>
      <c r="I245" s="199">
        <f t="shared" si="43"/>
        <v>71415451.370000005</v>
      </c>
      <c r="J245" s="205"/>
      <c r="K245" s="206"/>
      <c r="L245" s="206"/>
      <c r="M245" s="206"/>
      <c r="N245" s="206"/>
      <c r="O245" s="207"/>
      <c r="P245" s="208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79"/>
      <c r="AN245" s="45"/>
    </row>
    <row r="246" spans="2:40" x14ac:dyDescent="0.25">
      <c r="B246" s="192"/>
      <c r="C246" s="194"/>
      <c r="D246" s="194"/>
      <c r="E246" s="204"/>
      <c r="F246" s="210"/>
      <c r="G246" s="197"/>
      <c r="H246" s="215"/>
      <c r="I246" s="199">
        <f t="shared" si="43"/>
        <v>71415451.370000005</v>
      </c>
      <c r="J246" s="205"/>
      <c r="K246" s="206"/>
      <c r="L246" s="206"/>
      <c r="M246" s="206"/>
      <c r="N246" s="206"/>
      <c r="O246" s="207"/>
      <c r="P246" s="208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79"/>
      <c r="AN246" s="45"/>
    </row>
    <row r="247" spans="2:40" x14ac:dyDescent="0.25">
      <c r="B247" s="192"/>
      <c r="C247" s="194"/>
      <c r="D247" s="194"/>
      <c r="E247" s="204"/>
      <c r="F247" s="210"/>
      <c r="G247" s="197"/>
      <c r="H247" s="215"/>
      <c r="I247" s="199">
        <f t="shared" si="43"/>
        <v>71415451.370000005</v>
      </c>
      <c r="J247" s="205"/>
      <c r="K247" s="206"/>
      <c r="L247" s="206"/>
      <c r="M247" s="206"/>
      <c r="N247" s="206"/>
      <c r="O247" s="207"/>
      <c r="P247" s="208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79"/>
      <c r="AN247" s="45"/>
    </row>
    <row r="248" spans="2:40" x14ac:dyDescent="0.25">
      <c r="B248" s="192"/>
      <c r="C248" s="194"/>
      <c r="D248" s="194"/>
      <c r="E248" s="204"/>
      <c r="F248" s="210"/>
      <c r="G248" s="197"/>
      <c r="H248" s="215"/>
      <c r="I248" s="199">
        <f t="shared" si="43"/>
        <v>71415451.370000005</v>
      </c>
      <c r="J248" s="205"/>
      <c r="K248" s="206"/>
      <c r="L248" s="206"/>
      <c r="M248" s="206"/>
      <c r="N248" s="206"/>
      <c r="O248" s="207"/>
      <c r="P248" s="208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79"/>
      <c r="AN248" s="45"/>
    </row>
    <row r="249" spans="2:40" x14ac:dyDescent="0.25">
      <c r="B249" s="192"/>
      <c r="C249" s="194"/>
      <c r="D249" s="194"/>
      <c r="E249" s="204"/>
      <c r="F249" s="210"/>
      <c r="G249" s="197"/>
      <c r="H249" s="215"/>
      <c r="I249" s="199">
        <f t="shared" si="43"/>
        <v>71415451.370000005</v>
      </c>
      <c r="J249" s="205"/>
      <c r="K249" s="206"/>
      <c r="L249" s="206"/>
      <c r="M249" s="206"/>
      <c r="N249" s="206"/>
      <c r="O249" s="207"/>
      <c r="P249" s="208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4"/>
      <c r="AJ249" s="11"/>
      <c r="AK249" s="11"/>
      <c r="AL249" s="11"/>
      <c r="AM249" s="79"/>
      <c r="AN249" s="45"/>
    </row>
    <row r="250" spans="2:40" x14ac:dyDescent="0.25">
      <c r="B250" s="192"/>
      <c r="C250" s="194"/>
      <c r="D250" s="194"/>
      <c r="E250" s="204"/>
      <c r="F250" s="210"/>
      <c r="G250" s="197"/>
      <c r="H250" s="215"/>
      <c r="I250" s="199">
        <f t="shared" si="43"/>
        <v>71415451.370000005</v>
      </c>
      <c r="J250" s="205"/>
      <c r="K250" s="206"/>
      <c r="L250" s="206"/>
      <c r="M250" s="206"/>
      <c r="N250" s="206"/>
      <c r="O250" s="207"/>
      <c r="P250" s="208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79"/>
      <c r="AN250" s="45"/>
    </row>
    <row r="251" spans="2:40" x14ac:dyDescent="0.25">
      <c r="B251" s="192"/>
      <c r="C251" s="194"/>
      <c r="D251" s="194"/>
      <c r="E251" s="204"/>
      <c r="F251" s="210"/>
      <c r="G251" s="197"/>
      <c r="H251" s="215"/>
      <c r="I251" s="199">
        <f t="shared" si="43"/>
        <v>71415451.370000005</v>
      </c>
      <c r="J251" s="205"/>
      <c r="K251" s="206"/>
      <c r="L251" s="206"/>
      <c r="M251" s="206"/>
      <c r="N251" s="206"/>
      <c r="O251" s="207"/>
      <c r="P251" s="208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6"/>
      <c r="AJ251" s="11"/>
      <c r="AK251" s="11"/>
      <c r="AL251" s="11"/>
      <c r="AM251" s="79"/>
      <c r="AN251" s="45"/>
    </row>
    <row r="252" spans="2:40" x14ac:dyDescent="0.25">
      <c r="B252" s="192"/>
      <c r="C252" s="194"/>
      <c r="D252" s="194"/>
      <c r="E252" s="204"/>
      <c r="F252" s="210"/>
      <c r="G252" s="197"/>
      <c r="H252" s="215"/>
      <c r="I252" s="199">
        <f t="shared" si="43"/>
        <v>71415451.370000005</v>
      </c>
      <c r="J252" s="205"/>
      <c r="K252" s="206"/>
      <c r="L252" s="206"/>
      <c r="M252" s="206"/>
      <c r="N252" s="206"/>
      <c r="O252" s="207"/>
      <c r="P252" s="208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79"/>
      <c r="AN252" s="45"/>
    </row>
    <row r="253" spans="2:40" x14ac:dyDescent="0.25">
      <c r="B253" s="192"/>
      <c r="C253" s="194"/>
      <c r="D253" s="194"/>
      <c r="E253" s="204"/>
      <c r="F253" s="210"/>
      <c r="G253" s="197"/>
      <c r="H253" s="215"/>
      <c r="I253" s="199">
        <f t="shared" si="43"/>
        <v>71415451.370000005</v>
      </c>
      <c r="J253" s="205"/>
      <c r="K253" s="206"/>
      <c r="L253" s="206"/>
      <c r="M253" s="206"/>
      <c r="N253" s="206"/>
      <c r="O253" s="207"/>
      <c r="P253" s="208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79"/>
      <c r="AN253" s="45"/>
    </row>
    <row r="254" spans="2:40" x14ac:dyDescent="0.25">
      <c r="B254" s="192"/>
      <c r="C254" s="194"/>
      <c r="D254" s="194"/>
      <c r="E254" s="204"/>
      <c r="F254" s="210"/>
      <c r="G254" s="197"/>
      <c r="H254" s="215"/>
      <c r="I254" s="199">
        <f t="shared" si="43"/>
        <v>71415451.370000005</v>
      </c>
      <c r="J254" s="205"/>
      <c r="K254" s="206"/>
      <c r="L254" s="206"/>
      <c r="M254" s="206"/>
      <c r="N254" s="206"/>
      <c r="O254" s="207"/>
      <c r="P254" s="208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79"/>
      <c r="AN254" s="45"/>
    </row>
    <row r="255" spans="2:40" x14ac:dyDescent="0.25">
      <c r="B255" s="192"/>
      <c r="C255" s="194"/>
      <c r="D255" s="194"/>
      <c r="E255" s="204"/>
      <c r="F255" s="210"/>
      <c r="G255" s="197"/>
      <c r="H255" s="215"/>
      <c r="I255" s="199">
        <f t="shared" si="43"/>
        <v>71415451.370000005</v>
      </c>
      <c r="J255" s="205"/>
      <c r="K255" s="206"/>
      <c r="L255" s="206"/>
      <c r="M255" s="206"/>
      <c r="N255" s="206"/>
      <c r="O255" s="207"/>
      <c r="P255" s="208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79"/>
      <c r="AN255" s="45"/>
    </row>
    <row r="256" spans="2:40" x14ac:dyDescent="0.25">
      <c r="B256" s="192"/>
      <c r="C256" s="194"/>
      <c r="D256" s="194"/>
      <c r="E256" s="204"/>
      <c r="F256" s="210"/>
      <c r="G256" s="197"/>
      <c r="H256" s="215"/>
      <c r="I256" s="199">
        <f t="shared" si="43"/>
        <v>71415451.370000005</v>
      </c>
      <c r="J256" s="205"/>
      <c r="K256" s="206"/>
      <c r="L256" s="206"/>
      <c r="M256" s="206"/>
      <c r="N256" s="206"/>
      <c r="O256" s="207"/>
      <c r="P256" s="208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79"/>
      <c r="AN256" s="45"/>
    </row>
    <row r="257" spans="2:40" x14ac:dyDescent="0.25">
      <c r="B257" s="192"/>
      <c r="C257" s="194"/>
      <c r="D257" s="194"/>
      <c r="E257" s="204"/>
      <c r="F257" s="210"/>
      <c r="G257" s="197"/>
      <c r="H257" s="215"/>
      <c r="I257" s="199">
        <f t="shared" si="43"/>
        <v>71415451.370000005</v>
      </c>
      <c r="J257" s="205"/>
      <c r="K257" s="206"/>
      <c r="L257" s="206"/>
      <c r="M257" s="206"/>
      <c r="N257" s="206"/>
      <c r="O257" s="207"/>
      <c r="P257" s="208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79"/>
      <c r="AN257" s="45"/>
    </row>
    <row r="258" spans="2:40" x14ac:dyDescent="0.25">
      <c r="B258" s="192"/>
      <c r="C258" s="194"/>
      <c r="D258" s="194"/>
      <c r="E258" s="204"/>
      <c r="F258" s="210"/>
      <c r="G258" s="197"/>
      <c r="H258" s="215"/>
      <c r="I258" s="199">
        <f t="shared" si="43"/>
        <v>71415451.370000005</v>
      </c>
      <c r="J258" s="205"/>
      <c r="K258" s="206"/>
      <c r="L258" s="206"/>
      <c r="M258" s="206"/>
      <c r="N258" s="206"/>
      <c r="O258" s="207"/>
      <c r="P258" s="208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79"/>
      <c r="AN258" s="45"/>
    </row>
    <row r="259" spans="2:40" x14ac:dyDescent="0.25">
      <c r="B259" s="192"/>
      <c r="C259" s="194"/>
      <c r="D259" s="194"/>
      <c r="E259" s="204"/>
      <c r="F259" s="210"/>
      <c r="G259" s="197"/>
      <c r="H259" s="215"/>
      <c r="I259" s="199">
        <f t="shared" si="43"/>
        <v>71415451.370000005</v>
      </c>
      <c r="J259" s="205"/>
      <c r="K259" s="206"/>
      <c r="L259" s="206"/>
      <c r="M259" s="206"/>
      <c r="N259" s="206"/>
      <c r="O259" s="207"/>
      <c r="P259" s="208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79"/>
      <c r="AN259" s="45"/>
    </row>
    <row r="260" spans="2:40" x14ac:dyDescent="0.25">
      <c r="B260" s="192"/>
      <c r="C260" s="194"/>
      <c r="D260" s="194"/>
      <c r="E260" s="204"/>
      <c r="F260" s="210"/>
      <c r="G260" s="197"/>
      <c r="H260" s="215"/>
      <c r="I260" s="199">
        <f t="shared" si="43"/>
        <v>71415451.370000005</v>
      </c>
      <c r="J260" s="205"/>
      <c r="K260" s="206"/>
      <c r="L260" s="206"/>
      <c r="M260" s="206"/>
      <c r="N260" s="206"/>
      <c r="O260" s="207"/>
      <c r="P260" s="208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79"/>
      <c r="AN260" s="45"/>
    </row>
    <row r="261" spans="2:40" x14ac:dyDescent="0.25">
      <c r="B261" s="192"/>
      <c r="C261" s="194"/>
      <c r="D261" s="194"/>
      <c r="E261" s="204"/>
      <c r="F261" s="210"/>
      <c r="G261" s="197"/>
      <c r="H261" s="215"/>
      <c r="I261" s="199">
        <f t="shared" si="43"/>
        <v>71415451.370000005</v>
      </c>
      <c r="J261" s="205"/>
      <c r="K261" s="206"/>
      <c r="L261" s="206"/>
      <c r="M261" s="206"/>
      <c r="N261" s="206"/>
      <c r="O261" s="207"/>
      <c r="P261" s="208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79"/>
      <c r="AN261" s="45"/>
    </row>
    <row r="262" spans="2:40" x14ac:dyDescent="0.25">
      <c r="B262" s="192"/>
      <c r="C262" s="194"/>
      <c r="D262" s="194"/>
      <c r="E262" s="204"/>
      <c r="F262" s="210"/>
      <c r="G262" s="197"/>
      <c r="H262" s="215"/>
      <c r="I262" s="199">
        <f t="shared" si="43"/>
        <v>71415451.370000005</v>
      </c>
      <c r="J262" s="205"/>
      <c r="K262" s="206"/>
      <c r="L262" s="206"/>
      <c r="M262" s="206"/>
      <c r="N262" s="206"/>
      <c r="O262" s="207"/>
      <c r="P262" s="208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79"/>
      <c r="AN262" s="45"/>
    </row>
    <row r="263" spans="2:40" x14ac:dyDescent="0.25">
      <c r="B263" s="192"/>
      <c r="C263" s="194"/>
      <c r="D263" s="194"/>
      <c r="E263" s="204"/>
      <c r="F263" s="210"/>
      <c r="G263" s="197"/>
      <c r="H263" s="215"/>
      <c r="I263" s="199">
        <f t="shared" si="43"/>
        <v>71415451.370000005</v>
      </c>
      <c r="J263" s="205"/>
      <c r="K263" s="206"/>
      <c r="L263" s="206"/>
      <c r="M263" s="206"/>
      <c r="N263" s="206"/>
      <c r="O263" s="207"/>
      <c r="P263" s="208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79"/>
      <c r="AN263" s="45"/>
    </row>
    <row r="264" spans="2:40" x14ac:dyDescent="0.25">
      <c r="B264" s="192"/>
      <c r="C264" s="194"/>
      <c r="D264" s="194"/>
      <c r="E264" s="204"/>
      <c r="F264" s="210"/>
      <c r="G264" s="197"/>
      <c r="H264" s="215"/>
      <c r="I264" s="199">
        <f t="shared" si="43"/>
        <v>71415451.370000005</v>
      </c>
      <c r="J264" s="205"/>
      <c r="K264" s="206"/>
      <c r="L264" s="206"/>
      <c r="M264" s="206"/>
      <c r="N264" s="206"/>
      <c r="O264" s="207"/>
      <c r="P264" s="208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79"/>
      <c r="AN264" s="45"/>
    </row>
    <row r="265" spans="2:40" x14ac:dyDescent="0.25">
      <c r="B265" s="192"/>
      <c r="C265" s="194"/>
      <c r="D265" s="194"/>
      <c r="E265" s="204"/>
      <c r="F265" s="210"/>
      <c r="G265" s="197"/>
      <c r="H265" s="215"/>
      <c r="I265" s="199">
        <f t="shared" si="43"/>
        <v>71415451.370000005</v>
      </c>
      <c r="J265" s="205"/>
      <c r="K265" s="206"/>
      <c r="L265" s="206"/>
      <c r="M265" s="206"/>
      <c r="N265" s="206"/>
      <c r="O265" s="207"/>
      <c r="P265" s="208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79"/>
      <c r="AN265" s="45"/>
    </row>
    <row r="266" spans="2:40" x14ac:dyDescent="0.25">
      <c r="B266" s="192"/>
      <c r="C266" s="194"/>
      <c r="D266" s="194"/>
      <c r="E266" s="204"/>
      <c r="F266" s="210"/>
      <c r="G266" s="197"/>
      <c r="H266" s="215"/>
      <c r="I266" s="199">
        <f t="shared" si="43"/>
        <v>71415451.370000005</v>
      </c>
      <c r="J266" s="205"/>
      <c r="K266" s="206"/>
      <c r="L266" s="206"/>
      <c r="M266" s="206"/>
      <c r="N266" s="206"/>
      <c r="O266" s="207"/>
      <c r="P266" s="208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79"/>
      <c r="AN266" s="45"/>
    </row>
    <row r="267" spans="2:40" x14ac:dyDescent="0.25">
      <c r="B267" s="192"/>
      <c r="C267" s="194"/>
      <c r="D267" s="194"/>
      <c r="E267" s="204"/>
      <c r="F267" s="210"/>
      <c r="G267" s="197"/>
      <c r="H267" s="215"/>
      <c r="I267" s="199">
        <f t="shared" si="43"/>
        <v>71415451.370000005</v>
      </c>
      <c r="J267" s="205"/>
      <c r="K267" s="206"/>
      <c r="L267" s="206"/>
      <c r="M267" s="206"/>
      <c r="N267" s="206"/>
      <c r="O267" s="207"/>
      <c r="P267" s="208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79"/>
      <c r="AN267" s="45"/>
    </row>
    <row r="268" spans="2:40" x14ac:dyDescent="0.25">
      <c r="B268" s="192"/>
      <c r="C268" s="194"/>
      <c r="D268" s="194"/>
      <c r="E268" s="204"/>
      <c r="F268" s="210"/>
      <c r="G268" s="197"/>
      <c r="H268" s="215"/>
      <c r="I268" s="199">
        <f t="shared" si="43"/>
        <v>71415451.370000005</v>
      </c>
      <c r="J268" s="205"/>
      <c r="K268" s="206"/>
      <c r="L268" s="206"/>
      <c r="M268" s="206"/>
      <c r="N268" s="206"/>
      <c r="O268" s="207"/>
      <c r="P268" s="208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79"/>
      <c r="AN268" s="45"/>
    </row>
    <row r="269" spans="2:40" x14ac:dyDescent="0.25">
      <c r="B269" s="192"/>
      <c r="C269" s="194"/>
      <c r="D269" s="194"/>
      <c r="E269" s="204"/>
      <c r="F269" s="210"/>
      <c r="G269" s="197"/>
      <c r="H269" s="215"/>
      <c r="I269" s="199">
        <f t="shared" si="43"/>
        <v>71415451.370000005</v>
      </c>
      <c r="J269" s="205"/>
      <c r="K269" s="206"/>
      <c r="L269" s="206"/>
      <c r="M269" s="206"/>
      <c r="N269" s="206"/>
      <c r="O269" s="207"/>
      <c r="P269" s="208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79"/>
      <c r="AN269" s="45"/>
    </row>
    <row r="270" spans="2:40" x14ac:dyDescent="0.25">
      <c r="B270" s="192"/>
      <c r="C270" s="194"/>
      <c r="D270" s="194"/>
      <c r="E270" s="204"/>
      <c r="F270" s="210"/>
      <c r="G270" s="197"/>
      <c r="H270" s="215"/>
      <c r="I270" s="199">
        <f t="shared" si="43"/>
        <v>71415451.370000005</v>
      </c>
      <c r="J270" s="205"/>
      <c r="K270" s="206"/>
      <c r="L270" s="206"/>
      <c r="M270" s="206"/>
      <c r="N270" s="206"/>
      <c r="O270" s="207"/>
      <c r="P270" s="208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79"/>
      <c r="AN270" s="45"/>
    </row>
    <row r="271" spans="2:40" x14ac:dyDescent="0.25">
      <c r="B271" s="192"/>
      <c r="C271" s="194"/>
      <c r="D271" s="194"/>
      <c r="E271" s="204"/>
      <c r="F271" s="210"/>
      <c r="G271" s="197"/>
      <c r="H271" s="215"/>
      <c r="I271" s="199">
        <f t="shared" si="43"/>
        <v>71415451.370000005</v>
      </c>
      <c r="J271" s="205"/>
      <c r="K271" s="206"/>
      <c r="L271" s="206"/>
      <c r="M271" s="206"/>
      <c r="N271" s="206"/>
      <c r="O271" s="207"/>
      <c r="P271" s="208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79"/>
      <c r="AN271" s="45"/>
    </row>
    <row r="272" spans="2:40" x14ac:dyDescent="0.25">
      <c r="B272" s="192"/>
      <c r="C272" s="194"/>
      <c r="D272" s="194"/>
      <c r="E272" s="204"/>
      <c r="F272" s="210"/>
      <c r="G272" s="197"/>
      <c r="H272" s="215"/>
      <c r="I272" s="199">
        <f t="shared" si="43"/>
        <v>71415451.370000005</v>
      </c>
      <c r="J272" s="205"/>
      <c r="K272" s="206"/>
      <c r="L272" s="206"/>
      <c r="M272" s="206"/>
      <c r="N272" s="206"/>
      <c r="O272" s="207"/>
      <c r="P272" s="208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79"/>
      <c r="AN272" s="45"/>
    </row>
    <row r="273" spans="2:40" x14ac:dyDescent="0.25">
      <c r="B273" s="192"/>
      <c r="C273" s="194"/>
      <c r="D273" s="194"/>
      <c r="E273" s="204"/>
      <c r="F273" s="210"/>
      <c r="G273" s="197"/>
      <c r="H273" s="215"/>
      <c r="I273" s="199">
        <f t="shared" si="43"/>
        <v>71415451.370000005</v>
      </c>
      <c r="J273" s="205"/>
      <c r="K273" s="206"/>
      <c r="L273" s="206"/>
      <c r="M273" s="206"/>
      <c r="N273" s="206"/>
      <c r="O273" s="207"/>
      <c r="P273" s="208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79"/>
      <c r="AN273" s="45"/>
    </row>
    <row r="274" spans="2:40" x14ac:dyDescent="0.25">
      <c r="B274" s="192"/>
      <c r="C274" s="194"/>
      <c r="D274" s="194"/>
      <c r="E274" s="204"/>
      <c r="F274" s="210"/>
      <c r="G274" s="197"/>
      <c r="H274" s="215"/>
      <c r="I274" s="199">
        <f t="shared" si="43"/>
        <v>71415451.370000005</v>
      </c>
      <c r="J274" s="205"/>
      <c r="K274" s="206"/>
      <c r="L274" s="206"/>
      <c r="M274" s="206"/>
      <c r="N274" s="206"/>
      <c r="O274" s="207"/>
      <c r="P274" s="208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79"/>
      <c r="AN274" s="45"/>
    </row>
    <row r="275" spans="2:40" x14ac:dyDescent="0.25">
      <c r="B275" s="192"/>
      <c r="C275" s="194"/>
      <c r="D275" s="194"/>
      <c r="E275" s="204"/>
      <c r="F275" s="210"/>
      <c r="G275" s="197"/>
      <c r="H275" s="215"/>
      <c r="I275" s="199">
        <f t="shared" si="43"/>
        <v>71415451.370000005</v>
      </c>
      <c r="J275" s="205"/>
      <c r="K275" s="206"/>
      <c r="L275" s="206"/>
      <c r="M275" s="206"/>
      <c r="N275" s="206"/>
      <c r="O275" s="207"/>
      <c r="P275" s="208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79"/>
      <c r="AN275" s="45"/>
    </row>
    <row r="276" spans="2:40" x14ac:dyDescent="0.25">
      <c r="B276" s="192"/>
      <c r="C276" s="194"/>
      <c r="D276" s="194"/>
      <c r="E276" s="204"/>
      <c r="F276" s="210"/>
      <c r="G276" s="197"/>
      <c r="H276" s="215"/>
      <c r="I276" s="199">
        <f t="shared" si="43"/>
        <v>71415451.370000005</v>
      </c>
      <c r="J276" s="205"/>
      <c r="K276" s="206"/>
      <c r="L276" s="206"/>
      <c r="M276" s="206"/>
      <c r="N276" s="206"/>
      <c r="O276" s="207"/>
      <c r="P276" s="208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79"/>
      <c r="AN276" s="45"/>
    </row>
    <row r="277" spans="2:40" x14ac:dyDescent="0.25">
      <c r="B277" s="192"/>
      <c r="C277" s="194"/>
      <c r="D277" s="194"/>
      <c r="E277" s="204"/>
      <c r="F277" s="210"/>
      <c r="G277" s="197"/>
      <c r="H277" s="215"/>
      <c r="I277" s="199">
        <f t="shared" ref="I277:I340" si="44">I276+G277-H277</f>
        <v>71415451.370000005</v>
      </c>
      <c r="J277" s="205"/>
      <c r="K277" s="206"/>
      <c r="L277" s="206"/>
      <c r="M277" s="206"/>
      <c r="N277" s="206"/>
      <c r="O277" s="207"/>
      <c r="P277" s="208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79"/>
      <c r="AN277" s="45"/>
    </row>
    <row r="278" spans="2:40" x14ac:dyDescent="0.25">
      <c r="B278" s="192"/>
      <c r="C278" s="194"/>
      <c r="D278" s="194"/>
      <c r="E278" s="204"/>
      <c r="F278" s="210"/>
      <c r="G278" s="197"/>
      <c r="H278" s="215"/>
      <c r="I278" s="199">
        <f t="shared" si="44"/>
        <v>71415451.370000005</v>
      </c>
      <c r="J278" s="205"/>
      <c r="K278" s="206"/>
      <c r="L278" s="206"/>
      <c r="M278" s="206"/>
      <c r="N278" s="206"/>
      <c r="O278" s="207"/>
      <c r="P278" s="208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79"/>
      <c r="AN278" s="45"/>
    </row>
    <row r="279" spans="2:40" x14ac:dyDescent="0.25">
      <c r="B279" s="192"/>
      <c r="C279" s="194"/>
      <c r="D279" s="194"/>
      <c r="E279" s="204"/>
      <c r="F279" s="210"/>
      <c r="G279" s="197"/>
      <c r="H279" s="215"/>
      <c r="I279" s="199">
        <f t="shared" si="44"/>
        <v>71415451.370000005</v>
      </c>
      <c r="J279" s="205"/>
      <c r="K279" s="206"/>
      <c r="L279" s="206"/>
      <c r="M279" s="206"/>
      <c r="N279" s="206"/>
      <c r="O279" s="207"/>
      <c r="P279" s="208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79"/>
      <c r="AN279" s="45"/>
    </row>
    <row r="280" spans="2:40" x14ac:dyDescent="0.25">
      <c r="B280" s="192"/>
      <c r="C280" s="194"/>
      <c r="D280" s="194"/>
      <c r="E280" s="204"/>
      <c r="F280" s="210"/>
      <c r="G280" s="197"/>
      <c r="H280" s="215"/>
      <c r="I280" s="199">
        <f t="shared" si="44"/>
        <v>71415451.370000005</v>
      </c>
      <c r="J280" s="205"/>
      <c r="K280" s="206"/>
      <c r="L280" s="206"/>
      <c r="M280" s="206"/>
      <c r="N280" s="206"/>
      <c r="O280" s="207"/>
      <c r="P280" s="208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79"/>
      <c r="AN280" s="45"/>
    </row>
    <row r="281" spans="2:40" x14ac:dyDescent="0.25">
      <c r="B281" s="192"/>
      <c r="C281" s="194"/>
      <c r="D281" s="194"/>
      <c r="E281" s="204"/>
      <c r="F281" s="210"/>
      <c r="G281" s="197"/>
      <c r="H281" s="215"/>
      <c r="I281" s="199">
        <f t="shared" si="44"/>
        <v>71415451.370000005</v>
      </c>
      <c r="J281" s="205"/>
      <c r="K281" s="206"/>
      <c r="L281" s="206"/>
      <c r="M281" s="206"/>
      <c r="N281" s="206"/>
      <c r="O281" s="207"/>
      <c r="P281" s="208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79"/>
      <c r="AN281" s="45"/>
    </row>
    <row r="282" spans="2:40" x14ac:dyDescent="0.25">
      <c r="B282" s="192"/>
      <c r="C282" s="194"/>
      <c r="D282" s="194"/>
      <c r="E282" s="204"/>
      <c r="F282" s="210"/>
      <c r="G282" s="197"/>
      <c r="H282" s="215"/>
      <c r="I282" s="199">
        <f t="shared" si="44"/>
        <v>71415451.370000005</v>
      </c>
      <c r="J282" s="205"/>
      <c r="K282" s="206"/>
      <c r="L282" s="206"/>
      <c r="M282" s="206"/>
      <c r="N282" s="206"/>
      <c r="O282" s="207"/>
      <c r="P282" s="208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79"/>
      <c r="AN282" s="45"/>
    </row>
    <row r="283" spans="2:40" x14ac:dyDescent="0.25">
      <c r="B283" s="192"/>
      <c r="C283" s="194"/>
      <c r="D283" s="194"/>
      <c r="E283" s="204"/>
      <c r="F283" s="210"/>
      <c r="G283" s="197"/>
      <c r="H283" s="215"/>
      <c r="I283" s="199">
        <f t="shared" si="44"/>
        <v>71415451.370000005</v>
      </c>
      <c r="J283" s="205"/>
      <c r="K283" s="206"/>
      <c r="L283" s="206"/>
      <c r="M283" s="206"/>
      <c r="N283" s="206"/>
      <c r="O283" s="207"/>
      <c r="P283" s="208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79"/>
      <c r="AN283" s="45"/>
    </row>
    <row r="284" spans="2:40" x14ac:dyDescent="0.25">
      <c r="B284" s="192"/>
      <c r="C284" s="194"/>
      <c r="D284" s="194"/>
      <c r="E284" s="204"/>
      <c r="F284" s="210"/>
      <c r="G284" s="197"/>
      <c r="H284" s="215"/>
      <c r="I284" s="199">
        <f t="shared" si="44"/>
        <v>71415451.370000005</v>
      </c>
      <c r="J284" s="205"/>
      <c r="K284" s="206"/>
      <c r="L284" s="206"/>
      <c r="M284" s="206"/>
      <c r="N284" s="206"/>
      <c r="O284" s="207"/>
      <c r="P284" s="208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79"/>
      <c r="AN284" s="45"/>
    </row>
    <row r="285" spans="2:40" x14ac:dyDescent="0.25">
      <c r="B285" s="192"/>
      <c r="C285" s="194"/>
      <c r="D285" s="194"/>
      <c r="E285" s="204"/>
      <c r="F285" s="210"/>
      <c r="G285" s="197"/>
      <c r="H285" s="215"/>
      <c r="I285" s="199">
        <f t="shared" si="44"/>
        <v>71415451.370000005</v>
      </c>
      <c r="J285" s="205"/>
      <c r="K285" s="206"/>
      <c r="L285" s="206"/>
      <c r="M285" s="206"/>
      <c r="N285" s="206"/>
      <c r="O285" s="207"/>
      <c r="P285" s="208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79"/>
      <c r="AN285" s="45"/>
    </row>
    <row r="286" spans="2:40" x14ac:dyDescent="0.25">
      <c r="B286" s="192"/>
      <c r="C286" s="194"/>
      <c r="D286" s="194"/>
      <c r="E286" s="204"/>
      <c r="F286" s="210"/>
      <c r="G286" s="197"/>
      <c r="H286" s="215"/>
      <c r="I286" s="199">
        <f t="shared" si="44"/>
        <v>71415451.370000005</v>
      </c>
      <c r="J286" s="205"/>
      <c r="K286" s="206"/>
      <c r="L286" s="206"/>
      <c r="M286" s="206"/>
      <c r="N286" s="206"/>
      <c r="O286" s="207"/>
      <c r="P286" s="208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79"/>
      <c r="AN286" s="45"/>
    </row>
    <row r="287" spans="2:40" x14ac:dyDescent="0.25">
      <c r="B287" s="192"/>
      <c r="C287" s="194"/>
      <c r="D287" s="194"/>
      <c r="E287" s="204"/>
      <c r="F287" s="210"/>
      <c r="G287" s="197"/>
      <c r="H287" s="215"/>
      <c r="I287" s="199">
        <f t="shared" si="44"/>
        <v>71415451.370000005</v>
      </c>
      <c r="J287" s="205"/>
      <c r="K287" s="206"/>
      <c r="L287" s="206"/>
      <c r="M287" s="206"/>
      <c r="N287" s="206"/>
      <c r="O287" s="207"/>
      <c r="P287" s="208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4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79"/>
      <c r="AN287" s="45"/>
    </row>
    <row r="288" spans="2:40" x14ac:dyDescent="0.25">
      <c r="B288" s="192"/>
      <c r="C288" s="194"/>
      <c r="D288" s="194"/>
      <c r="E288" s="204"/>
      <c r="F288" s="210"/>
      <c r="G288" s="197"/>
      <c r="H288" s="215"/>
      <c r="I288" s="199">
        <f t="shared" si="44"/>
        <v>71415451.370000005</v>
      </c>
      <c r="J288" s="205"/>
      <c r="K288" s="206"/>
      <c r="L288" s="206"/>
      <c r="M288" s="206"/>
      <c r="N288" s="206"/>
      <c r="O288" s="207"/>
      <c r="P288" s="208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79"/>
      <c r="AN288" s="45"/>
    </row>
    <row r="289" spans="2:40" x14ac:dyDescent="0.25">
      <c r="B289" s="192"/>
      <c r="C289" s="194"/>
      <c r="D289" s="194"/>
      <c r="E289" s="204"/>
      <c r="F289" s="210"/>
      <c r="G289" s="197"/>
      <c r="H289" s="215"/>
      <c r="I289" s="199">
        <f t="shared" si="44"/>
        <v>71415451.370000005</v>
      </c>
      <c r="J289" s="205"/>
      <c r="K289" s="206"/>
      <c r="L289" s="206"/>
      <c r="M289" s="206"/>
      <c r="N289" s="206"/>
      <c r="O289" s="207"/>
      <c r="P289" s="208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79"/>
      <c r="AN289" s="45"/>
    </row>
    <row r="290" spans="2:40" x14ac:dyDescent="0.25">
      <c r="B290" s="192"/>
      <c r="C290" s="194"/>
      <c r="D290" s="194"/>
      <c r="E290" s="204"/>
      <c r="F290" s="210"/>
      <c r="G290" s="197"/>
      <c r="H290" s="215"/>
      <c r="I290" s="199">
        <f t="shared" si="44"/>
        <v>71415451.370000005</v>
      </c>
      <c r="J290" s="205"/>
      <c r="K290" s="206"/>
      <c r="L290" s="206"/>
      <c r="M290" s="206"/>
      <c r="N290" s="206"/>
      <c r="O290" s="207"/>
      <c r="P290" s="208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79"/>
      <c r="AN290" s="45"/>
    </row>
    <row r="291" spans="2:40" x14ac:dyDescent="0.25">
      <c r="B291" s="192"/>
      <c r="C291" s="194"/>
      <c r="D291" s="194"/>
      <c r="E291" s="204"/>
      <c r="F291" s="210"/>
      <c r="G291" s="197"/>
      <c r="H291" s="215"/>
      <c r="I291" s="199">
        <f t="shared" si="44"/>
        <v>71415451.370000005</v>
      </c>
      <c r="J291" s="205"/>
      <c r="K291" s="206"/>
      <c r="L291" s="206"/>
      <c r="M291" s="206"/>
      <c r="N291" s="206"/>
      <c r="O291" s="207"/>
      <c r="P291" s="208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79"/>
      <c r="AN291" s="45"/>
    </row>
    <row r="292" spans="2:40" x14ac:dyDescent="0.25">
      <c r="B292" s="192"/>
      <c r="C292" s="194"/>
      <c r="D292" s="194"/>
      <c r="E292" s="204"/>
      <c r="F292" s="210"/>
      <c r="G292" s="197"/>
      <c r="H292" s="215"/>
      <c r="I292" s="199">
        <f t="shared" si="44"/>
        <v>71415451.370000005</v>
      </c>
      <c r="J292" s="205"/>
      <c r="K292" s="206"/>
      <c r="L292" s="206"/>
      <c r="M292" s="206"/>
      <c r="N292" s="206"/>
      <c r="O292" s="207"/>
      <c r="P292" s="208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79"/>
      <c r="AN292" s="45"/>
    </row>
    <row r="293" spans="2:40" x14ac:dyDescent="0.25">
      <c r="B293" s="192"/>
      <c r="C293" s="194"/>
      <c r="D293" s="194"/>
      <c r="E293" s="204"/>
      <c r="F293" s="210"/>
      <c r="G293" s="197"/>
      <c r="H293" s="215"/>
      <c r="I293" s="199">
        <f t="shared" si="44"/>
        <v>71415451.370000005</v>
      </c>
      <c r="J293" s="205"/>
      <c r="K293" s="206"/>
      <c r="L293" s="206"/>
      <c r="M293" s="206"/>
      <c r="N293" s="206"/>
      <c r="O293" s="207"/>
      <c r="P293" s="208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79"/>
      <c r="AN293" s="45"/>
    </row>
    <row r="294" spans="2:40" x14ac:dyDescent="0.25">
      <c r="B294" s="192"/>
      <c r="C294" s="194"/>
      <c r="D294" s="194"/>
      <c r="E294" s="204"/>
      <c r="F294" s="210"/>
      <c r="G294" s="197"/>
      <c r="H294" s="215"/>
      <c r="I294" s="199">
        <f t="shared" si="44"/>
        <v>71415451.370000005</v>
      </c>
      <c r="J294" s="205"/>
      <c r="K294" s="206"/>
      <c r="L294" s="206"/>
      <c r="M294" s="206"/>
      <c r="N294" s="206"/>
      <c r="O294" s="207"/>
      <c r="P294" s="208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79"/>
      <c r="AN294" s="45"/>
    </row>
    <row r="295" spans="2:40" x14ac:dyDescent="0.25">
      <c r="B295" s="192"/>
      <c r="C295" s="194"/>
      <c r="D295" s="194"/>
      <c r="E295" s="204"/>
      <c r="F295" s="210"/>
      <c r="G295" s="197"/>
      <c r="H295" s="215"/>
      <c r="I295" s="199">
        <f t="shared" si="44"/>
        <v>71415451.370000005</v>
      </c>
      <c r="J295" s="205"/>
      <c r="K295" s="206"/>
      <c r="L295" s="206"/>
      <c r="M295" s="206"/>
      <c r="N295" s="206"/>
      <c r="O295" s="207"/>
      <c r="P295" s="208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79"/>
      <c r="AN295" s="45"/>
    </row>
    <row r="296" spans="2:40" x14ac:dyDescent="0.25">
      <c r="B296" s="192"/>
      <c r="C296" s="194"/>
      <c r="D296" s="194"/>
      <c r="E296" s="204"/>
      <c r="F296" s="210"/>
      <c r="G296" s="197"/>
      <c r="H296" s="215"/>
      <c r="I296" s="199">
        <f t="shared" si="44"/>
        <v>71415451.370000005</v>
      </c>
      <c r="J296" s="205"/>
      <c r="K296" s="206"/>
      <c r="L296" s="206"/>
      <c r="M296" s="206"/>
      <c r="N296" s="206"/>
      <c r="O296" s="207"/>
      <c r="P296" s="208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79"/>
      <c r="AN296" s="45"/>
    </row>
    <row r="297" spans="2:40" x14ac:dyDescent="0.25">
      <c r="B297" s="192"/>
      <c r="C297" s="194"/>
      <c r="D297" s="194"/>
      <c r="E297" s="204"/>
      <c r="F297" s="210"/>
      <c r="G297" s="197"/>
      <c r="H297" s="215"/>
      <c r="I297" s="199">
        <f t="shared" si="44"/>
        <v>71415451.370000005</v>
      </c>
      <c r="J297" s="205"/>
      <c r="K297" s="206"/>
      <c r="L297" s="206"/>
      <c r="M297" s="206"/>
      <c r="N297" s="206"/>
      <c r="O297" s="207"/>
      <c r="P297" s="208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79"/>
      <c r="AN297" s="45"/>
    </row>
    <row r="298" spans="2:40" x14ac:dyDescent="0.25">
      <c r="B298" s="192"/>
      <c r="C298" s="194"/>
      <c r="D298" s="194"/>
      <c r="E298" s="204"/>
      <c r="F298" s="210"/>
      <c r="G298" s="197"/>
      <c r="H298" s="215"/>
      <c r="I298" s="199">
        <f t="shared" si="44"/>
        <v>71415451.370000005</v>
      </c>
      <c r="J298" s="205"/>
      <c r="K298" s="206"/>
      <c r="L298" s="206"/>
      <c r="M298" s="206"/>
      <c r="N298" s="206"/>
      <c r="O298" s="207"/>
      <c r="P298" s="208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79"/>
      <c r="AN298" s="45"/>
    </row>
    <row r="299" spans="2:40" x14ac:dyDescent="0.25">
      <c r="B299" s="192"/>
      <c r="C299" s="194"/>
      <c r="D299" s="194"/>
      <c r="E299" s="204"/>
      <c r="F299" s="210"/>
      <c r="G299" s="197"/>
      <c r="H299" s="215"/>
      <c r="I299" s="199">
        <f t="shared" si="44"/>
        <v>71415451.370000005</v>
      </c>
      <c r="J299" s="205"/>
      <c r="K299" s="206"/>
      <c r="L299" s="206"/>
      <c r="M299" s="206"/>
      <c r="N299" s="206"/>
      <c r="O299" s="207"/>
      <c r="P299" s="208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79"/>
      <c r="AN299" s="45"/>
    </row>
    <row r="300" spans="2:40" x14ac:dyDescent="0.25">
      <c r="B300" s="192"/>
      <c r="C300" s="194"/>
      <c r="D300" s="194"/>
      <c r="E300" s="204"/>
      <c r="F300" s="210"/>
      <c r="G300" s="197"/>
      <c r="H300" s="215"/>
      <c r="I300" s="199">
        <f t="shared" si="44"/>
        <v>71415451.370000005</v>
      </c>
      <c r="J300" s="205"/>
      <c r="K300" s="206"/>
      <c r="L300" s="206"/>
      <c r="M300" s="206"/>
      <c r="N300" s="206"/>
      <c r="O300" s="207"/>
      <c r="P300" s="208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79"/>
      <c r="AN300" s="45"/>
    </row>
    <row r="301" spans="2:40" x14ac:dyDescent="0.25">
      <c r="B301" s="192"/>
      <c r="C301" s="194"/>
      <c r="D301" s="194"/>
      <c r="E301" s="204"/>
      <c r="F301" s="210"/>
      <c r="G301" s="197"/>
      <c r="H301" s="215"/>
      <c r="I301" s="199">
        <f t="shared" si="44"/>
        <v>71415451.370000005</v>
      </c>
      <c r="J301" s="205"/>
      <c r="K301" s="206"/>
      <c r="L301" s="206"/>
      <c r="M301" s="206"/>
      <c r="N301" s="206"/>
      <c r="O301" s="207"/>
      <c r="P301" s="208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79"/>
      <c r="AN301" s="45"/>
    </row>
    <row r="302" spans="2:40" x14ac:dyDescent="0.25">
      <c r="B302" s="192"/>
      <c r="C302" s="194"/>
      <c r="D302" s="194"/>
      <c r="E302" s="204"/>
      <c r="F302" s="210"/>
      <c r="G302" s="197"/>
      <c r="H302" s="215"/>
      <c r="I302" s="199">
        <f t="shared" si="44"/>
        <v>71415451.370000005</v>
      </c>
      <c r="J302" s="205"/>
      <c r="K302" s="206"/>
      <c r="L302" s="206"/>
      <c r="M302" s="206"/>
      <c r="N302" s="206"/>
      <c r="O302" s="207"/>
      <c r="P302" s="208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79"/>
      <c r="AN302" s="45"/>
    </row>
    <row r="303" spans="2:40" x14ac:dyDescent="0.25">
      <c r="B303" s="192"/>
      <c r="C303" s="194"/>
      <c r="D303" s="194"/>
      <c r="E303" s="204"/>
      <c r="F303" s="210"/>
      <c r="G303" s="197"/>
      <c r="H303" s="215"/>
      <c r="I303" s="199">
        <f t="shared" si="44"/>
        <v>71415451.370000005</v>
      </c>
      <c r="J303" s="205"/>
      <c r="K303" s="206"/>
      <c r="L303" s="206"/>
      <c r="M303" s="206"/>
      <c r="N303" s="206"/>
      <c r="O303" s="207"/>
      <c r="P303" s="208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79"/>
      <c r="AN303" s="45"/>
    </row>
    <row r="304" spans="2:40" x14ac:dyDescent="0.25">
      <c r="B304" s="192"/>
      <c r="C304" s="194"/>
      <c r="D304" s="194"/>
      <c r="E304" s="204"/>
      <c r="F304" s="210"/>
      <c r="G304" s="197"/>
      <c r="H304" s="215"/>
      <c r="I304" s="199">
        <f t="shared" si="44"/>
        <v>71415451.370000005</v>
      </c>
      <c r="J304" s="205"/>
      <c r="K304" s="206"/>
      <c r="L304" s="206"/>
      <c r="M304" s="206"/>
      <c r="N304" s="206"/>
      <c r="O304" s="207"/>
      <c r="P304" s="208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79"/>
      <c r="AN304" s="45"/>
    </row>
    <row r="305" spans="2:40" x14ac:dyDescent="0.25">
      <c r="B305" s="192"/>
      <c r="C305" s="194"/>
      <c r="D305" s="194"/>
      <c r="E305" s="204"/>
      <c r="F305" s="210"/>
      <c r="G305" s="197"/>
      <c r="H305" s="215"/>
      <c r="I305" s="199">
        <f t="shared" si="44"/>
        <v>71415451.370000005</v>
      </c>
      <c r="J305" s="205"/>
      <c r="K305" s="206"/>
      <c r="L305" s="206"/>
      <c r="M305" s="206"/>
      <c r="N305" s="206"/>
      <c r="O305" s="207"/>
      <c r="P305" s="208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79"/>
      <c r="AN305" s="45"/>
    </row>
    <row r="306" spans="2:40" x14ac:dyDescent="0.25">
      <c r="B306" s="192"/>
      <c r="C306" s="194"/>
      <c r="D306" s="194"/>
      <c r="E306" s="204"/>
      <c r="F306" s="210"/>
      <c r="G306" s="197"/>
      <c r="H306" s="215"/>
      <c r="I306" s="199">
        <f t="shared" si="44"/>
        <v>71415451.370000005</v>
      </c>
      <c r="J306" s="205"/>
      <c r="K306" s="206"/>
      <c r="L306" s="206"/>
      <c r="M306" s="206"/>
      <c r="N306" s="206"/>
      <c r="O306" s="207"/>
      <c r="P306" s="208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79"/>
      <c r="AN306" s="45"/>
    </row>
    <row r="307" spans="2:40" x14ac:dyDescent="0.25">
      <c r="B307" s="192"/>
      <c r="C307" s="194"/>
      <c r="D307" s="194"/>
      <c r="E307" s="204"/>
      <c r="F307" s="210"/>
      <c r="G307" s="197"/>
      <c r="H307" s="215"/>
      <c r="I307" s="199">
        <f t="shared" si="44"/>
        <v>71415451.370000005</v>
      </c>
      <c r="J307" s="205"/>
      <c r="K307" s="206"/>
      <c r="L307" s="206"/>
      <c r="M307" s="206"/>
      <c r="N307" s="206"/>
      <c r="O307" s="207"/>
      <c r="P307" s="208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79"/>
      <c r="AN307" s="45"/>
    </row>
    <row r="308" spans="2:40" x14ac:dyDescent="0.25">
      <c r="B308" s="192"/>
      <c r="C308" s="194"/>
      <c r="D308" s="194"/>
      <c r="E308" s="204"/>
      <c r="F308" s="210"/>
      <c r="G308" s="197"/>
      <c r="H308" s="215"/>
      <c r="I308" s="199">
        <f t="shared" si="44"/>
        <v>71415451.370000005</v>
      </c>
      <c r="J308" s="205"/>
      <c r="K308" s="206"/>
      <c r="L308" s="206"/>
      <c r="M308" s="206"/>
      <c r="N308" s="206"/>
      <c r="O308" s="207"/>
      <c r="P308" s="208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79"/>
      <c r="AN308" s="45"/>
    </row>
    <row r="309" spans="2:40" x14ac:dyDescent="0.25">
      <c r="B309" s="192"/>
      <c r="C309" s="194"/>
      <c r="D309" s="194"/>
      <c r="E309" s="204"/>
      <c r="F309" s="210"/>
      <c r="G309" s="197"/>
      <c r="H309" s="215"/>
      <c r="I309" s="199">
        <f t="shared" si="44"/>
        <v>71415451.370000005</v>
      </c>
      <c r="J309" s="205"/>
      <c r="K309" s="206"/>
      <c r="L309" s="206"/>
      <c r="M309" s="206"/>
      <c r="N309" s="206"/>
      <c r="O309" s="207"/>
      <c r="P309" s="208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79"/>
      <c r="AN309" s="45"/>
    </row>
    <row r="310" spans="2:40" x14ac:dyDescent="0.25">
      <c r="B310" s="192"/>
      <c r="C310" s="194"/>
      <c r="D310" s="194"/>
      <c r="E310" s="204"/>
      <c r="F310" s="210"/>
      <c r="G310" s="197"/>
      <c r="H310" s="215"/>
      <c r="I310" s="199">
        <f t="shared" si="44"/>
        <v>71415451.370000005</v>
      </c>
      <c r="J310" s="205"/>
      <c r="K310" s="206"/>
      <c r="L310" s="206"/>
      <c r="M310" s="206"/>
      <c r="N310" s="206"/>
      <c r="O310" s="207"/>
      <c r="P310" s="208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79"/>
      <c r="AN310" s="45"/>
    </row>
    <row r="311" spans="2:40" x14ac:dyDescent="0.25">
      <c r="B311" s="192"/>
      <c r="C311" s="194"/>
      <c r="D311" s="194"/>
      <c r="E311" s="204"/>
      <c r="F311" s="210"/>
      <c r="G311" s="197"/>
      <c r="H311" s="215"/>
      <c r="I311" s="199">
        <f t="shared" si="44"/>
        <v>71415451.370000005</v>
      </c>
      <c r="J311" s="205"/>
      <c r="K311" s="206"/>
      <c r="L311" s="206"/>
      <c r="M311" s="206"/>
      <c r="N311" s="206"/>
      <c r="O311" s="207"/>
      <c r="P311" s="208"/>
      <c r="Q311" s="14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79"/>
      <c r="AN311" s="45"/>
    </row>
    <row r="312" spans="2:40" x14ac:dyDescent="0.25">
      <c r="B312" s="192"/>
      <c r="C312" s="194"/>
      <c r="D312" s="194"/>
      <c r="E312" s="204"/>
      <c r="F312" s="210"/>
      <c r="G312" s="197"/>
      <c r="H312" s="215"/>
      <c r="I312" s="199">
        <f t="shared" si="44"/>
        <v>71415451.370000005</v>
      </c>
      <c r="J312" s="205"/>
      <c r="K312" s="206"/>
      <c r="L312" s="206"/>
      <c r="M312" s="206"/>
      <c r="N312" s="206"/>
      <c r="O312" s="207"/>
      <c r="P312" s="208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79"/>
      <c r="AN312" s="45"/>
    </row>
    <row r="313" spans="2:40" x14ac:dyDescent="0.25">
      <c r="B313" s="192"/>
      <c r="C313" s="194"/>
      <c r="D313" s="194"/>
      <c r="E313" s="204"/>
      <c r="F313" s="210"/>
      <c r="G313" s="197"/>
      <c r="H313" s="215"/>
      <c r="I313" s="199">
        <f t="shared" si="44"/>
        <v>71415451.370000005</v>
      </c>
      <c r="J313" s="205"/>
      <c r="K313" s="206"/>
      <c r="L313" s="206"/>
      <c r="M313" s="206"/>
      <c r="N313" s="206"/>
      <c r="O313" s="207"/>
      <c r="P313" s="208"/>
      <c r="Q313" s="14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79"/>
      <c r="AN313" s="45"/>
    </row>
    <row r="314" spans="2:40" x14ac:dyDescent="0.25">
      <c r="B314" s="192"/>
      <c r="C314" s="194"/>
      <c r="D314" s="194"/>
      <c r="E314" s="204"/>
      <c r="F314" s="210"/>
      <c r="G314" s="197"/>
      <c r="H314" s="215"/>
      <c r="I314" s="199">
        <f t="shared" si="44"/>
        <v>71415451.370000005</v>
      </c>
      <c r="J314" s="205"/>
      <c r="K314" s="206"/>
      <c r="L314" s="206"/>
      <c r="M314" s="206"/>
      <c r="N314" s="206"/>
      <c r="O314" s="207"/>
      <c r="P314" s="208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79"/>
      <c r="AN314" s="45"/>
    </row>
    <row r="315" spans="2:40" x14ac:dyDescent="0.25">
      <c r="B315" s="192"/>
      <c r="C315" s="194"/>
      <c r="D315" s="194"/>
      <c r="E315" s="204"/>
      <c r="F315" s="210"/>
      <c r="G315" s="197"/>
      <c r="H315" s="215"/>
      <c r="I315" s="199">
        <f t="shared" si="44"/>
        <v>71415451.370000005</v>
      </c>
      <c r="J315" s="205"/>
      <c r="K315" s="206"/>
      <c r="L315" s="206"/>
      <c r="M315" s="206"/>
      <c r="N315" s="206"/>
      <c r="O315" s="207"/>
      <c r="P315" s="208"/>
      <c r="Q315" s="17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79"/>
      <c r="AN315" s="45"/>
    </row>
    <row r="316" spans="2:40" x14ac:dyDescent="0.25">
      <c r="B316" s="192"/>
      <c r="C316" s="194"/>
      <c r="D316" s="194"/>
      <c r="E316" s="204"/>
      <c r="F316" s="210"/>
      <c r="G316" s="197"/>
      <c r="H316" s="215"/>
      <c r="I316" s="199">
        <f t="shared" si="44"/>
        <v>71415451.370000005</v>
      </c>
      <c r="J316" s="205"/>
      <c r="K316" s="206"/>
      <c r="L316" s="206"/>
      <c r="M316" s="206"/>
      <c r="N316" s="206"/>
      <c r="O316" s="207"/>
      <c r="P316" s="208"/>
      <c r="Q316" s="17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79"/>
      <c r="AN316" s="45"/>
    </row>
    <row r="317" spans="2:40" x14ac:dyDescent="0.25">
      <c r="B317" s="192"/>
      <c r="C317" s="194"/>
      <c r="D317" s="194"/>
      <c r="E317" s="204"/>
      <c r="F317" s="210"/>
      <c r="G317" s="197"/>
      <c r="H317" s="215"/>
      <c r="I317" s="199">
        <f t="shared" si="44"/>
        <v>71415451.370000005</v>
      </c>
      <c r="J317" s="205"/>
      <c r="K317" s="206"/>
      <c r="L317" s="206"/>
      <c r="M317" s="206"/>
      <c r="N317" s="206"/>
      <c r="O317" s="207"/>
      <c r="P317" s="208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79"/>
      <c r="AN317" s="45"/>
    </row>
    <row r="318" spans="2:40" x14ac:dyDescent="0.25">
      <c r="B318" s="192"/>
      <c r="C318" s="194"/>
      <c r="D318" s="194"/>
      <c r="E318" s="204"/>
      <c r="F318" s="210"/>
      <c r="G318" s="197"/>
      <c r="H318" s="215"/>
      <c r="I318" s="199">
        <f t="shared" si="44"/>
        <v>71415451.370000005</v>
      </c>
      <c r="J318" s="205"/>
      <c r="K318" s="206"/>
      <c r="L318" s="206"/>
      <c r="M318" s="206"/>
      <c r="N318" s="206"/>
      <c r="O318" s="207"/>
      <c r="P318" s="208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4"/>
      <c r="AC318" s="14"/>
      <c r="AD318" s="14"/>
      <c r="AE318" s="14"/>
      <c r="AF318" s="11"/>
      <c r="AG318" s="11"/>
      <c r="AH318" s="11"/>
      <c r="AI318" s="11"/>
      <c r="AJ318" s="11"/>
      <c r="AK318" s="11"/>
      <c r="AL318" s="11"/>
      <c r="AM318" s="79"/>
      <c r="AN318" s="45"/>
    </row>
    <row r="319" spans="2:40" x14ac:dyDescent="0.25">
      <c r="B319" s="192"/>
      <c r="C319" s="194"/>
      <c r="D319" s="194"/>
      <c r="E319" s="204"/>
      <c r="F319" s="210"/>
      <c r="G319" s="197"/>
      <c r="H319" s="215"/>
      <c r="I319" s="199">
        <f t="shared" si="44"/>
        <v>71415451.370000005</v>
      </c>
      <c r="J319" s="205"/>
      <c r="K319" s="206"/>
      <c r="L319" s="206"/>
      <c r="M319" s="206"/>
      <c r="N319" s="206"/>
      <c r="O319" s="207"/>
      <c r="P319" s="208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79"/>
      <c r="AN319" s="45"/>
    </row>
    <row r="320" spans="2:40" x14ac:dyDescent="0.25">
      <c r="B320" s="192"/>
      <c r="C320" s="194"/>
      <c r="D320" s="194"/>
      <c r="E320" s="204"/>
      <c r="F320" s="210"/>
      <c r="G320" s="197"/>
      <c r="H320" s="215"/>
      <c r="I320" s="199">
        <f t="shared" si="44"/>
        <v>71415451.370000005</v>
      </c>
      <c r="J320" s="205"/>
      <c r="K320" s="206"/>
      <c r="L320" s="206"/>
      <c r="M320" s="206"/>
      <c r="N320" s="206"/>
      <c r="O320" s="207"/>
      <c r="P320" s="208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79"/>
      <c r="AN320" s="45"/>
    </row>
    <row r="321" spans="1:40" x14ac:dyDescent="0.25">
      <c r="B321" s="192"/>
      <c r="C321" s="194"/>
      <c r="D321" s="194"/>
      <c r="E321" s="204"/>
      <c r="F321" s="210"/>
      <c r="G321" s="197"/>
      <c r="H321" s="215"/>
      <c r="I321" s="199">
        <f t="shared" si="44"/>
        <v>71415451.370000005</v>
      </c>
      <c r="J321" s="205"/>
      <c r="K321" s="206"/>
      <c r="L321" s="206"/>
      <c r="M321" s="206"/>
      <c r="N321" s="206"/>
      <c r="O321" s="207"/>
      <c r="P321" s="208"/>
      <c r="Q321" s="14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79"/>
      <c r="AN321" s="45"/>
    </row>
    <row r="322" spans="1:40" x14ac:dyDescent="0.25">
      <c r="B322" s="192"/>
      <c r="C322" s="194"/>
      <c r="D322" s="194"/>
      <c r="E322" s="204"/>
      <c r="F322" s="210"/>
      <c r="G322" s="197"/>
      <c r="H322" s="215"/>
      <c r="I322" s="199">
        <f t="shared" si="44"/>
        <v>71415451.370000005</v>
      </c>
      <c r="J322" s="205"/>
      <c r="K322" s="206"/>
      <c r="L322" s="206"/>
      <c r="M322" s="206"/>
      <c r="N322" s="206"/>
      <c r="O322" s="207"/>
      <c r="P322" s="220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79"/>
      <c r="AN322" s="45"/>
    </row>
    <row r="323" spans="1:40" x14ac:dyDescent="0.25">
      <c r="B323" s="192"/>
      <c r="C323" s="194"/>
      <c r="D323" s="194"/>
      <c r="E323" s="204"/>
      <c r="F323" s="210"/>
      <c r="G323" s="197"/>
      <c r="H323" s="215"/>
      <c r="I323" s="199">
        <f t="shared" si="44"/>
        <v>71415451.370000005</v>
      </c>
      <c r="J323" s="205"/>
      <c r="K323" s="206"/>
      <c r="L323" s="206"/>
      <c r="M323" s="206"/>
      <c r="N323" s="206"/>
      <c r="O323" s="207"/>
      <c r="P323" s="208"/>
      <c r="Q323" s="11"/>
      <c r="R323" s="11"/>
      <c r="S323" s="11"/>
      <c r="T323" s="11"/>
      <c r="U323" s="11"/>
      <c r="V323" s="16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79"/>
      <c r="AN323" s="45"/>
    </row>
    <row r="324" spans="1:40" x14ac:dyDescent="0.25">
      <c r="B324" s="192"/>
      <c r="C324" s="194"/>
      <c r="D324" s="194"/>
      <c r="E324" s="204"/>
      <c r="F324" s="210"/>
      <c r="G324" s="197"/>
      <c r="H324" s="215"/>
      <c r="I324" s="199">
        <f t="shared" si="44"/>
        <v>71415451.370000005</v>
      </c>
      <c r="J324" s="205"/>
      <c r="K324" s="206"/>
      <c r="L324" s="206"/>
      <c r="M324" s="206"/>
      <c r="N324" s="206"/>
      <c r="O324" s="207"/>
      <c r="P324" s="208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79"/>
      <c r="AN324" s="45"/>
    </row>
    <row r="325" spans="1:40" x14ac:dyDescent="0.25">
      <c r="B325" s="192"/>
      <c r="C325" s="194"/>
      <c r="D325" s="194"/>
      <c r="E325" s="204"/>
      <c r="F325" s="210"/>
      <c r="G325" s="197"/>
      <c r="H325" s="215"/>
      <c r="I325" s="199">
        <f t="shared" si="44"/>
        <v>71415451.370000005</v>
      </c>
      <c r="J325" s="205"/>
      <c r="K325" s="206"/>
      <c r="L325" s="206"/>
      <c r="M325" s="206"/>
      <c r="N325" s="206"/>
      <c r="O325" s="207"/>
      <c r="P325" s="208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79"/>
      <c r="AN325" s="45"/>
    </row>
    <row r="326" spans="1:40" x14ac:dyDescent="0.25">
      <c r="B326" s="192"/>
      <c r="C326" s="194"/>
      <c r="D326" s="194"/>
      <c r="E326" s="204"/>
      <c r="F326" s="210"/>
      <c r="G326" s="197"/>
      <c r="H326" s="215"/>
      <c r="I326" s="199">
        <f t="shared" si="44"/>
        <v>71415451.370000005</v>
      </c>
      <c r="J326" s="205"/>
      <c r="K326" s="206"/>
      <c r="L326" s="206"/>
      <c r="M326" s="206"/>
      <c r="N326" s="206"/>
      <c r="O326" s="207"/>
      <c r="P326" s="208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79"/>
      <c r="AN326" s="45"/>
    </row>
    <row r="327" spans="1:40" x14ac:dyDescent="0.25">
      <c r="B327" s="192"/>
      <c r="C327" s="194"/>
      <c r="D327" s="194"/>
      <c r="E327" s="204"/>
      <c r="F327" s="210"/>
      <c r="G327" s="197"/>
      <c r="H327" s="215"/>
      <c r="I327" s="199">
        <f t="shared" si="44"/>
        <v>71415451.370000005</v>
      </c>
      <c r="J327" s="205"/>
      <c r="K327" s="206"/>
      <c r="L327" s="206"/>
      <c r="M327" s="206"/>
      <c r="N327" s="206"/>
      <c r="O327" s="207"/>
      <c r="P327" s="208"/>
      <c r="Q327" s="11"/>
      <c r="R327" s="14"/>
      <c r="S327" s="14"/>
      <c r="T327" s="14"/>
      <c r="U327" s="14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4"/>
      <c r="AK327" s="14"/>
      <c r="AL327" s="14"/>
      <c r="AM327" s="80"/>
      <c r="AN327" s="45"/>
    </row>
    <row r="328" spans="1:40" x14ac:dyDescent="0.25">
      <c r="B328" s="192"/>
      <c r="C328" s="194"/>
      <c r="D328" s="194"/>
      <c r="E328" s="204"/>
      <c r="F328" s="210"/>
      <c r="G328" s="197"/>
      <c r="H328" s="215"/>
      <c r="I328" s="199">
        <f t="shared" si="44"/>
        <v>71415451.370000005</v>
      </c>
      <c r="J328" s="205"/>
      <c r="K328" s="206"/>
      <c r="L328" s="206"/>
      <c r="M328" s="206"/>
      <c r="N328" s="206"/>
      <c r="O328" s="207"/>
      <c r="P328" s="208"/>
      <c r="Q328" s="11"/>
      <c r="R328" s="14"/>
      <c r="S328" s="14"/>
      <c r="T328" s="14"/>
      <c r="U328" s="14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79"/>
      <c r="AN328" s="45"/>
    </row>
    <row r="329" spans="1:40" x14ac:dyDescent="0.25">
      <c r="B329" s="192"/>
      <c r="C329" s="194"/>
      <c r="D329" s="194"/>
      <c r="E329" s="204"/>
      <c r="F329" s="210"/>
      <c r="G329" s="197"/>
      <c r="H329" s="215"/>
      <c r="I329" s="199">
        <f t="shared" si="44"/>
        <v>71415451.370000005</v>
      </c>
      <c r="J329" s="205"/>
      <c r="K329" s="206"/>
      <c r="L329" s="206"/>
      <c r="M329" s="206"/>
      <c r="N329" s="206"/>
      <c r="O329" s="207"/>
      <c r="P329" s="208"/>
      <c r="Q329" s="11"/>
      <c r="R329" s="14"/>
      <c r="S329" s="14"/>
      <c r="T329" s="14"/>
      <c r="U329" s="14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79"/>
      <c r="AN329" s="45"/>
    </row>
    <row r="330" spans="1:40" x14ac:dyDescent="0.25">
      <c r="B330" s="192"/>
      <c r="C330" s="194"/>
      <c r="D330" s="194"/>
      <c r="E330" s="204"/>
      <c r="F330" s="210"/>
      <c r="G330" s="197"/>
      <c r="H330" s="215"/>
      <c r="I330" s="199">
        <f t="shared" si="44"/>
        <v>71415451.370000005</v>
      </c>
      <c r="J330" s="205"/>
      <c r="K330" s="206"/>
      <c r="L330" s="206"/>
      <c r="M330" s="206"/>
      <c r="N330" s="206"/>
      <c r="O330" s="207"/>
      <c r="P330" s="208"/>
      <c r="Q330" s="11"/>
      <c r="R330" s="14"/>
      <c r="S330" s="14"/>
      <c r="T330" s="14"/>
      <c r="U330" s="14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79"/>
      <c r="AN330" s="45"/>
    </row>
    <row r="331" spans="1:40" x14ac:dyDescent="0.25">
      <c r="B331" s="192"/>
      <c r="C331" s="194"/>
      <c r="D331" s="194"/>
      <c r="E331" s="204"/>
      <c r="F331" s="210"/>
      <c r="G331" s="197"/>
      <c r="H331" s="215"/>
      <c r="I331" s="199">
        <f t="shared" si="44"/>
        <v>71415451.370000005</v>
      </c>
      <c r="J331" s="205"/>
      <c r="K331" s="206"/>
      <c r="L331" s="206"/>
      <c r="M331" s="206"/>
      <c r="N331" s="206"/>
      <c r="O331" s="207"/>
      <c r="P331" s="208"/>
      <c r="Q331" s="17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79"/>
      <c r="AN331" s="45"/>
    </row>
    <row r="332" spans="1:40" x14ac:dyDescent="0.25">
      <c r="B332" s="192"/>
      <c r="C332" s="194"/>
      <c r="D332" s="194"/>
      <c r="E332" s="204"/>
      <c r="F332" s="210"/>
      <c r="G332" s="197"/>
      <c r="H332" s="215"/>
      <c r="I332" s="199">
        <f t="shared" si="44"/>
        <v>71415451.370000005</v>
      </c>
      <c r="J332" s="205"/>
      <c r="K332" s="206"/>
      <c r="L332" s="206"/>
      <c r="M332" s="206"/>
      <c r="N332" s="206"/>
      <c r="O332" s="207"/>
      <c r="P332" s="208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79"/>
      <c r="AN332" s="45"/>
    </row>
    <row r="333" spans="1:40" x14ac:dyDescent="0.25">
      <c r="B333" s="192"/>
      <c r="C333" s="194"/>
      <c r="D333" s="194"/>
      <c r="E333" s="204"/>
      <c r="F333" s="210"/>
      <c r="G333" s="197"/>
      <c r="H333" s="215"/>
      <c r="I333" s="199">
        <f t="shared" si="44"/>
        <v>71415451.370000005</v>
      </c>
      <c r="J333" s="205"/>
      <c r="K333" s="206"/>
      <c r="L333" s="206"/>
      <c r="M333" s="206"/>
      <c r="N333" s="206"/>
      <c r="O333" s="207"/>
      <c r="P333" s="208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79"/>
      <c r="AN333" s="45"/>
    </row>
    <row r="334" spans="1:40" x14ac:dyDescent="0.25">
      <c r="A334" s="4" t="s">
        <v>354</v>
      </c>
      <c r="B334" s="192"/>
      <c r="C334" s="194"/>
      <c r="D334" s="194"/>
      <c r="E334" s="204"/>
      <c r="F334" s="210"/>
      <c r="G334" s="197"/>
      <c r="H334" s="215"/>
      <c r="I334" s="199">
        <f t="shared" si="44"/>
        <v>71415451.370000005</v>
      </c>
      <c r="J334" s="205"/>
      <c r="K334" s="206"/>
      <c r="L334" s="206"/>
      <c r="M334" s="206"/>
      <c r="N334" s="206"/>
      <c r="O334" s="207"/>
      <c r="P334" s="208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4"/>
      <c r="AJ334" s="11"/>
      <c r="AK334" s="11"/>
      <c r="AL334" s="11"/>
      <c r="AM334" s="79"/>
      <c r="AN334" s="45"/>
    </row>
    <row r="335" spans="1:40" x14ac:dyDescent="0.25">
      <c r="B335" s="192"/>
      <c r="C335" s="194"/>
      <c r="D335" s="194"/>
      <c r="E335" s="204"/>
      <c r="F335" s="210"/>
      <c r="G335" s="197"/>
      <c r="H335" s="215"/>
      <c r="I335" s="199">
        <f t="shared" si="44"/>
        <v>71415451.370000005</v>
      </c>
      <c r="J335" s="205"/>
      <c r="K335" s="206"/>
      <c r="L335" s="206"/>
      <c r="M335" s="206"/>
      <c r="N335" s="206"/>
      <c r="O335" s="207"/>
      <c r="P335" s="208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79"/>
      <c r="AN335" s="45"/>
    </row>
    <row r="336" spans="1:40" x14ac:dyDescent="0.25">
      <c r="B336" s="192"/>
      <c r="C336" s="194"/>
      <c r="D336" s="194"/>
      <c r="E336" s="204"/>
      <c r="F336" s="210"/>
      <c r="G336" s="197"/>
      <c r="H336" s="215"/>
      <c r="I336" s="199">
        <f t="shared" si="44"/>
        <v>71415451.370000005</v>
      </c>
      <c r="J336" s="205"/>
      <c r="K336" s="206"/>
      <c r="L336" s="206"/>
      <c r="M336" s="206"/>
      <c r="N336" s="206"/>
      <c r="O336" s="207"/>
      <c r="P336" s="208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79"/>
      <c r="AN336" s="45"/>
    </row>
    <row r="337" spans="2:40" x14ac:dyDescent="0.25">
      <c r="B337" s="192"/>
      <c r="C337" s="194"/>
      <c r="D337" s="194"/>
      <c r="E337" s="204"/>
      <c r="F337" s="210"/>
      <c r="G337" s="197"/>
      <c r="H337" s="215"/>
      <c r="I337" s="199">
        <f t="shared" si="44"/>
        <v>71415451.370000005</v>
      </c>
      <c r="J337" s="205"/>
      <c r="K337" s="206"/>
      <c r="L337" s="206"/>
      <c r="M337" s="206"/>
      <c r="N337" s="206"/>
      <c r="O337" s="207"/>
      <c r="P337" s="208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79"/>
      <c r="AN337" s="45"/>
    </row>
    <row r="338" spans="2:40" x14ac:dyDescent="0.25">
      <c r="B338" s="192"/>
      <c r="C338" s="194"/>
      <c r="D338" s="194"/>
      <c r="E338" s="204"/>
      <c r="F338" s="210"/>
      <c r="G338" s="197"/>
      <c r="H338" s="215"/>
      <c r="I338" s="199">
        <f t="shared" si="44"/>
        <v>71415451.370000005</v>
      </c>
      <c r="J338" s="205"/>
      <c r="K338" s="206"/>
      <c r="L338" s="206"/>
      <c r="M338" s="206"/>
      <c r="N338" s="206"/>
      <c r="O338" s="207"/>
      <c r="P338" s="208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79"/>
      <c r="AN338" s="45"/>
    </row>
    <row r="339" spans="2:40" x14ac:dyDescent="0.25">
      <c r="B339" s="192"/>
      <c r="C339" s="194"/>
      <c r="D339" s="194"/>
      <c r="E339" s="204"/>
      <c r="F339" s="210"/>
      <c r="G339" s="197"/>
      <c r="H339" s="215"/>
      <c r="I339" s="199">
        <f t="shared" si="44"/>
        <v>71415451.370000005</v>
      </c>
      <c r="J339" s="205"/>
      <c r="K339" s="206"/>
      <c r="L339" s="206"/>
      <c r="M339" s="206"/>
      <c r="N339" s="206"/>
      <c r="O339" s="207"/>
      <c r="P339" s="208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79"/>
      <c r="AN339" s="45"/>
    </row>
    <row r="340" spans="2:40" x14ac:dyDescent="0.25">
      <c r="B340" s="192"/>
      <c r="C340" s="194"/>
      <c r="D340" s="194"/>
      <c r="E340" s="204"/>
      <c r="F340" s="210"/>
      <c r="G340" s="197"/>
      <c r="H340" s="215"/>
      <c r="I340" s="199">
        <f t="shared" si="44"/>
        <v>71415451.370000005</v>
      </c>
      <c r="J340" s="205"/>
      <c r="K340" s="206"/>
      <c r="L340" s="206"/>
      <c r="M340" s="206"/>
      <c r="N340" s="206"/>
      <c r="O340" s="207"/>
      <c r="P340" s="208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4"/>
      <c r="AC340" s="14"/>
      <c r="AD340" s="14"/>
      <c r="AE340" s="14"/>
      <c r="AF340" s="11"/>
      <c r="AG340" s="11"/>
      <c r="AH340" s="11"/>
      <c r="AI340" s="11"/>
      <c r="AJ340" s="11"/>
      <c r="AK340" s="11"/>
      <c r="AL340" s="11"/>
      <c r="AM340" s="79"/>
      <c r="AN340" s="45"/>
    </row>
    <row r="341" spans="2:40" x14ac:dyDescent="0.25">
      <c r="B341" s="192"/>
      <c r="C341" s="194"/>
      <c r="D341" s="194"/>
      <c r="E341" s="204"/>
      <c r="F341" s="210"/>
      <c r="G341" s="197"/>
      <c r="H341" s="215"/>
      <c r="I341" s="199">
        <f t="shared" ref="I341:I404" si="45">I340+G341-H341</f>
        <v>71415451.370000005</v>
      </c>
      <c r="J341" s="205"/>
      <c r="K341" s="206"/>
      <c r="L341" s="206"/>
      <c r="M341" s="206"/>
      <c r="N341" s="206"/>
      <c r="O341" s="207"/>
      <c r="P341" s="208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79"/>
      <c r="AN341" s="45"/>
    </row>
    <row r="342" spans="2:40" x14ac:dyDescent="0.25">
      <c r="B342" s="192"/>
      <c r="C342" s="194"/>
      <c r="D342" s="194"/>
      <c r="E342" s="204"/>
      <c r="F342" s="210"/>
      <c r="G342" s="197"/>
      <c r="H342" s="215"/>
      <c r="I342" s="199">
        <f t="shared" si="45"/>
        <v>71415451.370000005</v>
      </c>
      <c r="J342" s="205"/>
      <c r="K342" s="206"/>
      <c r="L342" s="206"/>
      <c r="M342" s="206"/>
      <c r="N342" s="206"/>
      <c r="O342" s="207"/>
      <c r="P342" s="208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79"/>
      <c r="AN342" s="45"/>
    </row>
    <row r="343" spans="2:40" x14ac:dyDescent="0.25">
      <c r="B343" s="192"/>
      <c r="C343" s="194"/>
      <c r="D343" s="194"/>
      <c r="E343" s="204"/>
      <c r="F343" s="210"/>
      <c r="G343" s="197"/>
      <c r="H343" s="215"/>
      <c r="I343" s="199">
        <f t="shared" si="45"/>
        <v>71415451.370000005</v>
      </c>
      <c r="J343" s="205"/>
      <c r="K343" s="206"/>
      <c r="L343" s="206"/>
      <c r="M343" s="206"/>
      <c r="N343" s="206"/>
      <c r="O343" s="207"/>
      <c r="P343" s="208"/>
      <c r="Q343" s="11"/>
      <c r="R343" s="11"/>
      <c r="S343" s="15"/>
      <c r="T343" s="15"/>
      <c r="U343" s="15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79"/>
      <c r="AN343" s="45"/>
    </row>
    <row r="344" spans="2:40" x14ac:dyDescent="0.25">
      <c r="B344" s="192"/>
      <c r="C344" s="194"/>
      <c r="D344" s="194"/>
      <c r="E344" s="204"/>
      <c r="F344" s="210"/>
      <c r="G344" s="197"/>
      <c r="H344" s="215"/>
      <c r="I344" s="199">
        <f t="shared" si="45"/>
        <v>71415451.370000005</v>
      </c>
      <c r="J344" s="205"/>
      <c r="K344" s="206"/>
      <c r="L344" s="206"/>
      <c r="M344" s="206"/>
      <c r="N344" s="206"/>
      <c r="O344" s="207"/>
      <c r="P344" s="208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4"/>
      <c r="AB344" s="14"/>
      <c r="AC344" s="14"/>
      <c r="AD344" s="14"/>
      <c r="AE344" s="14"/>
      <c r="AF344" s="11"/>
      <c r="AG344" s="11"/>
      <c r="AH344" s="11"/>
      <c r="AI344" s="11"/>
      <c r="AJ344" s="11"/>
      <c r="AK344" s="11"/>
      <c r="AL344" s="11"/>
      <c r="AM344" s="79"/>
      <c r="AN344" s="45"/>
    </row>
    <row r="345" spans="2:40" x14ac:dyDescent="0.25">
      <c r="B345" s="192"/>
      <c r="C345" s="194"/>
      <c r="D345" s="194"/>
      <c r="E345" s="204"/>
      <c r="F345" s="210"/>
      <c r="G345" s="197"/>
      <c r="H345" s="215"/>
      <c r="I345" s="199">
        <f t="shared" si="45"/>
        <v>71415451.370000005</v>
      </c>
      <c r="J345" s="205"/>
      <c r="K345" s="206"/>
      <c r="L345" s="206"/>
      <c r="M345" s="206"/>
      <c r="N345" s="206"/>
      <c r="O345" s="207"/>
      <c r="P345" s="208"/>
      <c r="Q345" s="11"/>
      <c r="R345" s="11"/>
      <c r="S345" s="11"/>
      <c r="T345" s="11"/>
      <c r="U345" s="11"/>
      <c r="V345" s="14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79"/>
      <c r="AN345" s="45"/>
    </row>
    <row r="346" spans="2:40" x14ac:dyDescent="0.25">
      <c r="B346" s="192"/>
      <c r="C346" s="194"/>
      <c r="D346" s="194"/>
      <c r="E346" s="204"/>
      <c r="F346" s="210"/>
      <c r="G346" s="197"/>
      <c r="H346" s="215"/>
      <c r="I346" s="199">
        <f t="shared" si="45"/>
        <v>71415451.370000005</v>
      </c>
      <c r="J346" s="205"/>
      <c r="K346" s="206"/>
      <c r="L346" s="206"/>
      <c r="M346" s="206"/>
      <c r="N346" s="206"/>
      <c r="O346" s="207"/>
      <c r="P346" s="208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4"/>
      <c r="AC346" s="14"/>
      <c r="AD346" s="14"/>
      <c r="AE346" s="14"/>
      <c r="AF346" s="11"/>
      <c r="AG346" s="11"/>
      <c r="AH346" s="11"/>
      <c r="AI346" s="11"/>
      <c r="AJ346" s="11"/>
      <c r="AK346" s="11"/>
      <c r="AL346" s="11"/>
      <c r="AM346" s="79"/>
      <c r="AN346" s="45"/>
    </row>
    <row r="347" spans="2:40" x14ac:dyDescent="0.25">
      <c r="B347" s="192"/>
      <c r="C347" s="194"/>
      <c r="D347" s="194"/>
      <c r="E347" s="204"/>
      <c r="F347" s="210"/>
      <c r="G347" s="197"/>
      <c r="H347" s="215"/>
      <c r="I347" s="199">
        <f t="shared" si="45"/>
        <v>71415451.370000005</v>
      </c>
      <c r="J347" s="205"/>
      <c r="K347" s="206"/>
      <c r="L347" s="206"/>
      <c r="M347" s="206"/>
      <c r="N347" s="206"/>
      <c r="O347" s="207"/>
      <c r="P347" s="208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79"/>
      <c r="AN347" s="45"/>
    </row>
    <row r="348" spans="2:40" x14ac:dyDescent="0.25">
      <c r="B348" s="192"/>
      <c r="C348" s="194"/>
      <c r="D348" s="194"/>
      <c r="E348" s="204"/>
      <c r="F348" s="210"/>
      <c r="G348" s="197"/>
      <c r="H348" s="215"/>
      <c r="I348" s="199">
        <f t="shared" si="45"/>
        <v>71415451.370000005</v>
      </c>
      <c r="J348" s="205"/>
      <c r="K348" s="206"/>
      <c r="L348" s="206"/>
      <c r="M348" s="206"/>
      <c r="N348" s="206"/>
      <c r="O348" s="207"/>
      <c r="P348" s="208"/>
      <c r="Q348" s="14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4"/>
      <c r="AE348" s="11"/>
      <c r="AF348" s="11"/>
      <c r="AG348" s="11"/>
      <c r="AH348" s="11"/>
      <c r="AI348" s="11"/>
      <c r="AJ348" s="11"/>
      <c r="AK348" s="11"/>
      <c r="AL348" s="11"/>
      <c r="AM348" s="79"/>
      <c r="AN348" s="45"/>
    </row>
    <row r="349" spans="2:40" x14ac:dyDescent="0.25">
      <c r="B349" s="192"/>
      <c r="C349" s="194"/>
      <c r="D349" s="194"/>
      <c r="E349" s="204"/>
      <c r="F349" s="210"/>
      <c r="G349" s="197"/>
      <c r="H349" s="215"/>
      <c r="I349" s="199">
        <f t="shared" si="45"/>
        <v>71415451.370000005</v>
      </c>
      <c r="J349" s="205"/>
      <c r="K349" s="206"/>
      <c r="L349" s="206"/>
      <c r="M349" s="206"/>
      <c r="N349" s="206"/>
      <c r="O349" s="207"/>
      <c r="P349" s="208"/>
      <c r="Q349" s="14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4"/>
      <c r="AE349" s="11"/>
      <c r="AF349" s="11"/>
      <c r="AG349" s="11"/>
      <c r="AH349" s="11"/>
      <c r="AI349" s="11"/>
      <c r="AJ349" s="11"/>
      <c r="AK349" s="11"/>
      <c r="AL349" s="11"/>
      <c r="AM349" s="79"/>
      <c r="AN349" s="45"/>
    </row>
    <row r="350" spans="2:40" x14ac:dyDescent="0.25">
      <c r="B350" s="192"/>
      <c r="C350" s="194"/>
      <c r="D350" s="194"/>
      <c r="E350" s="204"/>
      <c r="F350" s="210"/>
      <c r="G350" s="197"/>
      <c r="H350" s="215"/>
      <c r="I350" s="199">
        <f t="shared" si="45"/>
        <v>71415451.370000005</v>
      </c>
      <c r="J350" s="205"/>
      <c r="K350" s="206"/>
      <c r="L350" s="206"/>
      <c r="M350" s="206"/>
      <c r="N350" s="206"/>
      <c r="O350" s="207"/>
      <c r="P350" s="208"/>
      <c r="Q350" s="14"/>
      <c r="R350" s="11"/>
      <c r="S350" s="11"/>
      <c r="T350" s="11"/>
      <c r="U350" s="11"/>
      <c r="V350" s="11"/>
      <c r="W350" s="11"/>
      <c r="X350" s="11"/>
      <c r="Y350" s="11"/>
      <c r="Z350" s="11"/>
      <c r="AA350" s="14"/>
      <c r="AB350" s="11"/>
      <c r="AC350" s="11"/>
      <c r="AD350" s="14"/>
      <c r="AE350" s="11"/>
      <c r="AF350" s="11"/>
      <c r="AG350" s="11"/>
      <c r="AH350" s="11"/>
      <c r="AI350" s="11"/>
      <c r="AJ350" s="14"/>
      <c r="AK350" s="14"/>
      <c r="AL350" s="14"/>
      <c r="AM350" s="80"/>
      <c r="AN350" s="45"/>
    </row>
    <row r="351" spans="2:40" x14ac:dyDescent="0.25">
      <c r="B351" s="192"/>
      <c r="C351" s="194"/>
      <c r="D351" s="194"/>
      <c r="E351" s="204"/>
      <c r="F351" s="210"/>
      <c r="G351" s="197"/>
      <c r="H351" s="215"/>
      <c r="I351" s="199">
        <f t="shared" si="45"/>
        <v>71415451.370000005</v>
      </c>
      <c r="J351" s="205"/>
      <c r="K351" s="206"/>
      <c r="L351" s="206"/>
      <c r="M351" s="206"/>
      <c r="N351" s="206"/>
      <c r="O351" s="207"/>
      <c r="P351" s="208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79"/>
      <c r="AN351" s="45"/>
    </row>
    <row r="352" spans="2:40" x14ac:dyDescent="0.25">
      <c r="B352" s="192"/>
      <c r="C352" s="194"/>
      <c r="D352" s="194"/>
      <c r="E352" s="204"/>
      <c r="F352" s="210"/>
      <c r="G352" s="197"/>
      <c r="H352" s="215"/>
      <c r="I352" s="199">
        <f t="shared" si="45"/>
        <v>71415451.370000005</v>
      </c>
      <c r="J352" s="205"/>
      <c r="K352" s="206"/>
      <c r="L352" s="206"/>
      <c r="M352" s="206"/>
      <c r="N352" s="206"/>
      <c r="O352" s="207"/>
      <c r="P352" s="208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4"/>
      <c r="AC352" s="14"/>
      <c r="AD352" s="14"/>
      <c r="AE352" s="14"/>
      <c r="AF352" s="11"/>
      <c r="AG352" s="11"/>
      <c r="AH352" s="11"/>
      <c r="AI352" s="11"/>
      <c r="AJ352" s="11"/>
      <c r="AK352" s="11"/>
      <c r="AL352" s="11"/>
      <c r="AM352" s="79"/>
      <c r="AN352" s="45"/>
    </row>
    <row r="353" spans="2:40" x14ac:dyDescent="0.25">
      <c r="B353" s="192"/>
      <c r="C353" s="194"/>
      <c r="D353" s="194"/>
      <c r="E353" s="204"/>
      <c r="F353" s="210"/>
      <c r="G353" s="197"/>
      <c r="H353" s="215"/>
      <c r="I353" s="199">
        <f t="shared" si="45"/>
        <v>71415451.370000005</v>
      </c>
      <c r="J353" s="205"/>
      <c r="K353" s="206"/>
      <c r="L353" s="206"/>
      <c r="M353" s="206"/>
      <c r="N353" s="206"/>
      <c r="O353" s="207"/>
      <c r="P353" s="208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79"/>
      <c r="AN353" s="45"/>
    </row>
    <row r="354" spans="2:40" x14ac:dyDescent="0.25">
      <c r="B354" s="192"/>
      <c r="C354" s="194"/>
      <c r="D354" s="194"/>
      <c r="E354" s="204"/>
      <c r="F354" s="210"/>
      <c r="G354" s="197"/>
      <c r="H354" s="215"/>
      <c r="I354" s="199">
        <f t="shared" si="45"/>
        <v>71415451.370000005</v>
      </c>
      <c r="J354" s="205"/>
      <c r="K354" s="206"/>
      <c r="L354" s="206"/>
      <c r="M354" s="206"/>
      <c r="N354" s="206"/>
      <c r="O354" s="207"/>
      <c r="P354" s="208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79"/>
      <c r="AN354" s="45"/>
    </row>
    <row r="355" spans="2:40" x14ac:dyDescent="0.25">
      <c r="B355" s="192"/>
      <c r="C355" s="194"/>
      <c r="D355" s="194"/>
      <c r="E355" s="204"/>
      <c r="F355" s="210"/>
      <c r="G355" s="197"/>
      <c r="H355" s="215"/>
      <c r="I355" s="199">
        <f t="shared" si="45"/>
        <v>71415451.370000005</v>
      </c>
      <c r="J355" s="205"/>
      <c r="K355" s="206"/>
      <c r="L355" s="206"/>
      <c r="M355" s="206"/>
      <c r="N355" s="206"/>
      <c r="O355" s="207"/>
      <c r="P355" s="208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79"/>
      <c r="AN355" s="45"/>
    </row>
    <row r="356" spans="2:40" x14ac:dyDescent="0.25">
      <c r="B356" s="192"/>
      <c r="C356" s="194"/>
      <c r="D356" s="194"/>
      <c r="E356" s="204"/>
      <c r="F356" s="210"/>
      <c r="G356" s="197"/>
      <c r="H356" s="215"/>
      <c r="I356" s="199">
        <f t="shared" si="45"/>
        <v>71415451.370000005</v>
      </c>
      <c r="J356" s="205"/>
      <c r="K356" s="206"/>
      <c r="L356" s="206"/>
      <c r="M356" s="206"/>
      <c r="N356" s="206"/>
      <c r="O356" s="207"/>
      <c r="P356" s="208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79"/>
      <c r="AN356" s="45"/>
    </row>
    <row r="357" spans="2:40" x14ac:dyDescent="0.25">
      <c r="B357" s="192"/>
      <c r="C357" s="194"/>
      <c r="D357" s="194"/>
      <c r="E357" s="204"/>
      <c r="F357" s="210"/>
      <c r="G357" s="197"/>
      <c r="H357" s="215"/>
      <c r="I357" s="199">
        <f t="shared" si="45"/>
        <v>71415451.370000005</v>
      </c>
      <c r="J357" s="205"/>
      <c r="K357" s="206"/>
      <c r="L357" s="206"/>
      <c r="M357" s="206"/>
      <c r="N357" s="206"/>
      <c r="O357" s="207"/>
      <c r="P357" s="208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79"/>
      <c r="AN357" s="45"/>
    </row>
    <row r="358" spans="2:40" x14ac:dyDescent="0.25">
      <c r="B358" s="192"/>
      <c r="C358" s="194"/>
      <c r="D358" s="194"/>
      <c r="E358" s="204"/>
      <c r="F358" s="210"/>
      <c r="G358" s="197"/>
      <c r="H358" s="215"/>
      <c r="I358" s="199">
        <f t="shared" si="45"/>
        <v>71415451.370000005</v>
      </c>
      <c r="J358" s="205"/>
      <c r="K358" s="206"/>
      <c r="L358" s="206"/>
      <c r="M358" s="206"/>
      <c r="N358" s="206"/>
      <c r="O358" s="207"/>
      <c r="P358" s="208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79"/>
      <c r="AN358" s="45"/>
    </row>
    <row r="359" spans="2:40" x14ac:dyDescent="0.25">
      <c r="B359" s="192"/>
      <c r="C359" s="194"/>
      <c r="D359" s="194"/>
      <c r="E359" s="204"/>
      <c r="F359" s="210"/>
      <c r="G359" s="197"/>
      <c r="H359" s="215"/>
      <c r="I359" s="199">
        <f t="shared" si="45"/>
        <v>71415451.370000005</v>
      </c>
      <c r="J359" s="205"/>
      <c r="K359" s="206"/>
      <c r="L359" s="206"/>
      <c r="M359" s="206"/>
      <c r="N359" s="206"/>
      <c r="O359" s="207"/>
      <c r="P359" s="208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79"/>
      <c r="AN359" s="45"/>
    </row>
    <row r="360" spans="2:40" x14ac:dyDescent="0.25">
      <c r="B360" s="192"/>
      <c r="C360" s="194"/>
      <c r="D360" s="194"/>
      <c r="E360" s="204"/>
      <c r="F360" s="210"/>
      <c r="G360" s="197"/>
      <c r="H360" s="215"/>
      <c r="I360" s="199">
        <f t="shared" si="45"/>
        <v>71415451.370000005</v>
      </c>
      <c r="J360" s="205"/>
      <c r="K360" s="206"/>
      <c r="L360" s="206"/>
      <c r="M360" s="206"/>
      <c r="N360" s="206"/>
      <c r="O360" s="207"/>
      <c r="P360" s="208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4"/>
      <c r="AC360" s="14"/>
      <c r="AD360" s="14"/>
      <c r="AE360" s="14"/>
      <c r="AF360" s="11"/>
      <c r="AG360" s="11"/>
      <c r="AH360" s="11"/>
      <c r="AI360" s="11"/>
      <c r="AJ360" s="11"/>
      <c r="AK360" s="11"/>
      <c r="AL360" s="11"/>
      <c r="AM360" s="79"/>
      <c r="AN360" s="45"/>
    </row>
    <row r="361" spans="2:40" x14ac:dyDescent="0.25">
      <c r="B361" s="192"/>
      <c r="C361" s="194"/>
      <c r="D361" s="194"/>
      <c r="E361" s="204"/>
      <c r="F361" s="210"/>
      <c r="G361" s="197"/>
      <c r="H361" s="215"/>
      <c r="I361" s="199">
        <f t="shared" si="45"/>
        <v>71415451.370000005</v>
      </c>
      <c r="J361" s="205"/>
      <c r="K361" s="206"/>
      <c r="L361" s="206"/>
      <c r="M361" s="206"/>
      <c r="N361" s="206"/>
      <c r="O361" s="207"/>
      <c r="P361" s="208"/>
      <c r="Q361" s="11"/>
      <c r="R361" s="11"/>
      <c r="S361" s="15"/>
      <c r="T361" s="15"/>
      <c r="U361" s="15"/>
      <c r="V361" s="11"/>
      <c r="W361" s="11"/>
      <c r="X361" s="11"/>
      <c r="Y361" s="11"/>
      <c r="Z361" s="11"/>
      <c r="AA361" s="14"/>
      <c r="AB361" s="14"/>
      <c r="AC361" s="14"/>
      <c r="AD361" s="14"/>
      <c r="AE361" s="14"/>
      <c r="AF361" s="11"/>
      <c r="AG361" s="11"/>
      <c r="AH361" s="11"/>
      <c r="AI361" s="11"/>
      <c r="AJ361" s="11"/>
      <c r="AK361" s="11"/>
      <c r="AL361" s="11"/>
      <c r="AM361" s="79"/>
      <c r="AN361" s="45"/>
    </row>
    <row r="362" spans="2:40" x14ac:dyDescent="0.25">
      <c r="B362" s="192"/>
      <c r="C362" s="194"/>
      <c r="D362" s="194"/>
      <c r="E362" s="204"/>
      <c r="F362" s="210"/>
      <c r="G362" s="197"/>
      <c r="H362" s="215"/>
      <c r="I362" s="199">
        <f t="shared" si="45"/>
        <v>71415451.370000005</v>
      </c>
      <c r="J362" s="205"/>
      <c r="K362" s="206"/>
      <c r="L362" s="206"/>
      <c r="M362" s="206"/>
      <c r="N362" s="206"/>
      <c r="O362" s="207"/>
      <c r="P362" s="221"/>
      <c r="Q362" s="11"/>
      <c r="R362" s="11"/>
      <c r="S362" s="15"/>
      <c r="T362" s="15"/>
      <c r="U362" s="15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79"/>
      <c r="AN362" s="45"/>
    </row>
    <row r="363" spans="2:40" x14ac:dyDescent="0.25">
      <c r="B363" s="192"/>
      <c r="C363" s="194"/>
      <c r="D363" s="194"/>
      <c r="E363" s="204"/>
      <c r="F363" s="210"/>
      <c r="G363" s="197"/>
      <c r="H363" s="215"/>
      <c r="I363" s="199">
        <f t="shared" si="45"/>
        <v>71415451.370000005</v>
      </c>
      <c r="J363" s="205"/>
      <c r="K363" s="206"/>
      <c r="L363" s="206"/>
      <c r="M363" s="206"/>
      <c r="N363" s="206"/>
      <c r="O363" s="207"/>
      <c r="P363" s="221"/>
      <c r="Q363" s="11"/>
      <c r="R363" s="11"/>
      <c r="S363" s="15"/>
      <c r="T363" s="15"/>
      <c r="U363" s="15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79"/>
      <c r="AN363" s="45"/>
    </row>
    <row r="364" spans="2:40" x14ac:dyDescent="0.25">
      <c r="B364" s="192"/>
      <c r="C364" s="194"/>
      <c r="D364" s="194"/>
      <c r="E364" s="204"/>
      <c r="F364" s="210"/>
      <c r="G364" s="197"/>
      <c r="H364" s="215"/>
      <c r="I364" s="199">
        <f t="shared" si="45"/>
        <v>71415451.370000005</v>
      </c>
      <c r="J364" s="205"/>
      <c r="K364" s="206"/>
      <c r="L364" s="206"/>
      <c r="M364" s="206"/>
      <c r="N364" s="206"/>
      <c r="O364" s="207"/>
      <c r="P364" s="221"/>
      <c r="Q364" s="11"/>
      <c r="R364" s="11"/>
      <c r="S364" s="15"/>
      <c r="T364" s="15"/>
      <c r="U364" s="15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79"/>
      <c r="AN364" s="45"/>
    </row>
    <row r="365" spans="2:40" x14ac:dyDescent="0.25">
      <c r="B365" s="192"/>
      <c r="C365" s="194"/>
      <c r="D365" s="194"/>
      <c r="E365" s="204"/>
      <c r="F365" s="210"/>
      <c r="G365" s="197"/>
      <c r="H365" s="215"/>
      <c r="I365" s="199">
        <f t="shared" si="45"/>
        <v>71415451.370000005</v>
      </c>
      <c r="J365" s="205"/>
      <c r="K365" s="206"/>
      <c r="L365" s="206"/>
      <c r="M365" s="206"/>
      <c r="N365" s="206"/>
      <c r="O365" s="207"/>
      <c r="P365" s="208"/>
      <c r="Q365" s="11"/>
      <c r="R365" s="11"/>
      <c r="S365" s="15"/>
      <c r="T365" s="15"/>
      <c r="U365" s="15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79"/>
      <c r="AN365" s="45"/>
    </row>
    <row r="366" spans="2:40" x14ac:dyDescent="0.25">
      <c r="B366" s="192"/>
      <c r="C366" s="194"/>
      <c r="D366" s="194"/>
      <c r="E366" s="204"/>
      <c r="F366" s="210"/>
      <c r="G366" s="197"/>
      <c r="H366" s="215"/>
      <c r="I366" s="199">
        <f t="shared" si="45"/>
        <v>71415451.370000005</v>
      </c>
      <c r="J366" s="205"/>
      <c r="K366" s="206"/>
      <c r="L366" s="206"/>
      <c r="M366" s="206"/>
      <c r="N366" s="206"/>
      <c r="O366" s="207"/>
      <c r="P366" s="208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79"/>
      <c r="AN366" s="45"/>
    </row>
    <row r="367" spans="2:40" x14ac:dyDescent="0.25">
      <c r="B367" s="192"/>
      <c r="C367" s="194"/>
      <c r="D367" s="194"/>
      <c r="E367" s="204"/>
      <c r="F367" s="210"/>
      <c r="G367" s="197"/>
      <c r="H367" s="215"/>
      <c r="I367" s="199">
        <f t="shared" si="45"/>
        <v>71415451.370000005</v>
      </c>
      <c r="J367" s="205"/>
      <c r="K367" s="206"/>
      <c r="L367" s="206"/>
      <c r="M367" s="206"/>
      <c r="N367" s="206"/>
      <c r="O367" s="207"/>
      <c r="P367" s="208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79"/>
      <c r="AN367" s="45"/>
    </row>
    <row r="368" spans="2:40" x14ac:dyDescent="0.25">
      <c r="B368" s="192"/>
      <c r="C368" s="194"/>
      <c r="D368" s="194"/>
      <c r="E368" s="204"/>
      <c r="F368" s="210"/>
      <c r="G368" s="197"/>
      <c r="H368" s="215"/>
      <c r="I368" s="199">
        <f t="shared" si="45"/>
        <v>71415451.370000005</v>
      </c>
      <c r="J368" s="205"/>
      <c r="K368" s="206"/>
      <c r="L368" s="206"/>
      <c r="M368" s="206"/>
      <c r="N368" s="206"/>
      <c r="O368" s="207"/>
      <c r="P368" s="208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79"/>
      <c r="AN368" s="45"/>
    </row>
    <row r="369" spans="2:40" x14ac:dyDescent="0.25">
      <c r="B369" s="192"/>
      <c r="C369" s="194"/>
      <c r="D369" s="194"/>
      <c r="E369" s="204"/>
      <c r="F369" s="210"/>
      <c r="G369" s="197"/>
      <c r="H369" s="215"/>
      <c r="I369" s="199">
        <f t="shared" si="45"/>
        <v>71415451.370000005</v>
      </c>
      <c r="J369" s="205"/>
      <c r="K369" s="206"/>
      <c r="L369" s="206"/>
      <c r="M369" s="206"/>
      <c r="N369" s="206"/>
      <c r="O369" s="207"/>
      <c r="P369" s="208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79"/>
      <c r="AN369" s="45"/>
    </row>
    <row r="370" spans="2:40" x14ac:dyDescent="0.25">
      <c r="B370" s="192"/>
      <c r="C370" s="194"/>
      <c r="D370" s="194"/>
      <c r="E370" s="204"/>
      <c r="F370" s="210"/>
      <c r="G370" s="197"/>
      <c r="H370" s="215"/>
      <c r="I370" s="199">
        <f t="shared" si="45"/>
        <v>71415451.370000005</v>
      </c>
      <c r="J370" s="205"/>
      <c r="K370" s="206"/>
      <c r="L370" s="206"/>
      <c r="M370" s="206"/>
      <c r="N370" s="206"/>
      <c r="O370" s="207"/>
      <c r="P370" s="220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79"/>
      <c r="AN370" s="45"/>
    </row>
    <row r="371" spans="2:40" x14ac:dyDescent="0.25">
      <c r="B371" s="192"/>
      <c r="C371" s="194"/>
      <c r="D371" s="194"/>
      <c r="E371" s="204"/>
      <c r="F371" s="210"/>
      <c r="G371" s="197"/>
      <c r="H371" s="215"/>
      <c r="I371" s="199">
        <f t="shared" si="45"/>
        <v>71415451.370000005</v>
      </c>
      <c r="J371" s="205"/>
      <c r="K371" s="206"/>
      <c r="L371" s="206"/>
      <c r="M371" s="206"/>
      <c r="N371" s="206"/>
      <c r="O371" s="207"/>
      <c r="P371" s="208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79"/>
      <c r="AN371" s="45"/>
    </row>
    <row r="372" spans="2:40" x14ac:dyDescent="0.25">
      <c r="B372" s="192"/>
      <c r="C372" s="194"/>
      <c r="D372" s="194"/>
      <c r="E372" s="204"/>
      <c r="F372" s="210"/>
      <c r="G372" s="197"/>
      <c r="H372" s="215"/>
      <c r="I372" s="199">
        <f t="shared" si="45"/>
        <v>71415451.370000005</v>
      </c>
      <c r="J372" s="205"/>
      <c r="K372" s="206"/>
      <c r="L372" s="206"/>
      <c r="M372" s="206"/>
      <c r="N372" s="206"/>
      <c r="O372" s="207"/>
      <c r="P372" s="208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79"/>
      <c r="AN372" s="45"/>
    </row>
    <row r="373" spans="2:40" x14ac:dyDescent="0.25">
      <c r="B373" s="192"/>
      <c r="C373" s="194"/>
      <c r="D373" s="194"/>
      <c r="E373" s="204"/>
      <c r="F373" s="210"/>
      <c r="G373" s="197"/>
      <c r="H373" s="215"/>
      <c r="I373" s="199">
        <f t="shared" si="45"/>
        <v>71415451.370000005</v>
      </c>
      <c r="J373" s="205"/>
      <c r="K373" s="206"/>
      <c r="L373" s="206"/>
      <c r="M373" s="206"/>
      <c r="N373" s="206"/>
      <c r="O373" s="207"/>
      <c r="P373" s="208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79"/>
      <c r="AN373" s="45"/>
    </row>
    <row r="374" spans="2:40" x14ac:dyDescent="0.25">
      <c r="B374" s="192"/>
      <c r="C374" s="194"/>
      <c r="D374" s="194"/>
      <c r="E374" s="204"/>
      <c r="F374" s="210"/>
      <c r="G374" s="197"/>
      <c r="H374" s="215"/>
      <c r="I374" s="199">
        <f t="shared" si="45"/>
        <v>71415451.370000005</v>
      </c>
      <c r="J374" s="205"/>
      <c r="K374" s="206"/>
      <c r="L374" s="206"/>
      <c r="M374" s="206"/>
      <c r="N374" s="206"/>
      <c r="O374" s="207"/>
      <c r="P374" s="208"/>
      <c r="Q374" s="14"/>
      <c r="R374" s="14"/>
      <c r="S374" s="14"/>
      <c r="T374" s="14"/>
      <c r="U374" s="14"/>
      <c r="V374" s="11"/>
      <c r="W374" s="11"/>
      <c r="X374" s="11"/>
      <c r="Y374" s="11"/>
      <c r="Z374" s="11"/>
      <c r="AA374" s="11"/>
      <c r="AB374" s="11"/>
      <c r="AC374" s="11"/>
      <c r="AD374" s="14"/>
      <c r="AE374" s="11"/>
      <c r="AF374" s="11"/>
      <c r="AG374" s="11"/>
      <c r="AH374" s="11"/>
      <c r="AI374" s="11"/>
      <c r="AJ374" s="11"/>
      <c r="AK374" s="11"/>
      <c r="AL374" s="11"/>
      <c r="AM374" s="79"/>
      <c r="AN374" s="45"/>
    </row>
    <row r="375" spans="2:40" x14ac:dyDescent="0.25">
      <c r="B375" s="192"/>
      <c r="C375" s="194"/>
      <c r="D375" s="194"/>
      <c r="E375" s="204"/>
      <c r="F375" s="210"/>
      <c r="G375" s="197"/>
      <c r="H375" s="215"/>
      <c r="I375" s="199">
        <f t="shared" si="45"/>
        <v>71415451.370000005</v>
      </c>
      <c r="J375" s="205"/>
      <c r="K375" s="206"/>
      <c r="L375" s="206"/>
      <c r="M375" s="206"/>
      <c r="N375" s="206"/>
      <c r="O375" s="207"/>
      <c r="P375" s="27"/>
      <c r="Q375" s="11"/>
      <c r="R375" s="14"/>
      <c r="S375" s="14"/>
      <c r="T375" s="14"/>
      <c r="U375" s="14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79"/>
      <c r="AN375" s="45"/>
    </row>
    <row r="376" spans="2:40" x14ac:dyDescent="0.25">
      <c r="B376" s="192"/>
      <c r="C376" s="194"/>
      <c r="D376" s="194"/>
      <c r="E376" s="204"/>
      <c r="F376" s="210"/>
      <c r="G376" s="197"/>
      <c r="H376" s="215"/>
      <c r="I376" s="199">
        <f t="shared" si="45"/>
        <v>71415451.370000005</v>
      </c>
      <c r="J376" s="205"/>
      <c r="K376" s="206"/>
      <c r="L376" s="206"/>
      <c r="M376" s="206"/>
      <c r="N376" s="206"/>
      <c r="O376" s="207"/>
      <c r="P376" s="208"/>
      <c r="Q376" s="11"/>
      <c r="R376" s="14"/>
      <c r="S376" s="14"/>
      <c r="T376" s="14"/>
      <c r="U376" s="14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79"/>
      <c r="AN376" s="45"/>
    </row>
    <row r="377" spans="2:40" x14ac:dyDescent="0.25">
      <c r="B377" s="192"/>
      <c r="C377" s="194"/>
      <c r="D377" s="194"/>
      <c r="E377" s="204"/>
      <c r="F377" s="210"/>
      <c r="G377" s="197"/>
      <c r="H377" s="215"/>
      <c r="I377" s="199">
        <f t="shared" si="45"/>
        <v>71415451.370000005</v>
      </c>
      <c r="J377" s="205"/>
      <c r="K377" s="206"/>
      <c r="L377" s="206"/>
      <c r="M377" s="206"/>
      <c r="N377" s="206"/>
      <c r="O377" s="207"/>
      <c r="P377" s="208"/>
      <c r="Q377" s="11"/>
      <c r="R377" s="14"/>
      <c r="S377" s="14"/>
      <c r="T377" s="14"/>
      <c r="U377" s="14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79"/>
      <c r="AN377" s="45"/>
    </row>
    <row r="378" spans="2:40" x14ac:dyDescent="0.25">
      <c r="B378" s="192"/>
      <c r="C378" s="194"/>
      <c r="D378" s="194"/>
      <c r="E378" s="204"/>
      <c r="F378" s="210"/>
      <c r="G378" s="197"/>
      <c r="H378" s="215"/>
      <c r="I378" s="199">
        <f t="shared" si="45"/>
        <v>71415451.370000005</v>
      </c>
      <c r="J378" s="205"/>
      <c r="K378" s="206"/>
      <c r="L378" s="206"/>
      <c r="M378" s="206"/>
      <c r="N378" s="206"/>
      <c r="O378" s="207"/>
      <c r="P378" s="208"/>
      <c r="Q378" s="11"/>
      <c r="R378" s="14"/>
      <c r="S378" s="14"/>
      <c r="T378" s="14"/>
      <c r="U378" s="14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79"/>
      <c r="AN378" s="45"/>
    </row>
    <row r="379" spans="2:40" x14ac:dyDescent="0.25">
      <c r="B379" s="192"/>
      <c r="C379" s="194"/>
      <c r="D379" s="194"/>
      <c r="E379" s="204"/>
      <c r="F379" s="210"/>
      <c r="G379" s="197"/>
      <c r="H379" s="215"/>
      <c r="I379" s="199">
        <f t="shared" si="45"/>
        <v>71415451.370000005</v>
      </c>
      <c r="J379" s="205"/>
      <c r="K379" s="206"/>
      <c r="L379" s="206"/>
      <c r="M379" s="206"/>
      <c r="N379" s="206"/>
      <c r="O379" s="207"/>
      <c r="P379" s="208"/>
      <c r="Q379" s="11"/>
      <c r="R379" s="14"/>
      <c r="S379" s="14"/>
      <c r="T379" s="14"/>
      <c r="U379" s="14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79"/>
      <c r="AN379" s="45"/>
    </row>
    <row r="380" spans="2:40" x14ac:dyDescent="0.25">
      <c r="B380" s="192"/>
      <c r="C380" s="194"/>
      <c r="D380" s="194"/>
      <c r="E380" s="204"/>
      <c r="F380" s="210"/>
      <c r="G380" s="197"/>
      <c r="H380" s="215"/>
      <c r="I380" s="199">
        <f t="shared" si="45"/>
        <v>71415451.370000005</v>
      </c>
      <c r="J380" s="205"/>
      <c r="K380" s="206"/>
      <c r="L380" s="206"/>
      <c r="M380" s="206"/>
      <c r="N380" s="206"/>
      <c r="O380" s="207"/>
      <c r="P380" s="208"/>
      <c r="Q380" s="11"/>
      <c r="R380" s="14"/>
      <c r="S380" s="14"/>
      <c r="T380" s="14"/>
      <c r="U380" s="14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79"/>
      <c r="AN380" s="45"/>
    </row>
    <row r="381" spans="2:40" x14ac:dyDescent="0.25">
      <c r="B381" s="192"/>
      <c r="C381" s="194"/>
      <c r="D381" s="194"/>
      <c r="E381" s="204"/>
      <c r="F381" s="210"/>
      <c r="G381" s="197"/>
      <c r="H381" s="215"/>
      <c r="I381" s="199">
        <f t="shared" si="45"/>
        <v>71415451.370000005</v>
      </c>
      <c r="J381" s="205"/>
      <c r="K381" s="206"/>
      <c r="L381" s="206"/>
      <c r="M381" s="206"/>
      <c r="N381" s="206"/>
      <c r="O381" s="207"/>
      <c r="P381" s="208"/>
      <c r="Q381" s="11"/>
      <c r="R381" s="11"/>
      <c r="S381" s="11"/>
      <c r="T381" s="11"/>
      <c r="U381" s="11"/>
      <c r="V381" s="11"/>
      <c r="W381" s="11"/>
      <c r="X381" s="14"/>
      <c r="Y381" s="14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79"/>
      <c r="AN381" s="45"/>
    </row>
    <row r="382" spans="2:40" x14ac:dyDescent="0.25">
      <c r="B382" s="192"/>
      <c r="C382" s="194"/>
      <c r="D382" s="194"/>
      <c r="E382" s="204"/>
      <c r="F382" s="210"/>
      <c r="G382" s="197"/>
      <c r="H382" s="215"/>
      <c r="I382" s="199">
        <f t="shared" si="45"/>
        <v>71415451.370000005</v>
      </c>
      <c r="J382" s="205"/>
      <c r="K382" s="206"/>
      <c r="L382" s="206"/>
      <c r="M382" s="206"/>
      <c r="N382" s="206"/>
      <c r="O382" s="207"/>
      <c r="P382" s="208"/>
      <c r="Q382" s="11"/>
      <c r="R382" s="11"/>
      <c r="S382" s="11"/>
      <c r="T382" s="11"/>
      <c r="U382" s="11"/>
      <c r="V382" s="11"/>
      <c r="W382" s="11"/>
      <c r="X382" s="14"/>
      <c r="Y382" s="14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79"/>
      <c r="AN382" s="45"/>
    </row>
    <row r="383" spans="2:40" x14ac:dyDescent="0.25">
      <c r="B383" s="192"/>
      <c r="C383" s="194"/>
      <c r="D383" s="194"/>
      <c r="E383" s="204"/>
      <c r="F383" s="210"/>
      <c r="G383" s="197"/>
      <c r="H383" s="215"/>
      <c r="I383" s="199">
        <f t="shared" si="45"/>
        <v>71415451.370000005</v>
      </c>
      <c r="J383" s="205"/>
      <c r="K383" s="206"/>
      <c r="L383" s="206"/>
      <c r="M383" s="206"/>
      <c r="N383" s="206"/>
      <c r="O383" s="207"/>
      <c r="P383" s="208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79"/>
      <c r="AN383" s="45"/>
    </row>
    <row r="384" spans="2:40" x14ac:dyDescent="0.25">
      <c r="B384" s="192"/>
      <c r="C384" s="194"/>
      <c r="D384" s="194"/>
      <c r="E384" s="204"/>
      <c r="F384" s="210"/>
      <c r="G384" s="197"/>
      <c r="H384" s="215"/>
      <c r="I384" s="199">
        <f t="shared" si="45"/>
        <v>71415451.370000005</v>
      </c>
      <c r="J384" s="205"/>
      <c r="K384" s="206"/>
      <c r="L384" s="206"/>
      <c r="M384" s="206"/>
      <c r="N384" s="206"/>
      <c r="O384" s="207"/>
      <c r="P384" s="208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79"/>
      <c r="AN384" s="45"/>
    </row>
    <row r="385" spans="2:40" x14ac:dyDescent="0.25">
      <c r="B385" s="192"/>
      <c r="C385" s="194"/>
      <c r="D385" s="194"/>
      <c r="E385" s="204"/>
      <c r="F385" s="210"/>
      <c r="G385" s="197"/>
      <c r="H385" s="215"/>
      <c r="I385" s="199">
        <f t="shared" si="45"/>
        <v>71415451.370000005</v>
      </c>
      <c r="J385" s="205"/>
      <c r="K385" s="206"/>
      <c r="L385" s="206"/>
      <c r="M385" s="206"/>
      <c r="N385" s="206"/>
      <c r="O385" s="207"/>
      <c r="P385" s="208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79"/>
      <c r="AN385" s="45"/>
    </row>
    <row r="386" spans="2:40" x14ac:dyDescent="0.25">
      <c r="B386" s="192"/>
      <c r="C386" s="194"/>
      <c r="D386" s="194"/>
      <c r="E386" s="204"/>
      <c r="F386" s="210"/>
      <c r="G386" s="197"/>
      <c r="H386" s="215"/>
      <c r="I386" s="199">
        <f t="shared" si="45"/>
        <v>71415451.370000005</v>
      </c>
      <c r="J386" s="205"/>
      <c r="K386" s="206"/>
      <c r="L386" s="206"/>
      <c r="M386" s="206"/>
      <c r="N386" s="206"/>
      <c r="O386" s="207"/>
      <c r="P386" s="208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79"/>
      <c r="AN386" s="45"/>
    </row>
    <row r="387" spans="2:40" x14ac:dyDescent="0.25">
      <c r="B387" s="192"/>
      <c r="C387" s="194"/>
      <c r="D387" s="194"/>
      <c r="E387" s="204"/>
      <c r="F387" s="210"/>
      <c r="G387" s="197"/>
      <c r="H387" s="215"/>
      <c r="I387" s="199">
        <f t="shared" si="45"/>
        <v>71415451.370000005</v>
      </c>
      <c r="J387" s="205"/>
      <c r="K387" s="206"/>
      <c r="L387" s="206"/>
      <c r="M387" s="206"/>
      <c r="N387" s="206"/>
      <c r="O387" s="207"/>
      <c r="P387" s="208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79"/>
      <c r="AN387" s="45"/>
    </row>
    <row r="388" spans="2:40" x14ac:dyDescent="0.25">
      <c r="B388" s="192"/>
      <c r="C388" s="194"/>
      <c r="D388" s="194"/>
      <c r="E388" s="204"/>
      <c r="F388" s="210"/>
      <c r="G388" s="197"/>
      <c r="H388" s="215"/>
      <c r="I388" s="199">
        <f t="shared" si="45"/>
        <v>71415451.370000005</v>
      </c>
      <c r="J388" s="205"/>
      <c r="K388" s="206"/>
      <c r="L388" s="206"/>
      <c r="M388" s="206"/>
      <c r="N388" s="206"/>
      <c r="O388" s="207"/>
      <c r="P388" s="22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79"/>
      <c r="AN388" s="45"/>
    </row>
    <row r="389" spans="2:40" x14ac:dyDescent="0.25">
      <c r="B389" s="192"/>
      <c r="C389" s="194"/>
      <c r="D389" s="194"/>
      <c r="E389" s="204"/>
      <c r="F389" s="210"/>
      <c r="G389" s="197"/>
      <c r="H389" s="215"/>
      <c r="I389" s="199">
        <f t="shared" si="45"/>
        <v>71415451.370000005</v>
      </c>
      <c r="J389" s="205"/>
      <c r="K389" s="206"/>
      <c r="L389" s="206"/>
      <c r="M389" s="206"/>
      <c r="N389" s="206"/>
      <c r="O389" s="207"/>
      <c r="P389" s="22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79"/>
      <c r="AN389" s="45"/>
    </row>
    <row r="390" spans="2:40" x14ac:dyDescent="0.25">
      <c r="B390" s="192"/>
      <c r="C390" s="194"/>
      <c r="D390" s="194"/>
      <c r="E390" s="204"/>
      <c r="F390" s="210"/>
      <c r="G390" s="197"/>
      <c r="H390" s="215"/>
      <c r="I390" s="199">
        <f t="shared" si="45"/>
        <v>71415451.370000005</v>
      </c>
      <c r="J390" s="205"/>
      <c r="K390" s="206"/>
      <c r="L390" s="206"/>
      <c r="M390" s="206"/>
      <c r="N390" s="206"/>
      <c r="O390" s="207"/>
      <c r="P390" s="22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4"/>
      <c r="AK390" s="14"/>
      <c r="AL390" s="14"/>
      <c r="AM390" s="80"/>
      <c r="AN390" s="45"/>
    </row>
    <row r="391" spans="2:40" x14ac:dyDescent="0.25">
      <c r="B391" s="192"/>
      <c r="C391" s="194"/>
      <c r="D391" s="194"/>
      <c r="E391" s="204"/>
      <c r="F391" s="210"/>
      <c r="G391" s="197"/>
      <c r="H391" s="215"/>
      <c r="I391" s="199">
        <f t="shared" si="45"/>
        <v>71415451.370000005</v>
      </c>
      <c r="J391" s="205"/>
      <c r="K391" s="206"/>
      <c r="L391" s="206"/>
      <c r="M391" s="206"/>
      <c r="N391" s="206"/>
      <c r="O391" s="207"/>
      <c r="P391" s="223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5"/>
      <c r="AI391" s="11"/>
      <c r="AJ391" s="14"/>
      <c r="AK391" s="14"/>
      <c r="AL391" s="14"/>
      <c r="AM391" s="80"/>
      <c r="AN391" s="45"/>
    </row>
    <row r="392" spans="2:40" x14ac:dyDescent="0.25">
      <c r="B392" s="192"/>
      <c r="C392" s="194"/>
      <c r="D392" s="194"/>
      <c r="E392" s="204"/>
      <c r="F392" s="210"/>
      <c r="G392" s="197"/>
      <c r="H392" s="215"/>
      <c r="I392" s="199">
        <f t="shared" si="45"/>
        <v>71415451.370000005</v>
      </c>
      <c r="J392" s="205"/>
      <c r="K392" s="206"/>
      <c r="L392" s="206"/>
      <c r="M392" s="206"/>
      <c r="N392" s="206"/>
      <c r="O392" s="207"/>
      <c r="P392" s="223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5"/>
      <c r="AI392" s="11"/>
      <c r="AJ392" s="14"/>
      <c r="AK392" s="14"/>
      <c r="AL392" s="14"/>
      <c r="AM392" s="80"/>
      <c r="AN392" s="45"/>
    </row>
    <row r="393" spans="2:40" x14ac:dyDescent="0.25">
      <c r="B393" s="192"/>
      <c r="C393" s="194"/>
      <c r="D393" s="194"/>
      <c r="E393" s="204"/>
      <c r="F393" s="210"/>
      <c r="G393" s="197"/>
      <c r="H393" s="215"/>
      <c r="I393" s="199">
        <f t="shared" si="45"/>
        <v>71415451.370000005</v>
      </c>
      <c r="J393" s="205"/>
      <c r="K393" s="206"/>
      <c r="L393" s="206"/>
      <c r="M393" s="206"/>
      <c r="N393" s="206"/>
      <c r="O393" s="207"/>
      <c r="P393" s="223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5"/>
      <c r="AI393" s="11"/>
      <c r="AJ393" s="11"/>
      <c r="AK393" s="11"/>
      <c r="AL393" s="11"/>
      <c r="AM393" s="79"/>
      <c r="AN393" s="45"/>
    </row>
    <row r="394" spans="2:40" x14ac:dyDescent="0.25">
      <c r="B394" s="192"/>
      <c r="C394" s="194"/>
      <c r="D394" s="194"/>
      <c r="E394" s="204"/>
      <c r="F394" s="210"/>
      <c r="G394" s="197"/>
      <c r="H394" s="215"/>
      <c r="I394" s="199">
        <f t="shared" si="45"/>
        <v>71415451.370000005</v>
      </c>
      <c r="J394" s="205"/>
      <c r="K394" s="206"/>
      <c r="L394" s="206"/>
      <c r="M394" s="206"/>
      <c r="N394" s="206"/>
      <c r="O394" s="207"/>
      <c r="P394" s="223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5"/>
      <c r="AI394" s="11"/>
      <c r="AJ394" s="11"/>
      <c r="AK394" s="11"/>
      <c r="AL394" s="11"/>
      <c r="AM394" s="79"/>
      <c r="AN394" s="45"/>
    </row>
    <row r="395" spans="2:40" x14ac:dyDescent="0.25">
      <c r="B395" s="192"/>
      <c r="C395" s="194"/>
      <c r="D395" s="194"/>
      <c r="E395" s="204"/>
      <c r="F395" s="210"/>
      <c r="G395" s="197"/>
      <c r="H395" s="215"/>
      <c r="I395" s="199">
        <f t="shared" si="45"/>
        <v>71415451.370000005</v>
      </c>
      <c r="J395" s="205"/>
      <c r="K395" s="206"/>
      <c r="L395" s="206"/>
      <c r="M395" s="206"/>
      <c r="N395" s="206"/>
      <c r="O395" s="207"/>
      <c r="P395" s="208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79"/>
      <c r="AN395" s="45"/>
    </row>
    <row r="396" spans="2:40" x14ac:dyDescent="0.25">
      <c r="B396" s="192"/>
      <c r="C396" s="194"/>
      <c r="D396" s="194"/>
      <c r="E396" s="204"/>
      <c r="F396" s="210"/>
      <c r="G396" s="197"/>
      <c r="H396" s="215"/>
      <c r="I396" s="199">
        <f t="shared" si="45"/>
        <v>71415451.370000005</v>
      </c>
      <c r="J396" s="205"/>
      <c r="K396" s="206"/>
      <c r="L396" s="206"/>
      <c r="M396" s="206"/>
      <c r="N396" s="206"/>
      <c r="O396" s="207"/>
      <c r="P396" s="208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79"/>
      <c r="AN396" s="45"/>
    </row>
    <row r="397" spans="2:40" x14ac:dyDescent="0.25">
      <c r="B397" s="192"/>
      <c r="C397" s="194"/>
      <c r="D397" s="194"/>
      <c r="E397" s="204"/>
      <c r="F397" s="210"/>
      <c r="G397" s="197"/>
      <c r="H397" s="215"/>
      <c r="I397" s="199">
        <f t="shared" si="45"/>
        <v>71415451.370000005</v>
      </c>
      <c r="J397" s="205"/>
      <c r="K397" s="206"/>
      <c r="L397" s="206"/>
      <c r="M397" s="206"/>
      <c r="N397" s="206"/>
      <c r="O397" s="207"/>
      <c r="P397" s="208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4"/>
      <c r="AJ397" s="11"/>
      <c r="AK397" s="11"/>
      <c r="AL397" s="11"/>
      <c r="AM397" s="79"/>
      <c r="AN397" s="45"/>
    </row>
    <row r="398" spans="2:40" x14ac:dyDescent="0.25">
      <c r="B398" s="192"/>
      <c r="C398" s="194"/>
      <c r="D398" s="194"/>
      <c r="E398" s="204"/>
      <c r="F398" s="210"/>
      <c r="G398" s="197"/>
      <c r="H398" s="215"/>
      <c r="I398" s="199">
        <f t="shared" si="45"/>
        <v>71415451.370000005</v>
      </c>
      <c r="J398" s="205"/>
      <c r="K398" s="206"/>
      <c r="L398" s="206"/>
      <c r="M398" s="206"/>
      <c r="N398" s="206"/>
      <c r="O398" s="207"/>
      <c r="P398" s="208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4"/>
      <c r="AJ398" s="11"/>
      <c r="AK398" s="11"/>
      <c r="AL398" s="11"/>
      <c r="AM398" s="79"/>
      <c r="AN398" s="45"/>
    </row>
    <row r="399" spans="2:40" x14ac:dyDescent="0.25">
      <c r="B399" s="192"/>
      <c r="C399" s="194"/>
      <c r="D399" s="194"/>
      <c r="E399" s="204"/>
      <c r="F399" s="210"/>
      <c r="G399" s="197"/>
      <c r="H399" s="215"/>
      <c r="I399" s="199">
        <f t="shared" si="45"/>
        <v>71415451.370000005</v>
      </c>
      <c r="J399" s="205"/>
      <c r="K399" s="206"/>
      <c r="L399" s="206"/>
      <c r="M399" s="206"/>
      <c r="N399" s="206"/>
      <c r="O399" s="207"/>
      <c r="P399" s="208"/>
      <c r="Q399" s="14"/>
      <c r="R399" s="14"/>
      <c r="S399" s="14"/>
      <c r="T399" s="14"/>
      <c r="U399" s="14"/>
      <c r="V399" s="11"/>
      <c r="W399" s="11"/>
      <c r="X399" s="11"/>
      <c r="Y399" s="11"/>
      <c r="Z399" s="11"/>
      <c r="AA399" s="11"/>
      <c r="AB399" s="11"/>
      <c r="AC399" s="11"/>
      <c r="AD399" s="14"/>
      <c r="AE399" s="11"/>
      <c r="AF399" s="11"/>
      <c r="AG399" s="11"/>
      <c r="AH399" s="11"/>
      <c r="AI399" s="14"/>
      <c r="AJ399" s="11"/>
      <c r="AK399" s="11"/>
      <c r="AL399" s="11"/>
      <c r="AM399" s="79"/>
      <c r="AN399" s="45"/>
    </row>
    <row r="400" spans="2:40" x14ac:dyDescent="0.25">
      <c r="B400" s="192"/>
      <c r="C400" s="194"/>
      <c r="D400" s="194"/>
      <c r="E400" s="204"/>
      <c r="F400" s="210"/>
      <c r="G400" s="197"/>
      <c r="H400" s="215"/>
      <c r="I400" s="199">
        <f t="shared" si="45"/>
        <v>71415451.370000005</v>
      </c>
      <c r="J400" s="205"/>
      <c r="K400" s="206"/>
      <c r="L400" s="206"/>
      <c r="M400" s="206"/>
      <c r="N400" s="206"/>
      <c r="O400" s="207"/>
      <c r="P400" s="208"/>
      <c r="Q400" s="11"/>
      <c r="R400" s="14"/>
      <c r="S400" s="14"/>
      <c r="T400" s="14"/>
      <c r="U400" s="14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79"/>
      <c r="AN400" s="45"/>
    </row>
    <row r="401" spans="2:40" x14ac:dyDescent="0.25">
      <c r="B401" s="192"/>
      <c r="C401" s="194"/>
      <c r="D401" s="194"/>
      <c r="E401" s="204"/>
      <c r="F401" s="210"/>
      <c r="G401" s="197"/>
      <c r="H401" s="215"/>
      <c r="I401" s="199">
        <f t="shared" si="45"/>
        <v>71415451.370000005</v>
      </c>
      <c r="J401" s="205"/>
      <c r="K401" s="206"/>
      <c r="L401" s="206"/>
      <c r="M401" s="206"/>
      <c r="N401" s="206"/>
      <c r="O401" s="207"/>
      <c r="P401" s="208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79"/>
      <c r="AN401" s="45"/>
    </row>
    <row r="402" spans="2:40" x14ac:dyDescent="0.25">
      <c r="B402" s="192"/>
      <c r="C402" s="194"/>
      <c r="D402" s="194"/>
      <c r="E402" s="204"/>
      <c r="F402" s="210"/>
      <c r="G402" s="197"/>
      <c r="H402" s="215"/>
      <c r="I402" s="199">
        <f t="shared" si="45"/>
        <v>71415451.370000005</v>
      </c>
      <c r="J402" s="205"/>
      <c r="K402" s="206"/>
      <c r="L402" s="206"/>
      <c r="M402" s="206"/>
      <c r="N402" s="206"/>
      <c r="O402" s="207"/>
      <c r="P402" s="208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79"/>
      <c r="AN402" s="45"/>
    </row>
    <row r="403" spans="2:40" x14ac:dyDescent="0.25">
      <c r="B403" s="192"/>
      <c r="C403" s="194"/>
      <c r="D403" s="194"/>
      <c r="E403" s="204"/>
      <c r="F403" s="210"/>
      <c r="G403" s="197"/>
      <c r="H403" s="215"/>
      <c r="I403" s="199">
        <f t="shared" si="45"/>
        <v>71415451.370000005</v>
      </c>
      <c r="J403" s="205"/>
      <c r="K403" s="206"/>
      <c r="L403" s="206"/>
      <c r="M403" s="206"/>
      <c r="N403" s="206"/>
      <c r="O403" s="207"/>
      <c r="P403" s="208"/>
      <c r="Q403" s="11"/>
      <c r="R403" s="11"/>
      <c r="S403" s="11"/>
      <c r="T403" s="11"/>
      <c r="U403" s="11"/>
      <c r="V403" s="11"/>
      <c r="W403" s="11"/>
      <c r="X403" s="14"/>
      <c r="Y403" s="14"/>
      <c r="Z403" s="15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79"/>
      <c r="AN403" s="45"/>
    </row>
    <row r="404" spans="2:40" x14ac:dyDescent="0.25">
      <c r="B404" s="192"/>
      <c r="C404" s="194"/>
      <c r="D404" s="194"/>
      <c r="E404" s="204"/>
      <c r="F404" s="210"/>
      <c r="G404" s="197"/>
      <c r="H404" s="215"/>
      <c r="I404" s="199">
        <f t="shared" si="45"/>
        <v>71415451.370000005</v>
      </c>
      <c r="J404" s="205"/>
      <c r="K404" s="206"/>
      <c r="L404" s="206"/>
      <c r="M404" s="206"/>
      <c r="N404" s="206"/>
      <c r="O404" s="207"/>
      <c r="P404" s="208"/>
      <c r="Q404" s="11"/>
      <c r="R404" s="11"/>
      <c r="S404" s="11"/>
      <c r="T404" s="11"/>
      <c r="U404" s="11"/>
      <c r="V404" s="11"/>
      <c r="W404" s="11"/>
      <c r="X404" s="14"/>
      <c r="Y404" s="14"/>
      <c r="Z404" s="15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79"/>
      <c r="AN404" s="45"/>
    </row>
    <row r="405" spans="2:40" x14ac:dyDescent="0.25">
      <c r="B405" s="192"/>
      <c r="C405" s="194"/>
      <c r="D405" s="194"/>
      <c r="E405" s="204"/>
      <c r="F405" s="210"/>
      <c r="G405" s="197"/>
      <c r="H405" s="215"/>
      <c r="I405" s="199">
        <f t="shared" ref="I405:I468" si="46">I404+G405-H405</f>
        <v>71415451.370000005</v>
      </c>
      <c r="J405" s="205"/>
      <c r="K405" s="206"/>
      <c r="L405" s="206"/>
      <c r="M405" s="206"/>
      <c r="N405" s="206"/>
      <c r="O405" s="207"/>
      <c r="P405" s="208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79"/>
      <c r="AN405" s="45"/>
    </row>
    <row r="406" spans="2:40" x14ac:dyDescent="0.25">
      <c r="B406" s="192"/>
      <c r="C406" s="194"/>
      <c r="D406" s="194"/>
      <c r="E406" s="204"/>
      <c r="F406" s="210"/>
      <c r="G406" s="197"/>
      <c r="H406" s="215"/>
      <c r="I406" s="199">
        <f t="shared" si="46"/>
        <v>71415451.370000005</v>
      </c>
      <c r="J406" s="205"/>
      <c r="K406" s="206"/>
      <c r="L406" s="206"/>
      <c r="M406" s="206"/>
      <c r="N406" s="206"/>
      <c r="O406" s="207"/>
      <c r="P406" s="208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79"/>
      <c r="AN406" s="45"/>
    </row>
    <row r="407" spans="2:40" x14ac:dyDescent="0.25">
      <c r="B407" s="192"/>
      <c r="C407" s="194"/>
      <c r="D407" s="194"/>
      <c r="E407" s="204"/>
      <c r="F407" s="210"/>
      <c r="G407" s="197"/>
      <c r="H407" s="215"/>
      <c r="I407" s="199">
        <f t="shared" si="46"/>
        <v>71415451.370000005</v>
      </c>
      <c r="J407" s="205"/>
      <c r="K407" s="206"/>
      <c r="L407" s="206"/>
      <c r="M407" s="206"/>
      <c r="N407" s="206"/>
      <c r="O407" s="207"/>
      <c r="P407" s="208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79"/>
      <c r="AN407" s="45"/>
    </row>
    <row r="408" spans="2:40" x14ac:dyDescent="0.25">
      <c r="B408" s="192"/>
      <c r="C408" s="194"/>
      <c r="D408" s="194"/>
      <c r="E408" s="204"/>
      <c r="F408" s="210"/>
      <c r="G408" s="197"/>
      <c r="H408" s="215"/>
      <c r="I408" s="199">
        <f t="shared" si="46"/>
        <v>71415451.370000005</v>
      </c>
      <c r="J408" s="205"/>
      <c r="K408" s="206"/>
      <c r="L408" s="206"/>
      <c r="M408" s="206"/>
      <c r="N408" s="206"/>
      <c r="O408" s="207"/>
      <c r="P408" s="208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79"/>
      <c r="AN408" s="45"/>
    </row>
    <row r="409" spans="2:40" x14ac:dyDescent="0.25">
      <c r="B409" s="192"/>
      <c r="C409" s="194"/>
      <c r="D409" s="194"/>
      <c r="E409" s="204"/>
      <c r="F409" s="210"/>
      <c r="G409" s="197"/>
      <c r="H409" s="215"/>
      <c r="I409" s="199">
        <f t="shared" si="46"/>
        <v>71415451.370000005</v>
      </c>
      <c r="J409" s="205"/>
      <c r="K409" s="206"/>
      <c r="L409" s="206"/>
      <c r="M409" s="206"/>
      <c r="N409" s="206"/>
      <c r="O409" s="207"/>
      <c r="P409" s="208"/>
      <c r="Q409" s="11"/>
      <c r="R409" s="14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79"/>
      <c r="AN409" s="45"/>
    </row>
    <row r="410" spans="2:40" x14ac:dyDescent="0.25">
      <c r="B410" s="192"/>
      <c r="C410" s="194"/>
      <c r="D410" s="194"/>
      <c r="E410" s="204"/>
      <c r="F410" s="210"/>
      <c r="G410" s="197"/>
      <c r="H410" s="215"/>
      <c r="I410" s="199">
        <f t="shared" si="46"/>
        <v>71415451.370000005</v>
      </c>
      <c r="J410" s="205"/>
      <c r="K410" s="206"/>
      <c r="L410" s="206"/>
      <c r="M410" s="206"/>
      <c r="N410" s="206"/>
      <c r="O410" s="207"/>
      <c r="P410" s="208"/>
      <c r="Q410" s="11"/>
      <c r="R410" s="11"/>
      <c r="S410" s="11"/>
      <c r="T410" s="11"/>
      <c r="U410" s="11"/>
      <c r="V410" s="11"/>
      <c r="W410" s="11"/>
      <c r="X410" s="14"/>
      <c r="Y410" s="14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79"/>
      <c r="AN410" s="45"/>
    </row>
    <row r="411" spans="2:40" x14ac:dyDescent="0.25">
      <c r="B411" s="192"/>
      <c r="C411" s="194"/>
      <c r="D411" s="194"/>
      <c r="E411" s="204"/>
      <c r="F411" s="210"/>
      <c r="G411" s="197"/>
      <c r="H411" s="215"/>
      <c r="I411" s="199">
        <f t="shared" si="46"/>
        <v>71415451.370000005</v>
      </c>
      <c r="J411" s="205"/>
      <c r="K411" s="206"/>
      <c r="L411" s="206"/>
      <c r="M411" s="206"/>
      <c r="N411" s="206"/>
      <c r="O411" s="207"/>
      <c r="P411" s="30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79"/>
      <c r="AN411" s="45"/>
    </row>
    <row r="412" spans="2:40" x14ac:dyDescent="0.25">
      <c r="B412" s="192"/>
      <c r="C412" s="194"/>
      <c r="D412" s="194"/>
      <c r="E412" s="204"/>
      <c r="F412" s="210"/>
      <c r="G412" s="197"/>
      <c r="H412" s="215"/>
      <c r="I412" s="199">
        <f t="shared" si="46"/>
        <v>71415451.370000005</v>
      </c>
      <c r="J412" s="205"/>
      <c r="K412" s="206"/>
      <c r="L412" s="206"/>
      <c r="M412" s="206"/>
      <c r="N412" s="206"/>
      <c r="O412" s="207"/>
      <c r="P412" s="208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79"/>
      <c r="AN412" s="45"/>
    </row>
    <row r="413" spans="2:40" x14ac:dyDescent="0.25">
      <c r="B413" s="192"/>
      <c r="C413" s="194"/>
      <c r="D413" s="194"/>
      <c r="E413" s="204"/>
      <c r="F413" s="210"/>
      <c r="G413" s="197"/>
      <c r="H413" s="215"/>
      <c r="I413" s="199">
        <f t="shared" si="46"/>
        <v>71415451.370000005</v>
      </c>
      <c r="J413" s="205"/>
      <c r="K413" s="206"/>
      <c r="L413" s="206"/>
      <c r="M413" s="206"/>
      <c r="N413" s="206"/>
      <c r="O413" s="207"/>
      <c r="P413" s="208"/>
      <c r="Q413" s="11"/>
      <c r="R413" s="11"/>
      <c r="S413" s="11"/>
      <c r="T413" s="11"/>
      <c r="U413" s="11"/>
      <c r="V413" s="14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79"/>
      <c r="AN413" s="45"/>
    </row>
    <row r="414" spans="2:40" x14ac:dyDescent="0.25">
      <c r="B414" s="192"/>
      <c r="C414" s="194"/>
      <c r="D414" s="194"/>
      <c r="E414" s="204"/>
      <c r="F414" s="210"/>
      <c r="G414" s="197"/>
      <c r="H414" s="215"/>
      <c r="I414" s="199">
        <f t="shared" si="46"/>
        <v>71415451.370000005</v>
      </c>
      <c r="J414" s="205"/>
      <c r="K414" s="206"/>
      <c r="L414" s="206"/>
      <c r="M414" s="206"/>
      <c r="N414" s="206"/>
      <c r="O414" s="207"/>
      <c r="P414" s="224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79"/>
      <c r="AN414" s="45"/>
    </row>
    <row r="415" spans="2:40" x14ac:dyDescent="0.25">
      <c r="B415" s="192"/>
      <c r="C415" s="194"/>
      <c r="D415" s="194"/>
      <c r="E415" s="204"/>
      <c r="F415" s="210"/>
      <c r="G415" s="197"/>
      <c r="H415" s="215"/>
      <c r="I415" s="199">
        <f t="shared" si="46"/>
        <v>71415451.370000005</v>
      </c>
      <c r="J415" s="205"/>
      <c r="K415" s="206"/>
      <c r="L415" s="206"/>
      <c r="M415" s="206"/>
      <c r="N415" s="206"/>
      <c r="O415" s="207"/>
      <c r="P415" s="224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79"/>
      <c r="AN415" s="45"/>
    </row>
    <row r="416" spans="2:40" x14ac:dyDescent="0.25">
      <c r="B416" s="192"/>
      <c r="C416" s="194"/>
      <c r="D416" s="194"/>
      <c r="E416" s="204"/>
      <c r="F416" s="210"/>
      <c r="G416" s="197"/>
      <c r="H416" s="215"/>
      <c r="I416" s="199">
        <f t="shared" si="46"/>
        <v>71415451.370000005</v>
      </c>
      <c r="J416" s="205"/>
      <c r="K416" s="206"/>
      <c r="L416" s="206"/>
      <c r="M416" s="206"/>
      <c r="N416" s="206"/>
      <c r="O416" s="207"/>
      <c r="P416" s="224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79"/>
      <c r="AN416" s="45"/>
    </row>
    <row r="417" spans="2:40" x14ac:dyDescent="0.25">
      <c r="B417" s="192"/>
      <c r="C417" s="194"/>
      <c r="D417" s="194"/>
      <c r="E417" s="204"/>
      <c r="F417" s="210"/>
      <c r="G417" s="197"/>
      <c r="H417" s="215"/>
      <c r="I417" s="199">
        <f t="shared" si="46"/>
        <v>71415451.370000005</v>
      </c>
      <c r="J417" s="205"/>
      <c r="K417" s="206"/>
      <c r="L417" s="206"/>
      <c r="M417" s="206"/>
      <c r="N417" s="206"/>
      <c r="O417" s="207"/>
      <c r="P417" s="224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79"/>
      <c r="AN417" s="45"/>
    </row>
    <row r="418" spans="2:40" x14ac:dyDescent="0.25">
      <c r="B418" s="192"/>
      <c r="C418" s="194"/>
      <c r="D418" s="194"/>
      <c r="E418" s="204"/>
      <c r="F418" s="210"/>
      <c r="G418" s="197"/>
      <c r="H418" s="215"/>
      <c r="I418" s="199">
        <f t="shared" si="46"/>
        <v>71415451.370000005</v>
      </c>
      <c r="J418" s="205"/>
      <c r="K418" s="206"/>
      <c r="L418" s="206"/>
      <c r="M418" s="206"/>
      <c r="N418" s="206"/>
      <c r="O418" s="207"/>
      <c r="P418" s="208"/>
      <c r="Q418" s="11"/>
      <c r="R418" s="11"/>
      <c r="S418" s="11"/>
      <c r="T418" s="11"/>
      <c r="U418" s="11"/>
      <c r="V418" s="11"/>
      <c r="W418" s="11"/>
      <c r="X418" s="14"/>
      <c r="Y418" s="14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79"/>
      <c r="AN418" s="45"/>
    </row>
    <row r="419" spans="2:40" x14ac:dyDescent="0.25">
      <c r="B419" s="192"/>
      <c r="C419" s="194"/>
      <c r="D419" s="194"/>
      <c r="E419" s="204"/>
      <c r="F419" s="210"/>
      <c r="G419" s="197"/>
      <c r="H419" s="215"/>
      <c r="I419" s="199">
        <f t="shared" si="46"/>
        <v>71415451.370000005</v>
      </c>
      <c r="J419" s="205"/>
      <c r="K419" s="206"/>
      <c r="L419" s="206"/>
      <c r="M419" s="206"/>
      <c r="N419" s="206"/>
      <c r="O419" s="207"/>
      <c r="P419" s="208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79"/>
      <c r="AN419" s="45"/>
    </row>
    <row r="420" spans="2:40" x14ac:dyDescent="0.25">
      <c r="B420" s="192"/>
      <c r="C420" s="194"/>
      <c r="D420" s="194"/>
      <c r="E420" s="204"/>
      <c r="F420" s="210"/>
      <c r="G420" s="197"/>
      <c r="H420" s="215"/>
      <c r="I420" s="199">
        <f t="shared" si="46"/>
        <v>71415451.370000005</v>
      </c>
      <c r="J420" s="205"/>
      <c r="K420" s="206"/>
      <c r="L420" s="206"/>
      <c r="M420" s="206"/>
      <c r="N420" s="206"/>
      <c r="O420" s="207"/>
      <c r="P420" s="208"/>
      <c r="Q420" s="14"/>
      <c r="R420" s="14"/>
      <c r="S420" s="11"/>
      <c r="T420" s="11"/>
      <c r="U420" s="11"/>
      <c r="V420" s="11"/>
      <c r="W420" s="11"/>
      <c r="X420" s="11"/>
      <c r="Y420" s="11"/>
      <c r="Z420" s="11"/>
      <c r="AA420" s="11"/>
      <c r="AB420" s="15"/>
      <c r="AC420" s="15"/>
      <c r="AD420" s="15"/>
      <c r="AE420" s="15"/>
      <c r="AF420" s="11"/>
      <c r="AG420" s="11"/>
      <c r="AH420" s="11"/>
      <c r="AI420" s="11"/>
      <c r="AJ420" s="11"/>
      <c r="AK420" s="11"/>
      <c r="AL420" s="11"/>
      <c r="AM420" s="79"/>
      <c r="AN420" s="45"/>
    </row>
    <row r="421" spans="2:40" x14ac:dyDescent="0.25">
      <c r="B421" s="192"/>
      <c r="C421" s="194"/>
      <c r="D421" s="194"/>
      <c r="E421" s="204"/>
      <c r="F421" s="210"/>
      <c r="G421" s="197"/>
      <c r="H421" s="215"/>
      <c r="I421" s="199">
        <f t="shared" si="46"/>
        <v>71415451.370000005</v>
      </c>
      <c r="J421" s="205"/>
      <c r="K421" s="206"/>
      <c r="L421" s="206"/>
      <c r="M421" s="206"/>
      <c r="N421" s="206"/>
      <c r="O421" s="207"/>
      <c r="P421" s="208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5"/>
      <c r="AC421" s="15"/>
      <c r="AD421" s="15"/>
      <c r="AE421" s="15"/>
      <c r="AF421" s="11"/>
      <c r="AG421" s="11"/>
      <c r="AH421" s="11"/>
      <c r="AI421" s="11"/>
      <c r="AJ421" s="11"/>
      <c r="AK421" s="11"/>
      <c r="AL421" s="11"/>
      <c r="AM421" s="79"/>
      <c r="AN421" s="45"/>
    </row>
    <row r="422" spans="2:40" x14ac:dyDescent="0.25">
      <c r="B422" s="192"/>
      <c r="C422" s="194"/>
      <c r="D422" s="194"/>
      <c r="E422" s="204"/>
      <c r="F422" s="210"/>
      <c r="G422" s="197"/>
      <c r="H422" s="215"/>
      <c r="I422" s="199">
        <f t="shared" si="46"/>
        <v>71415451.370000005</v>
      </c>
      <c r="J422" s="205"/>
      <c r="K422" s="206"/>
      <c r="L422" s="206"/>
      <c r="M422" s="206"/>
      <c r="N422" s="206"/>
      <c r="O422" s="207"/>
      <c r="P422" s="208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5"/>
      <c r="AC422" s="15"/>
      <c r="AD422" s="15"/>
      <c r="AE422" s="15"/>
      <c r="AF422" s="11"/>
      <c r="AG422" s="11"/>
      <c r="AH422" s="11"/>
      <c r="AI422" s="11"/>
      <c r="AJ422" s="11"/>
      <c r="AK422" s="11"/>
      <c r="AL422" s="11"/>
      <c r="AM422" s="79"/>
      <c r="AN422" s="45"/>
    </row>
    <row r="423" spans="2:40" x14ac:dyDescent="0.25">
      <c r="B423" s="192"/>
      <c r="C423" s="194"/>
      <c r="D423" s="194"/>
      <c r="E423" s="204"/>
      <c r="F423" s="210"/>
      <c r="G423" s="197"/>
      <c r="H423" s="215"/>
      <c r="I423" s="199">
        <f t="shared" si="46"/>
        <v>71415451.370000005</v>
      </c>
      <c r="J423" s="205"/>
      <c r="K423" s="206"/>
      <c r="L423" s="206"/>
      <c r="M423" s="206"/>
      <c r="N423" s="206"/>
      <c r="O423" s="207"/>
      <c r="P423" s="208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5"/>
      <c r="AC423" s="15"/>
      <c r="AD423" s="15"/>
      <c r="AE423" s="15"/>
      <c r="AF423" s="11"/>
      <c r="AG423" s="11"/>
      <c r="AH423" s="11"/>
      <c r="AI423" s="11"/>
      <c r="AJ423" s="11"/>
      <c r="AK423" s="11"/>
      <c r="AL423" s="11"/>
      <c r="AM423" s="79"/>
      <c r="AN423" s="45"/>
    </row>
    <row r="424" spans="2:40" x14ac:dyDescent="0.25">
      <c r="B424" s="192"/>
      <c r="C424" s="194"/>
      <c r="D424" s="194"/>
      <c r="E424" s="204"/>
      <c r="F424" s="210"/>
      <c r="G424" s="197"/>
      <c r="H424" s="215"/>
      <c r="I424" s="199">
        <f t="shared" si="46"/>
        <v>71415451.370000005</v>
      </c>
      <c r="J424" s="205"/>
      <c r="K424" s="206"/>
      <c r="L424" s="206"/>
      <c r="M424" s="206"/>
      <c r="N424" s="206"/>
      <c r="O424" s="207"/>
      <c r="P424" s="208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5"/>
      <c r="AC424" s="15"/>
      <c r="AD424" s="15"/>
      <c r="AE424" s="15"/>
      <c r="AF424" s="11"/>
      <c r="AG424" s="11"/>
      <c r="AH424" s="11"/>
      <c r="AI424" s="11"/>
      <c r="AJ424" s="11"/>
      <c r="AK424" s="11"/>
      <c r="AL424" s="11"/>
      <c r="AM424" s="79"/>
      <c r="AN424" s="45"/>
    </row>
    <row r="425" spans="2:40" x14ac:dyDescent="0.25">
      <c r="B425" s="192"/>
      <c r="C425" s="194"/>
      <c r="D425" s="194"/>
      <c r="E425" s="204"/>
      <c r="F425" s="210"/>
      <c r="G425" s="197"/>
      <c r="H425" s="215"/>
      <c r="I425" s="199">
        <f t="shared" si="46"/>
        <v>71415451.370000005</v>
      </c>
      <c r="J425" s="205"/>
      <c r="K425" s="206"/>
      <c r="L425" s="206"/>
      <c r="M425" s="206"/>
      <c r="N425" s="206"/>
      <c r="O425" s="207"/>
      <c r="P425" s="208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5"/>
      <c r="AC425" s="15"/>
      <c r="AD425" s="15"/>
      <c r="AE425" s="15"/>
      <c r="AF425" s="11"/>
      <c r="AG425" s="11"/>
      <c r="AH425" s="11"/>
      <c r="AI425" s="11"/>
      <c r="AJ425" s="11"/>
      <c r="AK425" s="11"/>
      <c r="AL425" s="11"/>
      <c r="AM425" s="79"/>
      <c r="AN425" s="45"/>
    </row>
    <row r="426" spans="2:40" x14ac:dyDescent="0.25">
      <c r="B426" s="192"/>
      <c r="C426" s="194"/>
      <c r="D426" s="194"/>
      <c r="E426" s="204"/>
      <c r="F426" s="210"/>
      <c r="G426" s="197"/>
      <c r="H426" s="215"/>
      <c r="I426" s="199">
        <f t="shared" si="46"/>
        <v>71415451.370000005</v>
      </c>
      <c r="J426" s="205"/>
      <c r="K426" s="206"/>
      <c r="L426" s="206"/>
      <c r="M426" s="206"/>
      <c r="N426" s="206"/>
      <c r="O426" s="207"/>
      <c r="P426" s="208"/>
      <c r="Q426" s="11"/>
      <c r="R426" s="11"/>
      <c r="S426" s="11"/>
      <c r="T426" s="11"/>
      <c r="U426" s="11"/>
      <c r="V426" s="14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79"/>
      <c r="AN426" s="45"/>
    </row>
    <row r="427" spans="2:40" x14ac:dyDescent="0.25">
      <c r="B427" s="192"/>
      <c r="C427" s="194"/>
      <c r="D427" s="194"/>
      <c r="E427" s="204"/>
      <c r="F427" s="210"/>
      <c r="G427" s="197"/>
      <c r="H427" s="215"/>
      <c r="I427" s="199">
        <f t="shared" si="46"/>
        <v>71415451.370000005</v>
      </c>
      <c r="J427" s="205"/>
      <c r="K427" s="206"/>
      <c r="L427" s="206"/>
      <c r="M427" s="206"/>
      <c r="N427" s="206"/>
      <c r="O427" s="207"/>
      <c r="P427" s="208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79"/>
      <c r="AN427" s="45"/>
    </row>
    <row r="428" spans="2:40" x14ac:dyDescent="0.25">
      <c r="B428" s="192"/>
      <c r="C428" s="194"/>
      <c r="D428" s="194"/>
      <c r="E428" s="204"/>
      <c r="F428" s="210"/>
      <c r="G428" s="197"/>
      <c r="H428" s="215"/>
      <c r="I428" s="199">
        <f t="shared" si="46"/>
        <v>71415451.370000005</v>
      </c>
      <c r="J428" s="205"/>
      <c r="K428" s="206"/>
      <c r="L428" s="206"/>
      <c r="M428" s="206"/>
      <c r="N428" s="206"/>
      <c r="O428" s="207"/>
      <c r="P428" s="208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79"/>
      <c r="AN428" s="45"/>
    </row>
    <row r="429" spans="2:40" x14ac:dyDescent="0.25">
      <c r="B429" s="192"/>
      <c r="C429" s="194"/>
      <c r="D429" s="194"/>
      <c r="E429" s="204"/>
      <c r="F429" s="210"/>
      <c r="G429" s="197"/>
      <c r="H429" s="215"/>
      <c r="I429" s="199">
        <f t="shared" si="46"/>
        <v>71415451.370000005</v>
      </c>
      <c r="J429" s="205"/>
      <c r="K429" s="206"/>
      <c r="L429" s="206"/>
      <c r="M429" s="206"/>
      <c r="N429" s="206"/>
      <c r="O429" s="207"/>
      <c r="P429" s="208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79"/>
      <c r="AN429" s="45"/>
    </row>
    <row r="430" spans="2:40" x14ac:dyDescent="0.25">
      <c r="B430" s="192"/>
      <c r="C430" s="194"/>
      <c r="D430" s="194"/>
      <c r="E430" s="204"/>
      <c r="F430" s="210"/>
      <c r="G430" s="197"/>
      <c r="H430" s="215"/>
      <c r="I430" s="199">
        <f t="shared" si="46"/>
        <v>71415451.370000005</v>
      </c>
      <c r="J430" s="205"/>
      <c r="K430" s="206"/>
      <c r="L430" s="206"/>
      <c r="M430" s="206"/>
      <c r="N430" s="206"/>
      <c r="O430" s="207"/>
      <c r="P430" s="208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79"/>
      <c r="AN430" s="45"/>
    </row>
    <row r="431" spans="2:40" x14ac:dyDescent="0.25">
      <c r="B431" s="192"/>
      <c r="C431" s="194"/>
      <c r="D431" s="194"/>
      <c r="E431" s="204"/>
      <c r="F431" s="210"/>
      <c r="G431" s="197"/>
      <c r="H431" s="215"/>
      <c r="I431" s="199">
        <f t="shared" si="46"/>
        <v>71415451.370000005</v>
      </c>
      <c r="J431" s="205"/>
      <c r="K431" s="206"/>
      <c r="L431" s="206"/>
      <c r="M431" s="206"/>
      <c r="N431" s="206"/>
      <c r="O431" s="207"/>
      <c r="P431" s="208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79"/>
      <c r="AN431" s="45"/>
    </row>
    <row r="432" spans="2:40" x14ac:dyDescent="0.25">
      <c r="B432" s="192"/>
      <c r="C432" s="194"/>
      <c r="D432" s="194"/>
      <c r="E432" s="204"/>
      <c r="F432" s="210"/>
      <c r="G432" s="197"/>
      <c r="H432" s="215"/>
      <c r="I432" s="199">
        <f t="shared" si="46"/>
        <v>71415451.370000005</v>
      </c>
      <c r="J432" s="205"/>
      <c r="K432" s="206"/>
      <c r="L432" s="206"/>
      <c r="M432" s="206"/>
      <c r="N432" s="206"/>
      <c r="O432" s="207"/>
      <c r="P432" s="208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79"/>
      <c r="AN432" s="45"/>
    </row>
    <row r="433" spans="2:40" x14ac:dyDescent="0.25">
      <c r="B433" s="192"/>
      <c r="C433" s="194"/>
      <c r="D433" s="194"/>
      <c r="E433" s="204"/>
      <c r="F433" s="210"/>
      <c r="G433" s="197"/>
      <c r="H433" s="215"/>
      <c r="I433" s="199">
        <f t="shared" si="46"/>
        <v>71415451.370000005</v>
      </c>
      <c r="J433" s="205"/>
      <c r="K433" s="206"/>
      <c r="L433" s="206"/>
      <c r="M433" s="206"/>
      <c r="N433" s="206"/>
      <c r="O433" s="207"/>
      <c r="P433" s="208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79"/>
      <c r="AN433" s="45"/>
    </row>
    <row r="434" spans="2:40" x14ac:dyDescent="0.25">
      <c r="B434" s="192"/>
      <c r="C434" s="194"/>
      <c r="D434" s="194"/>
      <c r="E434" s="204"/>
      <c r="F434" s="210"/>
      <c r="G434" s="197"/>
      <c r="H434" s="215"/>
      <c r="I434" s="199">
        <f t="shared" si="46"/>
        <v>71415451.370000005</v>
      </c>
      <c r="J434" s="205"/>
      <c r="K434" s="206"/>
      <c r="L434" s="206"/>
      <c r="M434" s="206"/>
      <c r="N434" s="206"/>
      <c r="O434" s="207"/>
      <c r="P434" s="208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79"/>
      <c r="AN434" s="45"/>
    </row>
    <row r="435" spans="2:40" x14ac:dyDescent="0.25">
      <c r="B435" s="192"/>
      <c r="C435" s="194"/>
      <c r="D435" s="194"/>
      <c r="E435" s="204"/>
      <c r="F435" s="210"/>
      <c r="G435" s="197"/>
      <c r="H435" s="215"/>
      <c r="I435" s="199">
        <f t="shared" si="46"/>
        <v>71415451.370000005</v>
      </c>
      <c r="J435" s="205"/>
      <c r="K435" s="206"/>
      <c r="L435" s="206"/>
      <c r="M435" s="206"/>
      <c r="N435" s="206"/>
      <c r="O435" s="207"/>
      <c r="P435" s="208"/>
      <c r="Q435" s="11"/>
      <c r="R435" s="14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79"/>
      <c r="AN435" s="45"/>
    </row>
    <row r="436" spans="2:40" x14ac:dyDescent="0.25">
      <c r="B436" s="192"/>
      <c r="C436" s="194"/>
      <c r="D436" s="194"/>
      <c r="E436" s="204"/>
      <c r="F436" s="210"/>
      <c r="G436" s="197"/>
      <c r="H436" s="215"/>
      <c r="I436" s="199">
        <f t="shared" si="46"/>
        <v>71415451.370000005</v>
      </c>
      <c r="J436" s="205"/>
      <c r="K436" s="206"/>
      <c r="L436" s="206"/>
      <c r="M436" s="206"/>
      <c r="N436" s="206"/>
      <c r="O436" s="207"/>
      <c r="P436" s="208"/>
      <c r="Q436" s="14"/>
      <c r="R436" s="14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79"/>
      <c r="AN436" s="45"/>
    </row>
    <row r="437" spans="2:40" x14ac:dyDescent="0.25">
      <c r="B437" s="192"/>
      <c r="C437" s="194"/>
      <c r="D437" s="194"/>
      <c r="E437" s="204"/>
      <c r="F437" s="210"/>
      <c r="G437" s="197"/>
      <c r="H437" s="215"/>
      <c r="I437" s="199">
        <f t="shared" si="46"/>
        <v>71415451.370000005</v>
      </c>
      <c r="J437" s="205"/>
      <c r="K437" s="206"/>
      <c r="L437" s="206"/>
      <c r="M437" s="206"/>
      <c r="N437" s="206"/>
      <c r="O437" s="207"/>
      <c r="P437" s="208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79"/>
      <c r="AN437" s="45"/>
    </row>
    <row r="438" spans="2:40" x14ac:dyDescent="0.25">
      <c r="B438" s="192"/>
      <c r="C438" s="194"/>
      <c r="D438" s="194"/>
      <c r="E438" s="204"/>
      <c r="F438" s="210"/>
      <c r="G438" s="197"/>
      <c r="H438" s="215"/>
      <c r="I438" s="199">
        <f t="shared" si="46"/>
        <v>71415451.370000005</v>
      </c>
      <c r="J438" s="205"/>
      <c r="K438" s="206"/>
      <c r="L438" s="206"/>
      <c r="M438" s="206"/>
      <c r="N438" s="206"/>
      <c r="O438" s="207"/>
      <c r="P438" s="208"/>
      <c r="Q438" s="11"/>
      <c r="R438" s="11"/>
      <c r="S438" s="11"/>
      <c r="T438" s="11"/>
      <c r="U438" s="11"/>
      <c r="V438" s="11"/>
      <c r="W438" s="11"/>
      <c r="X438" s="14"/>
      <c r="Y438" s="14"/>
      <c r="Z438" s="15"/>
      <c r="AA438" s="11"/>
      <c r="AB438" s="11"/>
      <c r="AC438" s="11"/>
      <c r="AD438" s="11"/>
      <c r="AE438" s="11"/>
      <c r="AF438" s="11"/>
      <c r="AG438" s="11"/>
      <c r="AH438" s="15"/>
      <c r="AI438" s="11"/>
      <c r="AJ438" s="11"/>
      <c r="AK438" s="11"/>
      <c r="AL438" s="11"/>
      <c r="AM438" s="79"/>
      <c r="AN438" s="45"/>
    </row>
    <row r="439" spans="2:40" x14ac:dyDescent="0.25">
      <c r="B439" s="192"/>
      <c r="C439" s="194"/>
      <c r="D439" s="194"/>
      <c r="E439" s="204"/>
      <c r="F439" s="210"/>
      <c r="G439" s="197"/>
      <c r="H439" s="215"/>
      <c r="I439" s="199">
        <f t="shared" si="46"/>
        <v>71415451.370000005</v>
      </c>
      <c r="J439" s="205"/>
      <c r="K439" s="206"/>
      <c r="L439" s="206"/>
      <c r="M439" s="206"/>
      <c r="N439" s="206"/>
      <c r="O439" s="207"/>
      <c r="P439" s="225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5"/>
      <c r="AI439" s="11"/>
      <c r="AJ439" s="11"/>
      <c r="AK439" s="11"/>
      <c r="AL439" s="11"/>
      <c r="AM439" s="79"/>
      <c r="AN439" s="45"/>
    </row>
    <row r="440" spans="2:40" x14ac:dyDescent="0.25">
      <c r="B440" s="192"/>
      <c r="C440" s="194"/>
      <c r="D440" s="194"/>
      <c r="E440" s="204"/>
      <c r="F440" s="210"/>
      <c r="G440" s="197"/>
      <c r="H440" s="215"/>
      <c r="I440" s="199">
        <f t="shared" si="46"/>
        <v>71415451.370000005</v>
      </c>
      <c r="J440" s="205"/>
      <c r="K440" s="206"/>
      <c r="L440" s="206"/>
      <c r="M440" s="206"/>
      <c r="N440" s="206"/>
      <c r="O440" s="207"/>
      <c r="P440" s="225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5"/>
      <c r="AI440" s="11"/>
      <c r="AJ440" s="11"/>
      <c r="AK440" s="11"/>
      <c r="AL440" s="11"/>
      <c r="AM440" s="79"/>
      <c r="AN440" s="45"/>
    </row>
    <row r="441" spans="2:40" x14ac:dyDescent="0.25">
      <c r="B441" s="192"/>
      <c r="C441" s="194"/>
      <c r="D441" s="194"/>
      <c r="E441" s="204"/>
      <c r="F441" s="210"/>
      <c r="G441" s="197"/>
      <c r="H441" s="215"/>
      <c r="I441" s="199">
        <f t="shared" si="46"/>
        <v>71415451.370000005</v>
      </c>
      <c r="J441" s="205"/>
      <c r="K441" s="206"/>
      <c r="L441" s="206"/>
      <c r="M441" s="206"/>
      <c r="N441" s="206"/>
      <c r="O441" s="207"/>
      <c r="P441" s="208"/>
      <c r="Q441" s="11"/>
      <c r="R441" s="14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5"/>
      <c r="AI441" s="11"/>
      <c r="AJ441" s="11"/>
      <c r="AK441" s="11"/>
      <c r="AL441" s="11"/>
      <c r="AM441" s="79"/>
      <c r="AN441" s="45"/>
    </row>
    <row r="442" spans="2:40" x14ac:dyDescent="0.25">
      <c r="B442" s="192"/>
      <c r="C442" s="194"/>
      <c r="D442" s="194"/>
      <c r="E442" s="204"/>
      <c r="F442" s="210"/>
      <c r="G442" s="197"/>
      <c r="H442" s="215"/>
      <c r="I442" s="199">
        <f t="shared" si="46"/>
        <v>71415451.370000005</v>
      </c>
      <c r="J442" s="205"/>
      <c r="K442" s="206"/>
      <c r="L442" s="206"/>
      <c r="M442" s="206"/>
      <c r="N442" s="206"/>
      <c r="O442" s="207"/>
      <c r="P442" s="208"/>
      <c r="Q442" s="11"/>
      <c r="R442" s="14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79"/>
      <c r="AN442" s="45"/>
    </row>
    <row r="443" spans="2:40" x14ac:dyDescent="0.25">
      <c r="B443" s="192"/>
      <c r="C443" s="194"/>
      <c r="D443" s="194"/>
      <c r="E443" s="204"/>
      <c r="F443" s="210"/>
      <c r="G443" s="197"/>
      <c r="H443" s="215"/>
      <c r="I443" s="199">
        <f t="shared" si="46"/>
        <v>71415451.370000005</v>
      </c>
      <c r="J443" s="205"/>
      <c r="K443" s="206"/>
      <c r="L443" s="206"/>
      <c r="M443" s="206"/>
      <c r="N443" s="206"/>
      <c r="O443" s="207"/>
      <c r="P443" s="208"/>
      <c r="Q443" s="11"/>
      <c r="R443" s="14"/>
      <c r="S443" s="11"/>
      <c r="T443" s="11"/>
      <c r="U443" s="11"/>
      <c r="V443" s="11"/>
      <c r="W443" s="11"/>
      <c r="X443" s="11"/>
      <c r="Y443" s="11"/>
      <c r="Z443" s="11"/>
      <c r="AA443" s="11"/>
      <c r="AB443" s="14"/>
      <c r="AC443" s="14"/>
      <c r="AD443" s="14"/>
      <c r="AE443" s="14"/>
      <c r="AF443" s="11"/>
      <c r="AG443" s="11"/>
      <c r="AH443" s="11"/>
      <c r="AI443" s="11"/>
      <c r="AJ443" s="11"/>
      <c r="AK443" s="11"/>
      <c r="AL443" s="11"/>
      <c r="AM443" s="79"/>
      <c r="AN443" s="45"/>
    </row>
    <row r="444" spans="2:40" x14ac:dyDescent="0.25">
      <c r="B444" s="192"/>
      <c r="C444" s="194"/>
      <c r="D444" s="194"/>
      <c r="E444" s="204"/>
      <c r="F444" s="210"/>
      <c r="G444" s="197"/>
      <c r="H444" s="215"/>
      <c r="I444" s="199">
        <f t="shared" si="46"/>
        <v>71415451.370000005</v>
      </c>
      <c r="J444" s="205"/>
      <c r="K444" s="206"/>
      <c r="L444" s="206"/>
      <c r="M444" s="206"/>
      <c r="N444" s="206"/>
      <c r="O444" s="207"/>
      <c r="P444" s="220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79"/>
      <c r="AN444" s="45"/>
    </row>
    <row r="445" spans="2:40" x14ac:dyDescent="0.25">
      <c r="B445" s="192"/>
      <c r="C445" s="194"/>
      <c r="D445" s="194"/>
      <c r="E445" s="204"/>
      <c r="F445" s="210"/>
      <c r="G445" s="197"/>
      <c r="H445" s="215"/>
      <c r="I445" s="199">
        <f t="shared" si="46"/>
        <v>71415451.370000005</v>
      </c>
      <c r="J445" s="205"/>
      <c r="K445" s="206"/>
      <c r="L445" s="206"/>
      <c r="M445" s="206"/>
      <c r="N445" s="206"/>
      <c r="O445" s="207"/>
      <c r="P445" s="208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79"/>
      <c r="AN445" s="45"/>
    </row>
    <row r="446" spans="2:40" x14ac:dyDescent="0.25">
      <c r="B446" s="192"/>
      <c r="C446" s="194"/>
      <c r="D446" s="194"/>
      <c r="E446" s="204"/>
      <c r="F446" s="210"/>
      <c r="G446" s="197"/>
      <c r="H446" s="215"/>
      <c r="I446" s="199">
        <f t="shared" si="46"/>
        <v>71415451.370000005</v>
      </c>
      <c r="J446" s="205"/>
      <c r="K446" s="206"/>
      <c r="L446" s="206"/>
      <c r="M446" s="206"/>
      <c r="N446" s="206"/>
      <c r="O446" s="207"/>
      <c r="P446" s="208"/>
      <c r="Q446" s="14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79"/>
      <c r="AN446" s="45"/>
    </row>
    <row r="447" spans="2:40" x14ac:dyDescent="0.25">
      <c r="B447" s="192"/>
      <c r="C447" s="194"/>
      <c r="D447" s="194"/>
      <c r="E447" s="204"/>
      <c r="F447" s="210"/>
      <c r="G447" s="197"/>
      <c r="H447" s="215"/>
      <c r="I447" s="199">
        <f t="shared" si="46"/>
        <v>71415451.370000005</v>
      </c>
      <c r="J447" s="205"/>
      <c r="K447" s="206"/>
      <c r="L447" s="206"/>
      <c r="M447" s="206"/>
      <c r="N447" s="206"/>
      <c r="O447" s="207"/>
      <c r="P447" s="208"/>
      <c r="Q447" s="14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79"/>
      <c r="AN447" s="45"/>
    </row>
    <row r="448" spans="2:40" x14ac:dyDescent="0.25">
      <c r="B448" s="192"/>
      <c r="C448" s="194"/>
      <c r="D448" s="194"/>
      <c r="E448" s="204"/>
      <c r="F448" s="210"/>
      <c r="G448" s="197"/>
      <c r="H448" s="215"/>
      <c r="I448" s="199">
        <f t="shared" si="46"/>
        <v>71415451.370000005</v>
      </c>
      <c r="J448" s="205"/>
      <c r="K448" s="206"/>
      <c r="L448" s="206"/>
      <c r="M448" s="206"/>
      <c r="N448" s="206"/>
      <c r="O448" s="207"/>
      <c r="P448" s="208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79"/>
      <c r="AN448" s="45"/>
    </row>
    <row r="449" spans="2:40" x14ac:dyDescent="0.25">
      <c r="B449" s="192"/>
      <c r="C449" s="194"/>
      <c r="D449" s="194"/>
      <c r="E449" s="204"/>
      <c r="F449" s="210"/>
      <c r="G449" s="197"/>
      <c r="H449" s="215"/>
      <c r="I449" s="199">
        <f t="shared" si="46"/>
        <v>71415451.370000005</v>
      </c>
      <c r="J449" s="205"/>
      <c r="K449" s="206"/>
      <c r="L449" s="206"/>
      <c r="M449" s="206"/>
      <c r="N449" s="206"/>
      <c r="O449" s="207"/>
      <c r="P449" s="208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79"/>
      <c r="AN449" s="45"/>
    </row>
    <row r="450" spans="2:40" x14ac:dyDescent="0.25">
      <c r="B450" s="192"/>
      <c r="C450" s="194"/>
      <c r="D450" s="194"/>
      <c r="E450" s="204"/>
      <c r="F450" s="210"/>
      <c r="G450" s="197"/>
      <c r="H450" s="215"/>
      <c r="I450" s="199">
        <f t="shared" si="46"/>
        <v>71415451.370000005</v>
      </c>
      <c r="J450" s="205"/>
      <c r="K450" s="206"/>
      <c r="L450" s="206"/>
      <c r="M450" s="206"/>
      <c r="N450" s="206"/>
      <c r="O450" s="207"/>
      <c r="P450" s="208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79"/>
      <c r="AN450" s="45"/>
    </row>
    <row r="451" spans="2:40" x14ac:dyDescent="0.25">
      <c r="B451" s="192"/>
      <c r="C451" s="194"/>
      <c r="D451" s="194"/>
      <c r="E451" s="204"/>
      <c r="F451" s="210"/>
      <c r="G451" s="197"/>
      <c r="H451" s="215"/>
      <c r="I451" s="199">
        <f t="shared" si="46"/>
        <v>71415451.370000005</v>
      </c>
      <c r="J451" s="205"/>
      <c r="K451" s="206"/>
      <c r="L451" s="206"/>
      <c r="M451" s="206"/>
      <c r="N451" s="206"/>
      <c r="O451" s="207"/>
      <c r="P451" s="208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79"/>
      <c r="AN451" s="45"/>
    </row>
    <row r="452" spans="2:40" x14ac:dyDescent="0.25">
      <c r="B452" s="192"/>
      <c r="C452" s="194"/>
      <c r="D452" s="194"/>
      <c r="E452" s="204"/>
      <c r="F452" s="210"/>
      <c r="G452" s="197"/>
      <c r="H452" s="215"/>
      <c r="I452" s="199">
        <f t="shared" si="46"/>
        <v>71415451.370000005</v>
      </c>
      <c r="J452" s="205"/>
      <c r="K452" s="206"/>
      <c r="L452" s="206"/>
      <c r="M452" s="206"/>
      <c r="N452" s="206"/>
      <c r="O452" s="207"/>
      <c r="P452" s="208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79"/>
      <c r="AN452" s="45"/>
    </row>
    <row r="453" spans="2:40" x14ac:dyDescent="0.25">
      <c r="B453" s="192"/>
      <c r="C453" s="194"/>
      <c r="D453" s="194"/>
      <c r="E453" s="204"/>
      <c r="F453" s="210"/>
      <c r="G453" s="197"/>
      <c r="H453" s="215"/>
      <c r="I453" s="199">
        <f t="shared" si="46"/>
        <v>71415451.370000005</v>
      </c>
      <c r="J453" s="205"/>
      <c r="K453" s="206"/>
      <c r="L453" s="206"/>
      <c r="M453" s="206"/>
      <c r="N453" s="206"/>
      <c r="O453" s="207"/>
      <c r="P453" s="208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79"/>
      <c r="AN453" s="45"/>
    </row>
    <row r="454" spans="2:40" x14ac:dyDescent="0.25">
      <c r="B454" s="192"/>
      <c r="C454" s="194"/>
      <c r="D454" s="194"/>
      <c r="E454" s="204"/>
      <c r="F454" s="210"/>
      <c r="G454" s="197"/>
      <c r="H454" s="215"/>
      <c r="I454" s="199">
        <f t="shared" si="46"/>
        <v>71415451.370000005</v>
      </c>
      <c r="J454" s="205"/>
      <c r="K454" s="206"/>
      <c r="L454" s="206"/>
      <c r="M454" s="206"/>
      <c r="N454" s="206"/>
      <c r="O454" s="207"/>
      <c r="P454" s="208"/>
      <c r="Q454" s="11"/>
      <c r="R454" s="14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79"/>
      <c r="AN454" s="45"/>
    </row>
    <row r="455" spans="2:40" x14ac:dyDescent="0.25">
      <c r="B455" s="192"/>
      <c r="C455" s="194"/>
      <c r="D455" s="194"/>
      <c r="E455" s="204"/>
      <c r="F455" s="210"/>
      <c r="G455" s="197"/>
      <c r="H455" s="215"/>
      <c r="I455" s="199">
        <f t="shared" si="46"/>
        <v>71415451.370000005</v>
      </c>
      <c r="J455" s="205"/>
      <c r="K455" s="206"/>
      <c r="L455" s="206"/>
      <c r="M455" s="206"/>
      <c r="N455" s="206"/>
      <c r="O455" s="207"/>
      <c r="P455" s="208"/>
      <c r="Q455" s="11"/>
      <c r="R455" s="11"/>
      <c r="S455" s="11"/>
      <c r="T455" s="11"/>
      <c r="U455" s="11"/>
      <c r="V455" s="14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79"/>
      <c r="AN455" s="45"/>
    </row>
    <row r="456" spans="2:40" x14ac:dyDescent="0.25">
      <c r="B456" s="192"/>
      <c r="C456" s="194"/>
      <c r="D456" s="194"/>
      <c r="E456" s="204"/>
      <c r="F456" s="210"/>
      <c r="G456" s="197"/>
      <c r="H456" s="215"/>
      <c r="I456" s="199">
        <f t="shared" si="46"/>
        <v>71415451.370000005</v>
      </c>
      <c r="J456" s="205"/>
      <c r="K456" s="206"/>
      <c r="L456" s="206"/>
      <c r="M456" s="206"/>
      <c r="N456" s="206"/>
      <c r="O456" s="207"/>
      <c r="P456" s="208"/>
      <c r="Q456" s="11"/>
      <c r="R456" s="11"/>
      <c r="S456" s="11"/>
      <c r="T456" s="11"/>
      <c r="U456" s="11"/>
      <c r="V456" s="14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5"/>
      <c r="AK456" s="15"/>
      <c r="AL456" s="15"/>
      <c r="AM456" s="82"/>
      <c r="AN456" s="45"/>
    </row>
    <row r="457" spans="2:40" x14ac:dyDescent="0.25">
      <c r="B457" s="192"/>
      <c r="C457" s="194"/>
      <c r="D457" s="194"/>
      <c r="E457" s="204"/>
      <c r="F457" s="210"/>
      <c r="G457" s="197"/>
      <c r="H457" s="215"/>
      <c r="I457" s="199">
        <f t="shared" si="46"/>
        <v>71415451.370000005</v>
      </c>
      <c r="J457" s="205"/>
      <c r="K457" s="206"/>
      <c r="L457" s="206"/>
      <c r="M457" s="206"/>
      <c r="N457" s="206"/>
      <c r="O457" s="207"/>
      <c r="P457" s="208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79"/>
      <c r="AN457" s="45"/>
    </row>
    <row r="458" spans="2:40" x14ac:dyDescent="0.25">
      <c r="B458" s="192"/>
      <c r="C458" s="194"/>
      <c r="D458" s="194"/>
      <c r="E458" s="204"/>
      <c r="F458" s="210"/>
      <c r="G458" s="197"/>
      <c r="H458" s="215"/>
      <c r="I458" s="199">
        <f t="shared" si="46"/>
        <v>71415451.370000005</v>
      </c>
      <c r="J458" s="205"/>
      <c r="K458" s="206"/>
      <c r="L458" s="206"/>
      <c r="M458" s="206"/>
      <c r="N458" s="206"/>
      <c r="O458" s="207"/>
      <c r="P458" s="208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79"/>
      <c r="AN458" s="45"/>
    </row>
    <row r="459" spans="2:40" x14ac:dyDescent="0.25">
      <c r="B459" s="192"/>
      <c r="C459" s="194"/>
      <c r="D459" s="194"/>
      <c r="E459" s="204"/>
      <c r="F459" s="210"/>
      <c r="G459" s="197"/>
      <c r="H459" s="215"/>
      <c r="I459" s="199">
        <f t="shared" si="46"/>
        <v>71415451.370000005</v>
      </c>
      <c r="J459" s="205"/>
      <c r="K459" s="206"/>
      <c r="L459" s="206"/>
      <c r="M459" s="206"/>
      <c r="N459" s="206"/>
      <c r="O459" s="207"/>
      <c r="P459" s="208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5"/>
      <c r="AK459" s="15"/>
      <c r="AL459" s="15"/>
      <c r="AM459" s="82"/>
      <c r="AN459" s="45"/>
    </row>
    <row r="460" spans="2:40" x14ac:dyDescent="0.25">
      <c r="B460" s="192"/>
      <c r="C460" s="194"/>
      <c r="D460" s="194"/>
      <c r="E460" s="204"/>
      <c r="F460" s="210"/>
      <c r="G460" s="197"/>
      <c r="H460" s="215"/>
      <c r="I460" s="199">
        <f t="shared" si="46"/>
        <v>71415451.370000005</v>
      </c>
      <c r="J460" s="205"/>
      <c r="K460" s="206"/>
      <c r="L460" s="206"/>
      <c r="M460" s="206"/>
      <c r="N460" s="206"/>
      <c r="O460" s="207"/>
      <c r="P460" s="208"/>
      <c r="Q460" s="15"/>
      <c r="R460" s="11"/>
      <c r="S460" s="11"/>
      <c r="T460" s="11"/>
      <c r="U460" s="11"/>
      <c r="V460" s="11"/>
      <c r="W460" s="11"/>
      <c r="X460" s="14"/>
      <c r="Y460" s="14"/>
      <c r="Z460" s="15"/>
      <c r="AA460" s="11"/>
      <c r="AB460" s="11"/>
      <c r="AC460" s="11"/>
      <c r="AD460" s="11"/>
      <c r="AE460" s="11"/>
      <c r="AF460" s="11"/>
      <c r="AG460" s="11"/>
      <c r="AH460" s="11"/>
      <c r="AI460" s="11"/>
      <c r="AJ460" s="14"/>
      <c r="AK460" s="14"/>
      <c r="AL460" s="14"/>
      <c r="AM460" s="80"/>
      <c r="AN460" s="45"/>
    </row>
    <row r="461" spans="2:40" x14ac:dyDescent="0.25">
      <c r="B461" s="192"/>
      <c r="C461" s="194"/>
      <c r="D461" s="194"/>
      <c r="E461" s="204"/>
      <c r="F461" s="210"/>
      <c r="G461" s="197"/>
      <c r="H461" s="215"/>
      <c r="I461" s="199">
        <f t="shared" si="46"/>
        <v>71415451.370000005</v>
      </c>
      <c r="J461" s="205"/>
      <c r="K461" s="206"/>
      <c r="L461" s="206"/>
      <c r="M461" s="206"/>
      <c r="N461" s="206"/>
      <c r="O461" s="207"/>
      <c r="P461" s="208"/>
      <c r="Q461" s="11"/>
      <c r="R461" s="14"/>
      <c r="S461" s="11"/>
      <c r="T461" s="11"/>
      <c r="U461" s="11"/>
      <c r="V461" s="11"/>
      <c r="W461" s="11"/>
      <c r="X461" s="11"/>
      <c r="Y461" s="11"/>
      <c r="Z461" s="15"/>
      <c r="AA461" s="11"/>
      <c r="AB461" s="14"/>
      <c r="AC461" s="14"/>
      <c r="AD461" s="14"/>
      <c r="AE461" s="14"/>
      <c r="AF461" s="11"/>
      <c r="AG461" s="11"/>
      <c r="AH461" s="11"/>
      <c r="AI461" s="11"/>
      <c r="AJ461" s="14"/>
      <c r="AK461" s="14"/>
      <c r="AL461" s="14"/>
      <c r="AM461" s="80"/>
      <c r="AN461" s="45"/>
    </row>
    <row r="462" spans="2:40" x14ac:dyDescent="0.25">
      <c r="B462" s="192"/>
      <c r="C462" s="194"/>
      <c r="D462" s="194"/>
      <c r="E462" s="204"/>
      <c r="F462" s="210"/>
      <c r="G462" s="197"/>
      <c r="H462" s="215"/>
      <c r="I462" s="199">
        <f t="shared" si="46"/>
        <v>71415451.370000005</v>
      </c>
      <c r="J462" s="205"/>
      <c r="K462" s="206"/>
      <c r="L462" s="206"/>
      <c r="M462" s="206"/>
      <c r="N462" s="206"/>
      <c r="O462" s="207"/>
      <c r="P462" s="208"/>
      <c r="Q462" s="14"/>
      <c r="R462" s="14"/>
      <c r="S462" s="11"/>
      <c r="T462" s="11"/>
      <c r="U462" s="11"/>
      <c r="V462" s="11"/>
      <c r="W462" s="11"/>
      <c r="X462" s="11"/>
      <c r="Y462" s="11"/>
      <c r="Z462" s="11"/>
      <c r="AA462" s="11"/>
      <c r="AB462" s="14"/>
      <c r="AC462" s="14"/>
      <c r="AD462" s="14"/>
      <c r="AE462" s="14"/>
      <c r="AF462" s="11"/>
      <c r="AG462" s="11"/>
      <c r="AH462" s="11"/>
      <c r="AI462" s="11"/>
      <c r="AJ462" s="14"/>
      <c r="AK462" s="14"/>
      <c r="AL462" s="14"/>
      <c r="AM462" s="80"/>
      <c r="AN462" s="45"/>
    </row>
    <row r="463" spans="2:40" x14ac:dyDescent="0.25">
      <c r="B463" s="192"/>
      <c r="C463" s="194"/>
      <c r="D463" s="194"/>
      <c r="E463" s="204"/>
      <c r="F463" s="210"/>
      <c r="G463" s="197"/>
      <c r="H463" s="215"/>
      <c r="I463" s="199">
        <f t="shared" si="46"/>
        <v>71415451.370000005</v>
      </c>
      <c r="J463" s="205"/>
      <c r="K463" s="206"/>
      <c r="L463" s="206"/>
      <c r="M463" s="206"/>
      <c r="N463" s="206"/>
      <c r="O463" s="207"/>
      <c r="P463" s="208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4"/>
      <c r="AK463" s="14"/>
      <c r="AL463" s="14"/>
      <c r="AM463" s="80"/>
      <c r="AN463" s="45"/>
    </row>
    <row r="464" spans="2:40" x14ac:dyDescent="0.25">
      <c r="B464" s="192"/>
      <c r="C464" s="194"/>
      <c r="D464" s="194"/>
      <c r="E464" s="204"/>
      <c r="F464" s="210"/>
      <c r="G464" s="197"/>
      <c r="H464" s="215"/>
      <c r="I464" s="199">
        <f t="shared" si="46"/>
        <v>71415451.370000005</v>
      </c>
      <c r="J464" s="205"/>
      <c r="K464" s="206"/>
      <c r="L464" s="206"/>
      <c r="M464" s="206"/>
      <c r="N464" s="206"/>
      <c r="O464" s="207"/>
      <c r="P464" s="208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5"/>
      <c r="AK464" s="15"/>
      <c r="AL464" s="15"/>
      <c r="AM464" s="82"/>
      <c r="AN464" s="45"/>
    </row>
    <row r="465" spans="2:40" x14ac:dyDescent="0.25">
      <c r="B465" s="192"/>
      <c r="C465" s="194"/>
      <c r="D465" s="194"/>
      <c r="E465" s="204"/>
      <c r="F465" s="210"/>
      <c r="G465" s="197"/>
      <c r="H465" s="215"/>
      <c r="I465" s="199">
        <f t="shared" si="46"/>
        <v>71415451.370000005</v>
      </c>
      <c r="J465" s="205"/>
      <c r="K465" s="206"/>
      <c r="L465" s="206"/>
      <c r="M465" s="206"/>
      <c r="N465" s="206"/>
      <c r="O465" s="207"/>
      <c r="P465" s="208"/>
      <c r="Q465" s="14"/>
      <c r="R465" s="14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5"/>
      <c r="AE465" s="11"/>
      <c r="AF465" s="11"/>
      <c r="AG465" s="11"/>
      <c r="AH465" s="11"/>
      <c r="AI465" s="11"/>
      <c r="AJ465" s="11"/>
      <c r="AK465" s="11"/>
      <c r="AL465" s="11"/>
      <c r="AM465" s="79"/>
      <c r="AN465" s="45"/>
    </row>
    <row r="466" spans="2:40" x14ac:dyDescent="0.25">
      <c r="B466" s="192"/>
      <c r="C466" s="194"/>
      <c r="D466" s="194"/>
      <c r="E466" s="204"/>
      <c r="F466" s="210"/>
      <c r="G466" s="197"/>
      <c r="H466" s="215"/>
      <c r="I466" s="199">
        <f t="shared" si="46"/>
        <v>71415451.370000005</v>
      </c>
      <c r="J466" s="205"/>
      <c r="K466" s="206"/>
      <c r="L466" s="206"/>
      <c r="M466" s="206"/>
      <c r="N466" s="206"/>
      <c r="O466" s="207"/>
      <c r="P466" s="208"/>
      <c r="Q466" s="14"/>
      <c r="R466" s="14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5"/>
      <c r="AE466" s="11"/>
      <c r="AF466" s="11"/>
      <c r="AG466" s="11"/>
      <c r="AH466" s="11"/>
      <c r="AI466" s="11"/>
      <c r="AJ466" s="11"/>
      <c r="AK466" s="11"/>
      <c r="AL466" s="11"/>
      <c r="AM466" s="79"/>
      <c r="AN466" s="45"/>
    </row>
    <row r="467" spans="2:40" x14ac:dyDescent="0.25">
      <c r="B467" s="192"/>
      <c r="C467" s="194"/>
      <c r="D467" s="194"/>
      <c r="E467" s="204"/>
      <c r="F467" s="210"/>
      <c r="G467" s="197"/>
      <c r="H467" s="215"/>
      <c r="I467" s="199">
        <f t="shared" si="46"/>
        <v>71415451.370000005</v>
      </c>
      <c r="J467" s="205"/>
      <c r="K467" s="206"/>
      <c r="L467" s="206"/>
      <c r="M467" s="206"/>
      <c r="N467" s="206"/>
      <c r="O467" s="207"/>
      <c r="P467" s="208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5"/>
      <c r="AJ467" s="15"/>
      <c r="AK467" s="15"/>
      <c r="AL467" s="15"/>
      <c r="AM467" s="82"/>
      <c r="AN467" s="45"/>
    </row>
    <row r="468" spans="2:40" x14ac:dyDescent="0.25">
      <c r="B468" s="192"/>
      <c r="C468" s="194"/>
      <c r="D468" s="194"/>
      <c r="E468" s="204"/>
      <c r="F468" s="210"/>
      <c r="G468" s="197"/>
      <c r="H468" s="215"/>
      <c r="I468" s="199">
        <f t="shared" si="46"/>
        <v>71415451.370000005</v>
      </c>
      <c r="J468" s="205"/>
      <c r="K468" s="206"/>
      <c r="L468" s="206"/>
      <c r="M468" s="206"/>
      <c r="N468" s="206"/>
      <c r="O468" s="207"/>
      <c r="P468" s="208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4"/>
      <c r="AJ468" s="11"/>
      <c r="AK468" s="11"/>
      <c r="AL468" s="11"/>
      <c r="AM468" s="79"/>
      <c r="AN468" s="45"/>
    </row>
    <row r="469" spans="2:40" x14ac:dyDescent="0.25">
      <c r="B469" s="192"/>
      <c r="C469" s="194"/>
      <c r="D469" s="194"/>
      <c r="E469" s="204"/>
      <c r="F469" s="210"/>
      <c r="G469" s="197"/>
      <c r="H469" s="215"/>
      <c r="I469" s="199">
        <f t="shared" ref="I469:I532" si="47">I468+G469-H469</f>
        <v>71415451.370000005</v>
      </c>
      <c r="J469" s="205"/>
      <c r="K469" s="206"/>
      <c r="L469" s="206"/>
      <c r="M469" s="206"/>
      <c r="N469" s="206"/>
      <c r="O469" s="207"/>
      <c r="P469" s="208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4"/>
      <c r="AJ469" s="11"/>
      <c r="AK469" s="11"/>
      <c r="AL469" s="11"/>
      <c r="AM469" s="79"/>
      <c r="AN469" s="45"/>
    </row>
    <row r="470" spans="2:40" x14ac:dyDescent="0.25">
      <c r="B470" s="192"/>
      <c r="C470" s="194"/>
      <c r="D470" s="194"/>
      <c r="E470" s="204"/>
      <c r="F470" s="210"/>
      <c r="G470" s="197"/>
      <c r="H470" s="215"/>
      <c r="I470" s="199">
        <f t="shared" si="47"/>
        <v>71415451.370000005</v>
      </c>
      <c r="J470" s="205"/>
      <c r="K470" s="206"/>
      <c r="L470" s="206"/>
      <c r="M470" s="206"/>
      <c r="N470" s="206"/>
      <c r="O470" s="207"/>
      <c r="P470" s="208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4"/>
      <c r="AJ470" s="11"/>
      <c r="AK470" s="11"/>
      <c r="AL470" s="11"/>
      <c r="AM470" s="79"/>
      <c r="AN470" s="45"/>
    </row>
    <row r="471" spans="2:40" x14ac:dyDescent="0.25">
      <c r="B471" s="192"/>
      <c r="C471" s="194"/>
      <c r="D471" s="194"/>
      <c r="E471" s="204"/>
      <c r="F471" s="210"/>
      <c r="G471" s="197"/>
      <c r="H471" s="215"/>
      <c r="I471" s="199">
        <f t="shared" si="47"/>
        <v>71415451.370000005</v>
      </c>
      <c r="J471" s="205"/>
      <c r="K471" s="206"/>
      <c r="L471" s="206"/>
      <c r="M471" s="206"/>
      <c r="N471" s="206"/>
      <c r="O471" s="207"/>
      <c r="P471" s="208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79"/>
      <c r="AN471" s="45"/>
    </row>
    <row r="472" spans="2:40" x14ac:dyDescent="0.25">
      <c r="B472" s="192"/>
      <c r="C472" s="194"/>
      <c r="D472" s="194"/>
      <c r="E472" s="204"/>
      <c r="F472" s="210"/>
      <c r="G472" s="197"/>
      <c r="H472" s="215"/>
      <c r="I472" s="199">
        <f t="shared" si="47"/>
        <v>71415451.370000005</v>
      </c>
      <c r="J472" s="205"/>
      <c r="K472" s="206"/>
      <c r="L472" s="206"/>
      <c r="M472" s="206"/>
      <c r="N472" s="206"/>
      <c r="O472" s="207"/>
      <c r="P472" s="208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79"/>
      <c r="AN472" s="45"/>
    </row>
    <row r="473" spans="2:40" x14ac:dyDescent="0.25">
      <c r="B473" s="192"/>
      <c r="C473" s="194"/>
      <c r="D473" s="194"/>
      <c r="E473" s="204"/>
      <c r="F473" s="210"/>
      <c r="G473" s="197"/>
      <c r="H473" s="215"/>
      <c r="I473" s="199">
        <f t="shared" si="47"/>
        <v>71415451.370000005</v>
      </c>
      <c r="J473" s="205"/>
      <c r="K473" s="206"/>
      <c r="L473" s="206"/>
      <c r="M473" s="206"/>
      <c r="N473" s="206"/>
      <c r="O473" s="207"/>
      <c r="P473" s="208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79"/>
      <c r="AN473" s="45"/>
    </row>
    <row r="474" spans="2:40" x14ac:dyDescent="0.25">
      <c r="B474" s="192"/>
      <c r="C474" s="194"/>
      <c r="D474" s="194"/>
      <c r="E474" s="204"/>
      <c r="F474" s="210"/>
      <c r="G474" s="197"/>
      <c r="H474" s="215"/>
      <c r="I474" s="199">
        <f t="shared" si="47"/>
        <v>71415451.370000005</v>
      </c>
      <c r="J474" s="205"/>
      <c r="K474" s="206"/>
      <c r="L474" s="206"/>
      <c r="M474" s="206"/>
      <c r="N474" s="206"/>
      <c r="O474" s="207"/>
      <c r="P474" s="208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79"/>
      <c r="AN474" s="45"/>
    </row>
    <row r="475" spans="2:40" x14ac:dyDescent="0.25">
      <c r="B475" s="192"/>
      <c r="C475" s="194"/>
      <c r="D475" s="194"/>
      <c r="E475" s="204"/>
      <c r="F475" s="210"/>
      <c r="G475" s="197"/>
      <c r="H475" s="215"/>
      <c r="I475" s="199">
        <f t="shared" si="47"/>
        <v>71415451.370000005</v>
      </c>
      <c r="J475" s="205"/>
      <c r="K475" s="206"/>
      <c r="L475" s="206"/>
      <c r="M475" s="206"/>
      <c r="N475" s="206"/>
      <c r="O475" s="207"/>
      <c r="P475" s="208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79"/>
      <c r="AN475" s="45"/>
    </row>
    <row r="476" spans="2:40" x14ac:dyDescent="0.25">
      <c r="B476" s="192"/>
      <c r="C476" s="194"/>
      <c r="D476" s="194"/>
      <c r="E476" s="204"/>
      <c r="F476" s="210"/>
      <c r="G476" s="197"/>
      <c r="H476" s="215"/>
      <c r="I476" s="199">
        <f t="shared" si="47"/>
        <v>71415451.370000005</v>
      </c>
      <c r="J476" s="205"/>
      <c r="K476" s="206"/>
      <c r="L476" s="206"/>
      <c r="M476" s="206"/>
      <c r="N476" s="206"/>
      <c r="O476" s="207"/>
      <c r="P476" s="208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79"/>
      <c r="AN476" s="45"/>
    </row>
    <row r="477" spans="2:40" x14ac:dyDescent="0.25">
      <c r="B477" s="192"/>
      <c r="C477" s="194"/>
      <c r="D477" s="194"/>
      <c r="E477" s="204"/>
      <c r="F477" s="210"/>
      <c r="G477" s="197"/>
      <c r="H477" s="215"/>
      <c r="I477" s="199">
        <f t="shared" si="47"/>
        <v>71415451.370000005</v>
      </c>
      <c r="J477" s="205"/>
      <c r="K477" s="206"/>
      <c r="L477" s="206"/>
      <c r="M477" s="206"/>
      <c r="N477" s="206"/>
      <c r="O477" s="207"/>
      <c r="P477" s="208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5"/>
      <c r="AI477" s="11"/>
      <c r="AJ477" s="11"/>
      <c r="AK477" s="11"/>
      <c r="AL477" s="11"/>
      <c r="AM477" s="79"/>
      <c r="AN477" s="45"/>
    </row>
    <row r="478" spans="2:40" x14ac:dyDescent="0.25">
      <c r="B478" s="192"/>
      <c r="C478" s="194"/>
      <c r="D478" s="194"/>
      <c r="E478" s="204"/>
      <c r="F478" s="210"/>
      <c r="G478" s="197"/>
      <c r="H478" s="215"/>
      <c r="I478" s="199">
        <f t="shared" si="47"/>
        <v>71415451.370000005</v>
      </c>
      <c r="J478" s="205"/>
      <c r="K478" s="206"/>
      <c r="L478" s="206"/>
      <c r="M478" s="206"/>
      <c r="N478" s="206"/>
      <c r="O478" s="207"/>
      <c r="P478" s="208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5"/>
      <c r="AI478" s="11"/>
      <c r="AJ478" s="11"/>
      <c r="AK478" s="11"/>
      <c r="AL478" s="11"/>
      <c r="AM478" s="79"/>
      <c r="AN478" s="45"/>
    </row>
    <row r="479" spans="2:40" x14ac:dyDescent="0.25">
      <c r="B479" s="192"/>
      <c r="C479" s="194"/>
      <c r="D479" s="194"/>
      <c r="E479" s="204"/>
      <c r="F479" s="210"/>
      <c r="G479" s="197"/>
      <c r="H479" s="215"/>
      <c r="I479" s="199">
        <f t="shared" si="47"/>
        <v>71415451.370000005</v>
      </c>
      <c r="J479" s="205"/>
      <c r="K479" s="206"/>
      <c r="L479" s="206"/>
      <c r="M479" s="206"/>
      <c r="N479" s="206"/>
      <c r="O479" s="207"/>
      <c r="P479" s="208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79"/>
      <c r="AN479" s="45"/>
    </row>
    <row r="480" spans="2:40" x14ac:dyDescent="0.25">
      <c r="B480" s="192"/>
      <c r="C480" s="194"/>
      <c r="D480" s="194"/>
      <c r="E480" s="204"/>
      <c r="F480" s="210"/>
      <c r="G480" s="197"/>
      <c r="H480" s="215"/>
      <c r="I480" s="199">
        <f t="shared" si="47"/>
        <v>71415451.370000005</v>
      </c>
      <c r="J480" s="205"/>
      <c r="K480" s="206"/>
      <c r="L480" s="206"/>
      <c r="M480" s="206"/>
      <c r="N480" s="206"/>
      <c r="O480" s="207"/>
      <c r="P480" s="208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79"/>
      <c r="AN480" s="45"/>
    </row>
    <row r="481" spans="2:40" x14ac:dyDescent="0.25">
      <c r="B481" s="192"/>
      <c r="C481" s="194"/>
      <c r="D481" s="194"/>
      <c r="E481" s="204"/>
      <c r="F481" s="210"/>
      <c r="G481" s="197"/>
      <c r="H481" s="215"/>
      <c r="I481" s="199">
        <f t="shared" si="47"/>
        <v>71415451.370000005</v>
      </c>
      <c r="J481" s="205"/>
      <c r="K481" s="206"/>
      <c r="L481" s="206"/>
      <c r="M481" s="206"/>
      <c r="N481" s="206"/>
      <c r="O481" s="207"/>
      <c r="P481" s="208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79"/>
      <c r="AN481" s="45"/>
    </row>
    <row r="482" spans="2:40" x14ac:dyDescent="0.25">
      <c r="B482" s="192"/>
      <c r="C482" s="194"/>
      <c r="D482" s="194"/>
      <c r="E482" s="204"/>
      <c r="F482" s="210"/>
      <c r="G482" s="197"/>
      <c r="H482" s="215"/>
      <c r="I482" s="199">
        <f t="shared" si="47"/>
        <v>71415451.370000005</v>
      </c>
      <c r="J482" s="205"/>
      <c r="K482" s="206"/>
      <c r="L482" s="206"/>
      <c r="M482" s="206"/>
      <c r="N482" s="206"/>
      <c r="O482" s="207"/>
      <c r="P482" s="208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79"/>
      <c r="AN482" s="45"/>
    </row>
    <row r="483" spans="2:40" x14ac:dyDescent="0.25">
      <c r="B483" s="192"/>
      <c r="C483" s="194"/>
      <c r="D483" s="194"/>
      <c r="E483" s="204"/>
      <c r="F483" s="210"/>
      <c r="G483" s="197"/>
      <c r="H483" s="215"/>
      <c r="I483" s="199">
        <f t="shared" si="47"/>
        <v>71415451.370000005</v>
      </c>
      <c r="J483" s="205"/>
      <c r="K483" s="206"/>
      <c r="L483" s="206"/>
      <c r="M483" s="206"/>
      <c r="N483" s="206"/>
      <c r="O483" s="207"/>
      <c r="P483" s="208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79"/>
      <c r="AN483" s="45"/>
    </row>
    <row r="484" spans="2:40" x14ac:dyDescent="0.25">
      <c r="B484" s="192"/>
      <c r="C484" s="194"/>
      <c r="D484" s="194"/>
      <c r="E484" s="204"/>
      <c r="F484" s="210"/>
      <c r="G484" s="197"/>
      <c r="H484" s="215"/>
      <c r="I484" s="199">
        <f t="shared" si="47"/>
        <v>71415451.370000005</v>
      </c>
      <c r="J484" s="205"/>
      <c r="K484" s="206"/>
      <c r="L484" s="206"/>
      <c r="M484" s="206"/>
      <c r="N484" s="206"/>
      <c r="O484" s="207"/>
      <c r="P484" s="208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5"/>
      <c r="AI484" s="11"/>
      <c r="AJ484" s="11"/>
      <c r="AK484" s="11"/>
      <c r="AL484" s="11"/>
      <c r="AM484" s="79"/>
      <c r="AN484" s="45"/>
    </row>
    <row r="485" spans="2:40" x14ac:dyDescent="0.25">
      <c r="B485" s="192"/>
      <c r="C485" s="194"/>
      <c r="D485" s="194"/>
      <c r="E485" s="204"/>
      <c r="F485" s="210"/>
      <c r="G485" s="197"/>
      <c r="H485" s="215"/>
      <c r="I485" s="199">
        <f t="shared" si="47"/>
        <v>71415451.370000005</v>
      </c>
      <c r="J485" s="205"/>
      <c r="K485" s="206"/>
      <c r="L485" s="206"/>
      <c r="M485" s="206"/>
      <c r="N485" s="206"/>
      <c r="O485" s="207"/>
      <c r="P485" s="208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5"/>
      <c r="AI485" s="11"/>
      <c r="AJ485" s="11"/>
      <c r="AK485" s="11"/>
      <c r="AL485" s="11"/>
      <c r="AM485" s="79"/>
      <c r="AN485" s="45"/>
    </row>
    <row r="486" spans="2:40" x14ac:dyDescent="0.25">
      <c r="B486" s="192"/>
      <c r="C486" s="194"/>
      <c r="D486" s="194"/>
      <c r="E486" s="204"/>
      <c r="F486" s="210"/>
      <c r="G486" s="197"/>
      <c r="H486" s="215"/>
      <c r="I486" s="199">
        <f t="shared" si="47"/>
        <v>71415451.370000005</v>
      </c>
      <c r="J486" s="205"/>
      <c r="K486" s="206"/>
      <c r="L486" s="206"/>
      <c r="M486" s="206"/>
      <c r="N486" s="206"/>
      <c r="O486" s="207"/>
      <c r="P486" s="208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5"/>
      <c r="AI486" s="11"/>
      <c r="AJ486" s="11"/>
      <c r="AK486" s="11"/>
      <c r="AL486" s="11"/>
      <c r="AM486" s="79"/>
      <c r="AN486" s="45"/>
    </row>
    <row r="487" spans="2:40" x14ac:dyDescent="0.25">
      <c r="B487" s="192"/>
      <c r="C487" s="194"/>
      <c r="D487" s="194"/>
      <c r="E487" s="204"/>
      <c r="F487" s="210"/>
      <c r="G487" s="197"/>
      <c r="H487" s="215"/>
      <c r="I487" s="199">
        <f t="shared" si="47"/>
        <v>71415451.370000005</v>
      </c>
      <c r="J487" s="205"/>
      <c r="K487" s="206"/>
      <c r="L487" s="206"/>
      <c r="M487" s="206"/>
      <c r="N487" s="206"/>
      <c r="O487" s="207"/>
      <c r="P487" s="208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5"/>
      <c r="AI487" s="11"/>
      <c r="AJ487" s="11"/>
      <c r="AK487" s="11"/>
      <c r="AL487" s="11"/>
      <c r="AM487" s="79"/>
      <c r="AN487" s="45"/>
    </row>
    <row r="488" spans="2:40" x14ac:dyDescent="0.25">
      <c r="B488" s="192"/>
      <c r="C488" s="194"/>
      <c r="D488" s="194"/>
      <c r="E488" s="204"/>
      <c r="F488" s="210"/>
      <c r="G488" s="197"/>
      <c r="H488" s="215"/>
      <c r="I488" s="199">
        <f t="shared" si="47"/>
        <v>71415451.370000005</v>
      </c>
      <c r="J488" s="205"/>
      <c r="K488" s="206"/>
      <c r="L488" s="206"/>
      <c r="M488" s="206"/>
      <c r="N488" s="206"/>
      <c r="O488" s="207"/>
      <c r="P488" s="208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79"/>
      <c r="AN488" s="45"/>
    </row>
    <row r="489" spans="2:40" x14ac:dyDescent="0.25">
      <c r="B489" s="192"/>
      <c r="C489" s="194"/>
      <c r="D489" s="194"/>
      <c r="E489" s="204"/>
      <c r="F489" s="210"/>
      <c r="G489" s="197"/>
      <c r="H489" s="215"/>
      <c r="I489" s="199">
        <f t="shared" si="47"/>
        <v>71415451.370000005</v>
      </c>
      <c r="J489" s="205"/>
      <c r="K489" s="206"/>
      <c r="L489" s="206"/>
      <c r="M489" s="206"/>
      <c r="N489" s="206"/>
      <c r="O489" s="207"/>
      <c r="P489" s="208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79"/>
      <c r="AN489" s="45"/>
    </row>
    <row r="490" spans="2:40" x14ac:dyDescent="0.25">
      <c r="B490" s="192"/>
      <c r="C490" s="194"/>
      <c r="D490" s="194"/>
      <c r="E490" s="204"/>
      <c r="F490" s="210"/>
      <c r="G490" s="197"/>
      <c r="H490" s="215"/>
      <c r="I490" s="199">
        <f t="shared" si="47"/>
        <v>71415451.370000005</v>
      </c>
      <c r="J490" s="205"/>
      <c r="K490" s="206"/>
      <c r="L490" s="206"/>
      <c r="M490" s="206"/>
      <c r="N490" s="206"/>
      <c r="O490" s="207"/>
      <c r="P490" s="208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79"/>
      <c r="AN490" s="45"/>
    </row>
    <row r="491" spans="2:40" x14ac:dyDescent="0.25">
      <c r="B491" s="192"/>
      <c r="C491" s="194"/>
      <c r="D491" s="194"/>
      <c r="E491" s="204"/>
      <c r="F491" s="210"/>
      <c r="G491" s="197"/>
      <c r="H491" s="215"/>
      <c r="I491" s="199">
        <f t="shared" si="47"/>
        <v>71415451.370000005</v>
      </c>
      <c r="J491" s="205"/>
      <c r="K491" s="206"/>
      <c r="L491" s="206"/>
      <c r="M491" s="206"/>
      <c r="N491" s="206"/>
      <c r="O491" s="207"/>
      <c r="P491" s="208"/>
      <c r="Q491" s="11"/>
      <c r="R491" s="14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79"/>
      <c r="AN491" s="45"/>
    </row>
    <row r="492" spans="2:40" x14ac:dyDescent="0.25">
      <c r="B492" s="192"/>
      <c r="C492" s="194"/>
      <c r="D492" s="194"/>
      <c r="E492" s="204"/>
      <c r="F492" s="210"/>
      <c r="G492" s="197"/>
      <c r="H492" s="215"/>
      <c r="I492" s="199">
        <f t="shared" si="47"/>
        <v>71415451.370000005</v>
      </c>
      <c r="J492" s="205"/>
      <c r="K492" s="206"/>
      <c r="L492" s="206"/>
      <c r="M492" s="206"/>
      <c r="N492" s="206"/>
      <c r="O492" s="207"/>
      <c r="P492" s="208"/>
      <c r="Q492" s="11"/>
      <c r="R492" s="14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79"/>
      <c r="AN492" s="45"/>
    </row>
    <row r="493" spans="2:40" x14ac:dyDescent="0.25">
      <c r="B493" s="192"/>
      <c r="C493" s="194"/>
      <c r="D493" s="194"/>
      <c r="E493" s="204"/>
      <c r="F493" s="210"/>
      <c r="G493" s="197"/>
      <c r="H493" s="215"/>
      <c r="I493" s="199">
        <f t="shared" si="47"/>
        <v>71415451.370000005</v>
      </c>
      <c r="J493" s="205"/>
      <c r="K493" s="206"/>
      <c r="L493" s="206"/>
      <c r="M493" s="206"/>
      <c r="N493" s="206"/>
      <c r="O493" s="207"/>
      <c r="P493" s="208"/>
      <c r="Q493" s="11"/>
      <c r="R493" s="11"/>
      <c r="S493" s="11"/>
      <c r="T493" s="11"/>
      <c r="U493" s="11"/>
      <c r="V493" s="11"/>
      <c r="W493" s="11"/>
      <c r="X493" s="14"/>
      <c r="Y493" s="14"/>
      <c r="Z493" s="15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79"/>
      <c r="AN493" s="45"/>
    </row>
    <row r="494" spans="2:40" x14ac:dyDescent="0.25">
      <c r="B494" s="192"/>
      <c r="C494" s="194"/>
      <c r="D494" s="194"/>
      <c r="E494" s="204"/>
      <c r="F494" s="210"/>
      <c r="G494" s="197"/>
      <c r="H494" s="215"/>
      <c r="I494" s="199">
        <f t="shared" si="47"/>
        <v>71415451.370000005</v>
      </c>
      <c r="J494" s="205"/>
      <c r="K494" s="206"/>
      <c r="L494" s="206"/>
      <c r="M494" s="206"/>
      <c r="N494" s="206"/>
      <c r="O494" s="207"/>
      <c r="P494" s="208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79"/>
      <c r="AN494" s="45"/>
    </row>
    <row r="495" spans="2:40" x14ac:dyDescent="0.25">
      <c r="B495" s="192"/>
      <c r="C495" s="194"/>
      <c r="D495" s="194"/>
      <c r="E495" s="204"/>
      <c r="F495" s="210"/>
      <c r="G495" s="197"/>
      <c r="H495" s="215"/>
      <c r="I495" s="199">
        <f t="shared" si="47"/>
        <v>71415451.370000005</v>
      </c>
      <c r="J495" s="205"/>
      <c r="K495" s="206"/>
      <c r="L495" s="206"/>
      <c r="M495" s="206"/>
      <c r="N495" s="206"/>
      <c r="O495" s="207"/>
      <c r="P495" s="208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79"/>
      <c r="AN495" s="45"/>
    </row>
    <row r="496" spans="2:40" x14ac:dyDescent="0.25">
      <c r="B496" s="192"/>
      <c r="C496" s="194"/>
      <c r="D496" s="226"/>
      <c r="E496" s="227"/>
      <c r="F496" s="228"/>
      <c r="G496" s="229"/>
      <c r="H496" s="215"/>
      <c r="I496" s="199">
        <f t="shared" si="47"/>
        <v>71415451.370000005</v>
      </c>
      <c r="J496" s="205"/>
      <c r="K496" s="206"/>
      <c r="L496" s="206"/>
      <c r="M496" s="206"/>
      <c r="N496" s="206"/>
      <c r="O496" s="207"/>
      <c r="P496" s="220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79"/>
      <c r="AN496" s="46"/>
    </row>
    <row r="497" spans="2:40" x14ac:dyDescent="0.25">
      <c r="B497" s="192"/>
      <c r="C497" s="194"/>
      <c r="D497" s="194"/>
      <c r="E497" s="204"/>
      <c r="F497" s="210"/>
      <c r="G497" s="197"/>
      <c r="H497" s="215"/>
      <c r="I497" s="199">
        <f t="shared" si="47"/>
        <v>71415451.370000005</v>
      </c>
      <c r="J497" s="205"/>
      <c r="K497" s="206"/>
      <c r="L497" s="206"/>
      <c r="M497" s="206"/>
      <c r="N497" s="206"/>
      <c r="O497" s="207"/>
      <c r="P497" s="208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79"/>
      <c r="AN497" s="45"/>
    </row>
    <row r="498" spans="2:40" x14ac:dyDescent="0.25">
      <c r="B498" s="192"/>
      <c r="C498" s="194"/>
      <c r="D498" s="194"/>
      <c r="E498" s="204"/>
      <c r="F498" s="210"/>
      <c r="G498" s="197"/>
      <c r="H498" s="215"/>
      <c r="I498" s="199">
        <f t="shared" si="47"/>
        <v>71415451.370000005</v>
      </c>
      <c r="J498" s="205"/>
      <c r="K498" s="206"/>
      <c r="L498" s="206"/>
      <c r="M498" s="206"/>
      <c r="N498" s="206"/>
      <c r="O498" s="207"/>
      <c r="P498" s="208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79"/>
      <c r="AN498" s="45"/>
    </row>
    <row r="499" spans="2:40" x14ac:dyDescent="0.25">
      <c r="B499" s="192"/>
      <c r="C499" s="194"/>
      <c r="D499" s="194"/>
      <c r="E499" s="204"/>
      <c r="F499" s="210"/>
      <c r="G499" s="197"/>
      <c r="H499" s="215"/>
      <c r="I499" s="199">
        <f t="shared" si="47"/>
        <v>71415451.370000005</v>
      </c>
      <c r="J499" s="205"/>
      <c r="K499" s="206"/>
      <c r="L499" s="206"/>
      <c r="M499" s="206"/>
      <c r="N499" s="206"/>
      <c r="O499" s="207"/>
      <c r="P499" s="208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79"/>
      <c r="AN499" s="45"/>
    </row>
    <row r="500" spans="2:40" x14ac:dyDescent="0.25">
      <c r="B500" s="192"/>
      <c r="C500" s="194"/>
      <c r="D500" s="194"/>
      <c r="E500" s="204"/>
      <c r="F500" s="210"/>
      <c r="G500" s="197"/>
      <c r="H500" s="215"/>
      <c r="I500" s="199">
        <f t="shared" si="47"/>
        <v>71415451.370000005</v>
      </c>
      <c r="J500" s="205"/>
      <c r="K500" s="206"/>
      <c r="L500" s="206"/>
      <c r="M500" s="206"/>
      <c r="N500" s="206"/>
      <c r="O500" s="207"/>
      <c r="P500" s="208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79"/>
      <c r="AN500" s="45"/>
    </row>
    <row r="501" spans="2:40" x14ac:dyDescent="0.25">
      <c r="B501" s="192"/>
      <c r="C501" s="194"/>
      <c r="D501" s="194"/>
      <c r="E501" s="204"/>
      <c r="F501" s="210"/>
      <c r="G501" s="197"/>
      <c r="H501" s="215"/>
      <c r="I501" s="199">
        <f t="shared" si="47"/>
        <v>71415451.370000005</v>
      </c>
      <c r="J501" s="205"/>
      <c r="K501" s="206"/>
      <c r="L501" s="206"/>
      <c r="M501" s="206"/>
      <c r="N501" s="206"/>
      <c r="O501" s="207"/>
      <c r="P501" s="208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79"/>
      <c r="AN501" s="45"/>
    </row>
    <row r="502" spans="2:40" x14ac:dyDescent="0.25">
      <c r="B502" s="192"/>
      <c r="C502" s="194"/>
      <c r="D502" s="194"/>
      <c r="E502" s="204"/>
      <c r="F502" s="210"/>
      <c r="G502" s="197"/>
      <c r="H502" s="215"/>
      <c r="I502" s="199">
        <f t="shared" si="47"/>
        <v>71415451.370000005</v>
      </c>
      <c r="J502" s="205"/>
      <c r="K502" s="206"/>
      <c r="L502" s="206"/>
      <c r="M502" s="206"/>
      <c r="N502" s="206"/>
      <c r="O502" s="207"/>
      <c r="P502" s="208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79"/>
      <c r="AN502" s="45"/>
    </row>
    <row r="503" spans="2:40" x14ac:dyDescent="0.25">
      <c r="B503" s="192"/>
      <c r="C503" s="194"/>
      <c r="D503" s="194"/>
      <c r="E503" s="204"/>
      <c r="F503" s="210"/>
      <c r="G503" s="197"/>
      <c r="H503" s="215"/>
      <c r="I503" s="199">
        <f t="shared" si="47"/>
        <v>71415451.370000005</v>
      </c>
      <c r="J503" s="205"/>
      <c r="K503" s="206"/>
      <c r="L503" s="206"/>
      <c r="M503" s="206"/>
      <c r="N503" s="206"/>
      <c r="O503" s="207"/>
      <c r="P503" s="208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79"/>
      <c r="AN503" s="45"/>
    </row>
    <row r="504" spans="2:40" x14ac:dyDescent="0.25">
      <c r="B504" s="192"/>
      <c r="C504" s="194"/>
      <c r="D504" s="194"/>
      <c r="E504" s="204"/>
      <c r="F504" s="210"/>
      <c r="G504" s="197"/>
      <c r="H504" s="215"/>
      <c r="I504" s="199">
        <f t="shared" si="47"/>
        <v>71415451.370000005</v>
      </c>
      <c r="J504" s="205"/>
      <c r="K504" s="206"/>
      <c r="L504" s="206"/>
      <c r="M504" s="206"/>
      <c r="N504" s="206"/>
      <c r="O504" s="207"/>
      <c r="P504" s="208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79"/>
      <c r="AN504" s="45"/>
    </row>
    <row r="505" spans="2:40" x14ac:dyDescent="0.25">
      <c r="B505" s="192"/>
      <c r="C505" s="194"/>
      <c r="D505" s="194"/>
      <c r="E505" s="204"/>
      <c r="F505" s="210"/>
      <c r="G505" s="197"/>
      <c r="H505" s="215"/>
      <c r="I505" s="199">
        <f t="shared" si="47"/>
        <v>71415451.370000005</v>
      </c>
      <c r="J505" s="205"/>
      <c r="K505" s="206"/>
      <c r="L505" s="206"/>
      <c r="M505" s="206"/>
      <c r="N505" s="206"/>
      <c r="O505" s="207"/>
      <c r="P505" s="208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79"/>
      <c r="AN505" s="45"/>
    </row>
    <row r="506" spans="2:40" x14ac:dyDescent="0.25">
      <c r="B506" s="192"/>
      <c r="C506" s="194"/>
      <c r="D506" s="226"/>
      <c r="E506" s="227"/>
      <c r="F506" s="228"/>
      <c r="G506" s="229"/>
      <c r="H506" s="215"/>
      <c r="I506" s="199">
        <f t="shared" si="47"/>
        <v>71415451.370000005</v>
      </c>
      <c r="J506" s="205"/>
      <c r="K506" s="206"/>
      <c r="L506" s="206"/>
      <c r="M506" s="206"/>
      <c r="N506" s="206"/>
      <c r="O506" s="207"/>
      <c r="P506" s="220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79"/>
      <c r="AN506" s="47"/>
    </row>
    <row r="507" spans="2:40" x14ac:dyDescent="0.25">
      <c r="B507" s="192"/>
      <c r="C507" s="194"/>
      <c r="D507" s="194"/>
      <c r="E507" s="204"/>
      <c r="F507" s="210"/>
      <c r="G507" s="197"/>
      <c r="H507" s="215"/>
      <c r="I507" s="199">
        <f t="shared" si="47"/>
        <v>71415451.370000005</v>
      </c>
      <c r="J507" s="205"/>
      <c r="K507" s="206"/>
      <c r="L507" s="206"/>
      <c r="M507" s="206"/>
      <c r="N507" s="206"/>
      <c r="O507" s="207"/>
      <c r="P507" s="208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79"/>
      <c r="AN507" s="45"/>
    </row>
    <row r="508" spans="2:40" x14ac:dyDescent="0.25">
      <c r="B508" s="192"/>
      <c r="C508" s="194"/>
      <c r="D508" s="194"/>
      <c r="E508" s="204"/>
      <c r="F508" s="210"/>
      <c r="G508" s="197"/>
      <c r="H508" s="215"/>
      <c r="I508" s="199">
        <f t="shared" si="47"/>
        <v>71415451.370000005</v>
      </c>
      <c r="J508" s="205"/>
      <c r="K508" s="206"/>
      <c r="L508" s="206"/>
      <c r="M508" s="206"/>
      <c r="N508" s="206"/>
      <c r="O508" s="207"/>
      <c r="P508" s="208"/>
      <c r="Q508" s="14"/>
      <c r="R508" s="14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4"/>
      <c r="AE508" s="11"/>
      <c r="AF508" s="11"/>
      <c r="AG508" s="11"/>
      <c r="AH508" s="11"/>
      <c r="AI508" s="11"/>
      <c r="AJ508" s="11"/>
      <c r="AK508" s="11"/>
      <c r="AL508" s="11"/>
      <c r="AM508" s="79"/>
      <c r="AN508" s="45"/>
    </row>
    <row r="509" spans="2:40" x14ac:dyDescent="0.25">
      <c r="B509" s="192"/>
      <c r="C509" s="194"/>
      <c r="D509" s="194"/>
      <c r="E509" s="204"/>
      <c r="F509" s="210"/>
      <c r="G509" s="197"/>
      <c r="H509" s="215"/>
      <c r="I509" s="199">
        <f t="shared" si="47"/>
        <v>71415451.370000005</v>
      </c>
      <c r="J509" s="205"/>
      <c r="K509" s="206"/>
      <c r="L509" s="206"/>
      <c r="M509" s="206"/>
      <c r="N509" s="206"/>
      <c r="O509" s="207"/>
      <c r="P509" s="208"/>
      <c r="Q509" s="11"/>
      <c r="R509" s="14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79"/>
      <c r="AN509" s="45"/>
    </row>
    <row r="510" spans="2:40" x14ac:dyDescent="0.25">
      <c r="B510" s="192"/>
      <c r="C510" s="194"/>
      <c r="D510" s="194"/>
      <c r="E510" s="204"/>
      <c r="F510" s="210"/>
      <c r="G510" s="197"/>
      <c r="H510" s="215"/>
      <c r="I510" s="199">
        <f t="shared" si="47"/>
        <v>71415451.370000005</v>
      </c>
      <c r="J510" s="205"/>
      <c r="K510" s="206"/>
      <c r="L510" s="206"/>
      <c r="M510" s="206"/>
      <c r="N510" s="206"/>
      <c r="O510" s="207"/>
      <c r="P510" s="208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79"/>
      <c r="AN510" s="45"/>
    </row>
    <row r="511" spans="2:40" x14ac:dyDescent="0.25">
      <c r="B511" s="192"/>
      <c r="C511" s="194"/>
      <c r="D511" s="194"/>
      <c r="E511" s="204"/>
      <c r="F511" s="210"/>
      <c r="G511" s="197"/>
      <c r="H511" s="215"/>
      <c r="I511" s="199">
        <f t="shared" si="47"/>
        <v>71415451.370000005</v>
      </c>
      <c r="J511" s="205"/>
      <c r="K511" s="206"/>
      <c r="L511" s="206"/>
      <c r="M511" s="206"/>
      <c r="N511" s="206"/>
      <c r="O511" s="207"/>
      <c r="P511" s="208"/>
      <c r="Q511" s="11"/>
      <c r="R511" s="11"/>
      <c r="S511" s="11"/>
      <c r="T511" s="11"/>
      <c r="U511" s="11"/>
      <c r="V511" s="14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4"/>
      <c r="AK511" s="14"/>
      <c r="AL511" s="14"/>
      <c r="AM511" s="80"/>
      <c r="AN511" s="45"/>
    </row>
    <row r="512" spans="2:40" x14ac:dyDescent="0.25">
      <c r="B512" s="192"/>
      <c r="C512" s="194"/>
      <c r="D512" s="194"/>
      <c r="E512" s="204"/>
      <c r="F512" s="210"/>
      <c r="G512" s="197"/>
      <c r="H512" s="215"/>
      <c r="I512" s="199">
        <f t="shared" si="47"/>
        <v>71415451.370000005</v>
      </c>
      <c r="J512" s="205"/>
      <c r="K512" s="206"/>
      <c r="L512" s="206"/>
      <c r="M512" s="206"/>
      <c r="N512" s="206"/>
      <c r="O512" s="207"/>
      <c r="P512" s="230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4"/>
      <c r="AK512" s="14"/>
      <c r="AL512" s="14"/>
      <c r="AM512" s="80"/>
      <c r="AN512" s="45"/>
    </row>
    <row r="513" spans="2:40" x14ac:dyDescent="0.25">
      <c r="B513" s="192"/>
      <c r="C513" s="194"/>
      <c r="D513" s="194"/>
      <c r="E513" s="204"/>
      <c r="F513" s="210"/>
      <c r="G513" s="197"/>
      <c r="H513" s="215"/>
      <c r="I513" s="199">
        <f t="shared" si="47"/>
        <v>71415451.370000005</v>
      </c>
      <c r="J513" s="205"/>
      <c r="K513" s="206"/>
      <c r="L513" s="206"/>
      <c r="M513" s="206"/>
      <c r="N513" s="206"/>
      <c r="O513" s="207"/>
      <c r="P513" s="208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4"/>
      <c r="AK513" s="14"/>
      <c r="AL513" s="14"/>
      <c r="AM513" s="80"/>
      <c r="AN513" s="45"/>
    </row>
    <row r="514" spans="2:40" x14ac:dyDescent="0.25">
      <c r="B514" s="192"/>
      <c r="C514" s="194"/>
      <c r="D514" s="194"/>
      <c r="E514" s="204"/>
      <c r="F514" s="210"/>
      <c r="G514" s="197"/>
      <c r="H514" s="215"/>
      <c r="I514" s="199">
        <f t="shared" si="47"/>
        <v>71415451.370000005</v>
      </c>
      <c r="J514" s="205"/>
      <c r="K514" s="206"/>
      <c r="L514" s="206"/>
      <c r="M514" s="206"/>
      <c r="N514" s="206"/>
      <c r="O514" s="207"/>
      <c r="P514" s="208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4"/>
      <c r="AK514" s="14"/>
      <c r="AL514" s="14"/>
      <c r="AM514" s="80"/>
      <c r="AN514" s="45"/>
    </row>
    <row r="515" spans="2:40" x14ac:dyDescent="0.25">
      <c r="B515" s="192"/>
      <c r="C515" s="194"/>
      <c r="D515" s="194"/>
      <c r="E515" s="204"/>
      <c r="F515" s="210"/>
      <c r="G515" s="197"/>
      <c r="H515" s="215"/>
      <c r="I515" s="199">
        <f t="shared" si="47"/>
        <v>71415451.370000005</v>
      </c>
      <c r="J515" s="205"/>
      <c r="K515" s="206"/>
      <c r="L515" s="206"/>
      <c r="M515" s="206"/>
      <c r="N515" s="206"/>
      <c r="O515" s="207"/>
      <c r="P515" s="208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4"/>
      <c r="AK515" s="14"/>
      <c r="AL515" s="14"/>
      <c r="AM515" s="80"/>
      <c r="AN515" s="45"/>
    </row>
    <row r="516" spans="2:40" x14ac:dyDescent="0.25">
      <c r="B516" s="192"/>
      <c r="C516" s="194"/>
      <c r="D516" s="194"/>
      <c r="E516" s="204"/>
      <c r="F516" s="210"/>
      <c r="G516" s="197"/>
      <c r="H516" s="215"/>
      <c r="I516" s="199">
        <f t="shared" si="47"/>
        <v>71415451.370000005</v>
      </c>
      <c r="J516" s="205"/>
      <c r="K516" s="206"/>
      <c r="L516" s="206"/>
      <c r="M516" s="206"/>
      <c r="N516" s="206"/>
      <c r="O516" s="207"/>
      <c r="P516" s="208"/>
      <c r="Q516" s="11"/>
      <c r="R516" s="11"/>
      <c r="S516" s="11"/>
      <c r="T516" s="11"/>
      <c r="U516" s="11"/>
      <c r="V516" s="11"/>
      <c r="W516" s="11"/>
      <c r="X516" s="11"/>
      <c r="Y516" s="14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4"/>
      <c r="AK516" s="14"/>
      <c r="AL516" s="14"/>
      <c r="AM516" s="80"/>
      <c r="AN516" s="45"/>
    </row>
    <row r="517" spans="2:40" x14ac:dyDescent="0.25">
      <c r="B517" s="192"/>
      <c r="C517" s="194"/>
      <c r="D517" s="194"/>
      <c r="E517" s="204"/>
      <c r="F517" s="210"/>
      <c r="G517" s="197"/>
      <c r="H517" s="215"/>
      <c r="I517" s="199">
        <f t="shared" si="47"/>
        <v>71415451.370000005</v>
      </c>
      <c r="J517" s="205"/>
      <c r="K517" s="206"/>
      <c r="L517" s="206"/>
      <c r="M517" s="206"/>
      <c r="N517" s="206"/>
      <c r="O517" s="207"/>
      <c r="P517" s="208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4"/>
      <c r="AK517" s="14"/>
      <c r="AL517" s="14"/>
      <c r="AM517" s="80"/>
      <c r="AN517" s="45"/>
    </row>
    <row r="518" spans="2:40" x14ac:dyDescent="0.25">
      <c r="B518" s="192"/>
      <c r="C518" s="194"/>
      <c r="D518" s="194"/>
      <c r="E518" s="204"/>
      <c r="F518" s="210"/>
      <c r="G518" s="197"/>
      <c r="H518" s="215"/>
      <c r="I518" s="199">
        <f t="shared" si="47"/>
        <v>71415451.370000005</v>
      </c>
      <c r="J518" s="205"/>
      <c r="K518" s="206"/>
      <c r="L518" s="206"/>
      <c r="M518" s="206"/>
      <c r="N518" s="206"/>
      <c r="O518" s="207"/>
      <c r="P518" s="208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4"/>
      <c r="AJ518" s="11"/>
      <c r="AK518" s="11"/>
      <c r="AL518" s="11"/>
      <c r="AM518" s="79"/>
      <c r="AN518" s="45"/>
    </row>
    <row r="519" spans="2:40" x14ac:dyDescent="0.25">
      <c r="B519" s="192"/>
      <c r="C519" s="194"/>
      <c r="D519" s="194"/>
      <c r="E519" s="204"/>
      <c r="F519" s="210"/>
      <c r="G519" s="197"/>
      <c r="H519" s="215"/>
      <c r="I519" s="199">
        <f t="shared" si="47"/>
        <v>71415451.370000005</v>
      </c>
      <c r="J519" s="205"/>
      <c r="K519" s="206"/>
      <c r="L519" s="206"/>
      <c r="M519" s="206"/>
      <c r="N519" s="206"/>
      <c r="O519" s="207"/>
      <c r="P519" s="208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4"/>
      <c r="AJ519" s="11"/>
      <c r="AK519" s="11"/>
      <c r="AL519" s="11"/>
      <c r="AM519" s="79"/>
      <c r="AN519" s="45"/>
    </row>
    <row r="520" spans="2:40" x14ac:dyDescent="0.25">
      <c r="B520" s="192"/>
      <c r="C520" s="194"/>
      <c r="D520" s="194"/>
      <c r="E520" s="204"/>
      <c r="F520" s="210"/>
      <c r="G520" s="197"/>
      <c r="H520" s="215"/>
      <c r="I520" s="199">
        <f t="shared" si="47"/>
        <v>71415451.370000005</v>
      </c>
      <c r="J520" s="205"/>
      <c r="K520" s="206"/>
      <c r="L520" s="206"/>
      <c r="M520" s="206"/>
      <c r="N520" s="206"/>
      <c r="O520" s="207"/>
      <c r="P520" s="208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4"/>
      <c r="AJ520" s="11"/>
      <c r="AK520" s="11"/>
      <c r="AL520" s="11"/>
      <c r="AM520" s="79"/>
      <c r="AN520" s="45"/>
    </row>
    <row r="521" spans="2:40" x14ac:dyDescent="0.25">
      <c r="B521" s="192"/>
      <c r="C521" s="194"/>
      <c r="D521" s="194"/>
      <c r="E521" s="204"/>
      <c r="F521" s="210"/>
      <c r="G521" s="197"/>
      <c r="H521" s="215"/>
      <c r="I521" s="199">
        <f t="shared" si="47"/>
        <v>71415451.370000005</v>
      </c>
      <c r="J521" s="205"/>
      <c r="K521" s="206"/>
      <c r="L521" s="206"/>
      <c r="M521" s="206"/>
      <c r="N521" s="206"/>
      <c r="O521" s="207"/>
      <c r="P521" s="208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4"/>
      <c r="AJ521" s="11"/>
      <c r="AK521" s="11"/>
      <c r="AL521" s="11"/>
      <c r="AM521" s="79"/>
      <c r="AN521" s="45"/>
    </row>
    <row r="522" spans="2:40" x14ac:dyDescent="0.25">
      <c r="B522" s="192"/>
      <c r="C522" s="194"/>
      <c r="D522" s="194"/>
      <c r="E522" s="204"/>
      <c r="F522" s="210"/>
      <c r="G522" s="197"/>
      <c r="H522" s="215"/>
      <c r="I522" s="199">
        <f t="shared" si="47"/>
        <v>71415451.370000005</v>
      </c>
      <c r="J522" s="205"/>
      <c r="K522" s="206"/>
      <c r="L522" s="206"/>
      <c r="M522" s="206"/>
      <c r="N522" s="206"/>
      <c r="O522" s="207"/>
      <c r="P522" s="208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4"/>
      <c r="AJ522" s="11"/>
      <c r="AK522" s="11"/>
      <c r="AL522" s="11"/>
      <c r="AM522" s="79"/>
      <c r="AN522" s="45"/>
    </row>
    <row r="523" spans="2:40" x14ac:dyDescent="0.25">
      <c r="B523" s="192"/>
      <c r="C523" s="194"/>
      <c r="D523" s="194"/>
      <c r="E523" s="204"/>
      <c r="F523" s="210"/>
      <c r="G523" s="197"/>
      <c r="H523" s="215"/>
      <c r="I523" s="199">
        <f t="shared" si="47"/>
        <v>71415451.370000005</v>
      </c>
      <c r="J523" s="205"/>
      <c r="K523" s="206"/>
      <c r="L523" s="206"/>
      <c r="M523" s="206"/>
      <c r="N523" s="206"/>
      <c r="O523" s="207"/>
      <c r="P523" s="208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4"/>
      <c r="AJ523" s="11"/>
      <c r="AK523" s="11"/>
      <c r="AL523" s="11"/>
      <c r="AM523" s="79"/>
      <c r="AN523" s="45"/>
    </row>
    <row r="524" spans="2:40" x14ac:dyDescent="0.25">
      <c r="B524" s="192"/>
      <c r="C524" s="194"/>
      <c r="D524" s="194"/>
      <c r="E524" s="204"/>
      <c r="F524" s="210"/>
      <c r="G524" s="197"/>
      <c r="H524" s="215"/>
      <c r="I524" s="199">
        <f t="shared" si="47"/>
        <v>71415451.370000005</v>
      </c>
      <c r="J524" s="205"/>
      <c r="K524" s="206"/>
      <c r="L524" s="206"/>
      <c r="M524" s="206"/>
      <c r="N524" s="206"/>
      <c r="O524" s="207"/>
      <c r="P524" s="208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4"/>
      <c r="AJ524" s="11"/>
      <c r="AK524" s="11"/>
      <c r="AL524" s="11"/>
      <c r="AM524" s="79"/>
      <c r="AN524" s="45"/>
    </row>
    <row r="525" spans="2:40" x14ac:dyDescent="0.25">
      <c r="B525" s="192"/>
      <c r="C525" s="194"/>
      <c r="D525" s="194"/>
      <c r="E525" s="204"/>
      <c r="F525" s="210"/>
      <c r="G525" s="197"/>
      <c r="H525" s="215"/>
      <c r="I525" s="199">
        <f t="shared" si="47"/>
        <v>71415451.370000005</v>
      </c>
      <c r="J525" s="205"/>
      <c r="K525" s="206"/>
      <c r="L525" s="206"/>
      <c r="M525" s="206"/>
      <c r="N525" s="206"/>
      <c r="O525" s="207"/>
      <c r="P525" s="30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79"/>
      <c r="AN525" s="45"/>
    </row>
    <row r="526" spans="2:40" x14ac:dyDescent="0.25">
      <c r="B526" s="192"/>
      <c r="C526" s="194"/>
      <c r="D526" s="194"/>
      <c r="E526" s="204"/>
      <c r="F526" s="210"/>
      <c r="G526" s="197"/>
      <c r="H526" s="215"/>
      <c r="I526" s="199">
        <f t="shared" si="47"/>
        <v>71415451.370000005</v>
      </c>
      <c r="J526" s="205"/>
      <c r="K526" s="206"/>
      <c r="L526" s="206"/>
      <c r="M526" s="206"/>
      <c r="N526" s="206"/>
      <c r="O526" s="207"/>
      <c r="P526" s="208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79"/>
      <c r="AN526" s="45"/>
    </row>
    <row r="527" spans="2:40" x14ac:dyDescent="0.25">
      <c r="B527" s="192"/>
      <c r="C527" s="194"/>
      <c r="D527" s="194"/>
      <c r="E527" s="204"/>
      <c r="F527" s="210"/>
      <c r="G527" s="197"/>
      <c r="H527" s="215"/>
      <c r="I527" s="199">
        <f t="shared" si="47"/>
        <v>71415451.370000005</v>
      </c>
      <c r="J527" s="205"/>
      <c r="K527" s="206"/>
      <c r="L527" s="206"/>
      <c r="M527" s="206"/>
      <c r="N527" s="206"/>
      <c r="O527" s="207"/>
      <c r="P527" s="208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79"/>
      <c r="AN527" s="45"/>
    </row>
    <row r="528" spans="2:40" x14ac:dyDescent="0.25">
      <c r="B528" s="192"/>
      <c r="C528" s="194"/>
      <c r="D528" s="194"/>
      <c r="E528" s="204"/>
      <c r="F528" s="210"/>
      <c r="G528" s="197"/>
      <c r="H528" s="215"/>
      <c r="I528" s="199">
        <f t="shared" si="47"/>
        <v>71415451.370000005</v>
      </c>
      <c r="J528" s="205"/>
      <c r="K528" s="206"/>
      <c r="L528" s="206"/>
      <c r="M528" s="206"/>
      <c r="N528" s="206"/>
      <c r="O528" s="207"/>
      <c r="P528" s="208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79"/>
      <c r="AN528" s="45"/>
    </row>
    <row r="529" spans="2:40" x14ac:dyDescent="0.25">
      <c r="B529" s="192"/>
      <c r="C529" s="194"/>
      <c r="D529" s="194"/>
      <c r="E529" s="204"/>
      <c r="F529" s="210"/>
      <c r="G529" s="197"/>
      <c r="H529" s="215"/>
      <c r="I529" s="199">
        <f t="shared" si="47"/>
        <v>71415451.370000005</v>
      </c>
      <c r="J529" s="205"/>
      <c r="K529" s="206"/>
      <c r="L529" s="206"/>
      <c r="M529" s="206"/>
      <c r="N529" s="206"/>
      <c r="O529" s="207"/>
      <c r="P529" s="208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79"/>
      <c r="AN529" s="45"/>
    </row>
    <row r="530" spans="2:40" x14ac:dyDescent="0.25">
      <c r="B530" s="192"/>
      <c r="C530" s="194"/>
      <c r="D530" s="194"/>
      <c r="E530" s="204"/>
      <c r="F530" s="210"/>
      <c r="G530" s="197"/>
      <c r="H530" s="215"/>
      <c r="I530" s="199">
        <f t="shared" si="47"/>
        <v>71415451.370000005</v>
      </c>
      <c r="J530" s="205"/>
      <c r="K530" s="206"/>
      <c r="L530" s="206"/>
      <c r="M530" s="206"/>
      <c r="N530" s="206"/>
      <c r="O530" s="207"/>
      <c r="P530" s="208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79"/>
      <c r="AN530" s="45"/>
    </row>
    <row r="531" spans="2:40" x14ac:dyDescent="0.25">
      <c r="B531" s="192"/>
      <c r="C531" s="194"/>
      <c r="D531" s="194"/>
      <c r="E531" s="204"/>
      <c r="F531" s="210"/>
      <c r="G531" s="197"/>
      <c r="H531" s="215"/>
      <c r="I531" s="199">
        <f t="shared" si="47"/>
        <v>71415451.370000005</v>
      </c>
      <c r="J531" s="205"/>
      <c r="K531" s="206"/>
      <c r="L531" s="206"/>
      <c r="M531" s="206"/>
      <c r="N531" s="206"/>
      <c r="O531" s="207"/>
      <c r="P531" s="208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79"/>
      <c r="AN531" s="45"/>
    </row>
    <row r="532" spans="2:40" x14ac:dyDescent="0.25">
      <c r="B532" s="192"/>
      <c r="C532" s="194"/>
      <c r="D532" s="194"/>
      <c r="E532" s="204"/>
      <c r="F532" s="210"/>
      <c r="G532" s="197"/>
      <c r="H532" s="215"/>
      <c r="I532" s="199">
        <f t="shared" si="47"/>
        <v>71415451.370000005</v>
      </c>
      <c r="J532" s="205"/>
      <c r="K532" s="206"/>
      <c r="L532" s="206"/>
      <c r="M532" s="206"/>
      <c r="N532" s="206"/>
      <c r="O532" s="207"/>
      <c r="P532" s="208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79"/>
      <c r="AN532" s="45"/>
    </row>
    <row r="533" spans="2:40" x14ac:dyDescent="0.25">
      <c r="B533" s="192"/>
      <c r="C533" s="194"/>
      <c r="D533" s="194"/>
      <c r="E533" s="204"/>
      <c r="F533" s="210"/>
      <c r="G533" s="197"/>
      <c r="H533" s="215"/>
      <c r="I533" s="199">
        <f t="shared" ref="I533:I591" si="48">I532+G533-H533</f>
        <v>71415451.370000005</v>
      </c>
      <c r="J533" s="205"/>
      <c r="K533" s="206"/>
      <c r="L533" s="206"/>
      <c r="M533" s="206"/>
      <c r="N533" s="206"/>
      <c r="O533" s="207"/>
      <c r="P533" s="208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79"/>
      <c r="AN533" s="45"/>
    </row>
    <row r="534" spans="2:40" x14ac:dyDescent="0.25">
      <c r="B534" s="192"/>
      <c r="C534" s="194"/>
      <c r="D534" s="194"/>
      <c r="E534" s="204"/>
      <c r="F534" s="210"/>
      <c r="G534" s="197"/>
      <c r="H534" s="215"/>
      <c r="I534" s="199">
        <f t="shared" si="48"/>
        <v>71415451.370000005</v>
      </c>
      <c r="J534" s="205"/>
      <c r="K534" s="206"/>
      <c r="L534" s="206"/>
      <c r="M534" s="206"/>
      <c r="N534" s="206"/>
      <c r="O534" s="207"/>
      <c r="P534" s="208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79"/>
      <c r="AN534" s="45"/>
    </row>
    <row r="535" spans="2:40" x14ac:dyDescent="0.25">
      <c r="B535" s="192"/>
      <c r="C535" s="194"/>
      <c r="D535" s="194"/>
      <c r="E535" s="204"/>
      <c r="F535" s="210"/>
      <c r="G535" s="197"/>
      <c r="H535" s="215"/>
      <c r="I535" s="199">
        <f t="shared" si="48"/>
        <v>71415451.370000005</v>
      </c>
      <c r="J535" s="205"/>
      <c r="K535" s="206"/>
      <c r="L535" s="206"/>
      <c r="M535" s="206"/>
      <c r="N535" s="206"/>
      <c r="O535" s="207"/>
      <c r="P535" s="208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79"/>
      <c r="AN535" s="45"/>
    </row>
    <row r="536" spans="2:40" x14ac:dyDescent="0.25">
      <c r="B536" s="192"/>
      <c r="C536" s="194"/>
      <c r="D536" s="194"/>
      <c r="E536" s="204"/>
      <c r="F536" s="210"/>
      <c r="G536" s="197"/>
      <c r="H536" s="215"/>
      <c r="I536" s="199">
        <f t="shared" si="48"/>
        <v>71415451.370000005</v>
      </c>
      <c r="J536" s="205"/>
      <c r="K536" s="206"/>
      <c r="L536" s="206"/>
      <c r="M536" s="206"/>
      <c r="N536" s="206"/>
      <c r="O536" s="207"/>
      <c r="P536" s="208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79"/>
      <c r="AN536" s="45"/>
    </row>
    <row r="537" spans="2:40" x14ac:dyDescent="0.25">
      <c r="B537" s="192"/>
      <c r="C537" s="194"/>
      <c r="D537" s="194"/>
      <c r="E537" s="204"/>
      <c r="F537" s="210"/>
      <c r="G537" s="197"/>
      <c r="H537" s="215"/>
      <c r="I537" s="199">
        <f t="shared" si="48"/>
        <v>71415451.370000005</v>
      </c>
      <c r="J537" s="205"/>
      <c r="K537" s="206"/>
      <c r="L537" s="206"/>
      <c r="M537" s="206"/>
      <c r="N537" s="206"/>
      <c r="O537" s="207"/>
      <c r="P537" s="208"/>
      <c r="Q537" s="11"/>
      <c r="R537" s="14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79"/>
      <c r="AN537" s="45"/>
    </row>
    <row r="538" spans="2:40" x14ac:dyDescent="0.25">
      <c r="B538" s="192"/>
      <c r="C538" s="194"/>
      <c r="D538" s="194"/>
      <c r="E538" s="204"/>
      <c r="F538" s="210"/>
      <c r="G538" s="197"/>
      <c r="H538" s="215"/>
      <c r="I538" s="199">
        <f t="shared" si="48"/>
        <v>71415451.370000005</v>
      </c>
      <c r="J538" s="205"/>
      <c r="K538" s="206"/>
      <c r="L538" s="206"/>
      <c r="M538" s="206"/>
      <c r="N538" s="206"/>
      <c r="O538" s="207"/>
      <c r="P538" s="208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79"/>
      <c r="AN538" s="45"/>
    </row>
    <row r="539" spans="2:40" x14ac:dyDescent="0.25">
      <c r="B539" s="192"/>
      <c r="C539" s="194"/>
      <c r="D539" s="194"/>
      <c r="E539" s="204"/>
      <c r="F539" s="210"/>
      <c r="G539" s="197"/>
      <c r="H539" s="215"/>
      <c r="I539" s="199">
        <f t="shared" si="48"/>
        <v>71415451.370000005</v>
      </c>
      <c r="J539" s="205"/>
      <c r="K539" s="206"/>
      <c r="L539" s="206"/>
      <c r="M539" s="206"/>
      <c r="N539" s="206"/>
      <c r="O539" s="207"/>
      <c r="P539" s="208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79"/>
      <c r="AN539" s="45"/>
    </row>
    <row r="540" spans="2:40" x14ac:dyDescent="0.25">
      <c r="B540" s="192"/>
      <c r="C540" s="194"/>
      <c r="D540" s="194"/>
      <c r="E540" s="204"/>
      <c r="F540" s="210"/>
      <c r="G540" s="197"/>
      <c r="H540" s="215"/>
      <c r="I540" s="199">
        <f t="shared" si="48"/>
        <v>71415451.370000005</v>
      </c>
      <c r="J540" s="205"/>
      <c r="K540" s="206"/>
      <c r="L540" s="206"/>
      <c r="M540" s="206"/>
      <c r="N540" s="206"/>
      <c r="O540" s="207"/>
      <c r="P540" s="208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79"/>
      <c r="AN540" s="45"/>
    </row>
    <row r="541" spans="2:40" x14ac:dyDescent="0.25">
      <c r="B541" s="192"/>
      <c r="C541" s="194"/>
      <c r="D541" s="194"/>
      <c r="E541" s="204"/>
      <c r="F541" s="210"/>
      <c r="G541" s="197"/>
      <c r="H541" s="215"/>
      <c r="I541" s="199">
        <f t="shared" si="48"/>
        <v>71415451.370000005</v>
      </c>
      <c r="J541" s="205"/>
      <c r="K541" s="206"/>
      <c r="L541" s="206"/>
      <c r="M541" s="206"/>
      <c r="N541" s="206"/>
      <c r="O541" s="207"/>
      <c r="P541" s="208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79"/>
      <c r="AN541" s="45"/>
    </row>
    <row r="542" spans="2:40" x14ac:dyDescent="0.25">
      <c r="B542" s="192"/>
      <c r="C542" s="194"/>
      <c r="D542" s="194"/>
      <c r="E542" s="204"/>
      <c r="F542" s="210"/>
      <c r="G542" s="197"/>
      <c r="H542" s="215"/>
      <c r="I542" s="199">
        <f t="shared" si="48"/>
        <v>71415451.370000005</v>
      </c>
      <c r="J542" s="205"/>
      <c r="K542" s="206"/>
      <c r="L542" s="206"/>
      <c r="M542" s="206"/>
      <c r="N542" s="206"/>
      <c r="O542" s="207"/>
      <c r="P542" s="208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79"/>
      <c r="AN542" s="45"/>
    </row>
    <row r="543" spans="2:40" x14ac:dyDescent="0.25">
      <c r="B543" s="192"/>
      <c r="C543" s="194"/>
      <c r="D543" s="194"/>
      <c r="E543" s="204"/>
      <c r="F543" s="210"/>
      <c r="G543" s="197"/>
      <c r="H543" s="215"/>
      <c r="I543" s="199">
        <f t="shared" si="48"/>
        <v>71415451.370000005</v>
      </c>
      <c r="J543" s="205"/>
      <c r="K543" s="206"/>
      <c r="L543" s="206"/>
      <c r="M543" s="206"/>
      <c r="N543" s="206"/>
      <c r="O543" s="207"/>
      <c r="P543" s="208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79"/>
      <c r="AN543" s="45"/>
    </row>
    <row r="544" spans="2:40" x14ac:dyDescent="0.25">
      <c r="B544" s="192"/>
      <c r="C544" s="194"/>
      <c r="D544" s="194"/>
      <c r="E544" s="204"/>
      <c r="F544" s="210"/>
      <c r="G544" s="197"/>
      <c r="H544" s="215"/>
      <c r="I544" s="199">
        <f t="shared" si="48"/>
        <v>71415451.370000005</v>
      </c>
      <c r="J544" s="205"/>
      <c r="K544" s="206"/>
      <c r="L544" s="206"/>
      <c r="M544" s="206"/>
      <c r="N544" s="206"/>
      <c r="O544" s="207"/>
      <c r="P544" s="208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79"/>
      <c r="AN544" s="45"/>
    </row>
    <row r="545" spans="2:40" x14ac:dyDescent="0.25">
      <c r="B545" s="192"/>
      <c r="C545" s="194"/>
      <c r="D545" s="194"/>
      <c r="E545" s="204"/>
      <c r="F545" s="210"/>
      <c r="G545" s="197"/>
      <c r="H545" s="215"/>
      <c r="I545" s="199">
        <f t="shared" si="48"/>
        <v>71415451.370000005</v>
      </c>
      <c r="J545" s="205"/>
      <c r="K545" s="206"/>
      <c r="L545" s="206"/>
      <c r="M545" s="206"/>
      <c r="N545" s="206"/>
      <c r="O545" s="207"/>
      <c r="P545" s="208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79"/>
      <c r="AN545" s="45"/>
    </row>
    <row r="546" spans="2:40" x14ac:dyDescent="0.25">
      <c r="B546" s="192"/>
      <c r="C546" s="194"/>
      <c r="D546" s="194"/>
      <c r="E546" s="204"/>
      <c r="F546" s="210"/>
      <c r="G546" s="197"/>
      <c r="H546" s="215"/>
      <c r="I546" s="199">
        <f t="shared" si="48"/>
        <v>71415451.370000005</v>
      </c>
      <c r="J546" s="205"/>
      <c r="K546" s="206"/>
      <c r="L546" s="206"/>
      <c r="M546" s="206"/>
      <c r="N546" s="206"/>
      <c r="O546" s="207"/>
      <c r="P546" s="208"/>
      <c r="Q546" s="14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79"/>
      <c r="AN546" s="45"/>
    </row>
    <row r="547" spans="2:40" x14ac:dyDescent="0.25">
      <c r="B547" s="192"/>
      <c r="C547" s="194"/>
      <c r="D547" s="194"/>
      <c r="E547" s="204"/>
      <c r="F547" s="210"/>
      <c r="G547" s="197"/>
      <c r="H547" s="215"/>
      <c r="I547" s="199">
        <f t="shared" si="48"/>
        <v>71415451.370000005</v>
      </c>
      <c r="J547" s="205"/>
      <c r="K547" s="206"/>
      <c r="L547" s="206"/>
      <c r="M547" s="206"/>
      <c r="N547" s="206"/>
      <c r="O547" s="207"/>
      <c r="P547" s="208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79"/>
      <c r="AN547" s="45"/>
    </row>
    <row r="548" spans="2:40" x14ac:dyDescent="0.25">
      <c r="B548" s="192"/>
      <c r="C548" s="194"/>
      <c r="D548" s="194"/>
      <c r="E548" s="204"/>
      <c r="F548" s="210"/>
      <c r="G548" s="197"/>
      <c r="H548" s="215"/>
      <c r="I548" s="199">
        <f t="shared" si="48"/>
        <v>71415451.370000005</v>
      </c>
      <c r="J548" s="205"/>
      <c r="K548" s="206"/>
      <c r="L548" s="206"/>
      <c r="M548" s="206"/>
      <c r="N548" s="206"/>
      <c r="O548" s="207"/>
      <c r="P548" s="208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79"/>
      <c r="AN548" s="45"/>
    </row>
    <row r="549" spans="2:40" x14ac:dyDescent="0.25">
      <c r="B549" s="192"/>
      <c r="C549" s="194"/>
      <c r="D549" s="194"/>
      <c r="E549" s="204"/>
      <c r="F549" s="210"/>
      <c r="G549" s="197"/>
      <c r="H549" s="215"/>
      <c r="I549" s="199">
        <f t="shared" si="48"/>
        <v>71415451.370000005</v>
      </c>
      <c r="J549" s="205"/>
      <c r="K549" s="206"/>
      <c r="L549" s="206"/>
      <c r="M549" s="206"/>
      <c r="N549" s="206"/>
      <c r="O549" s="207"/>
      <c r="P549" s="208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79"/>
      <c r="AN549" s="45"/>
    </row>
    <row r="550" spans="2:40" x14ac:dyDescent="0.25">
      <c r="B550" s="192"/>
      <c r="C550" s="194"/>
      <c r="D550" s="194"/>
      <c r="E550" s="204"/>
      <c r="F550" s="210"/>
      <c r="G550" s="197"/>
      <c r="H550" s="215"/>
      <c r="I550" s="199">
        <f t="shared" si="48"/>
        <v>71415451.370000005</v>
      </c>
      <c r="J550" s="205"/>
      <c r="K550" s="206"/>
      <c r="L550" s="206"/>
      <c r="M550" s="206"/>
      <c r="N550" s="206"/>
      <c r="O550" s="207"/>
      <c r="P550" s="208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79"/>
      <c r="AN550" s="45"/>
    </row>
    <row r="551" spans="2:40" x14ac:dyDescent="0.25">
      <c r="B551" s="192"/>
      <c r="C551" s="194"/>
      <c r="D551" s="194"/>
      <c r="E551" s="204"/>
      <c r="F551" s="210"/>
      <c r="G551" s="197"/>
      <c r="H551" s="215"/>
      <c r="I551" s="199">
        <f t="shared" si="48"/>
        <v>71415451.370000005</v>
      </c>
      <c r="J551" s="205"/>
      <c r="K551" s="206"/>
      <c r="L551" s="206"/>
      <c r="M551" s="206"/>
      <c r="N551" s="206"/>
      <c r="O551" s="207"/>
      <c r="P551" s="208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79"/>
      <c r="AN551" s="45"/>
    </row>
    <row r="552" spans="2:40" x14ac:dyDescent="0.25">
      <c r="B552" s="192"/>
      <c r="C552" s="194"/>
      <c r="D552" s="194"/>
      <c r="E552" s="204"/>
      <c r="F552" s="210"/>
      <c r="G552" s="197"/>
      <c r="H552" s="215"/>
      <c r="I552" s="199">
        <f t="shared" si="48"/>
        <v>71415451.370000005</v>
      </c>
      <c r="J552" s="205"/>
      <c r="K552" s="206"/>
      <c r="L552" s="206"/>
      <c r="M552" s="206"/>
      <c r="N552" s="206"/>
      <c r="O552" s="207"/>
      <c r="P552" s="208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79"/>
      <c r="AN552" s="45"/>
    </row>
    <row r="553" spans="2:40" x14ac:dyDescent="0.25">
      <c r="B553" s="192"/>
      <c r="C553" s="194"/>
      <c r="D553" s="194"/>
      <c r="E553" s="204"/>
      <c r="F553" s="210"/>
      <c r="G553" s="197"/>
      <c r="H553" s="215"/>
      <c r="I553" s="199">
        <f t="shared" si="48"/>
        <v>71415451.370000005</v>
      </c>
      <c r="J553" s="205"/>
      <c r="K553" s="206"/>
      <c r="L553" s="206"/>
      <c r="M553" s="206"/>
      <c r="N553" s="206"/>
      <c r="O553" s="207"/>
      <c r="P553" s="208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79"/>
      <c r="AN553" s="45"/>
    </row>
    <row r="554" spans="2:40" x14ac:dyDescent="0.25">
      <c r="B554" s="192"/>
      <c r="C554" s="194"/>
      <c r="D554" s="194"/>
      <c r="E554" s="204"/>
      <c r="F554" s="210"/>
      <c r="G554" s="197"/>
      <c r="H554" s="215"/>
      <c r="I554" s="199">
        <f t="shared" si="48"/>
        <v>71415451.370000005</v>
      </c>
      <c r="J554" s="205"/>
      <c r="K554" s="206"/>
      <c r="L554" s="206"/>
      <c r="M554" s="206"/>
      <c r="N554" s="206"/>
      <c r="O554" s="207"/>
      <c r="P554" s="208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79"/>
      <c r="AN554" s="45"/>
    </row>
    <row r="555" spans="2:40" x14ac:dyDescent="0.25">
      <c r="B555" s="192"/>
      <c r="C555" s="194"/>
      <c r="D555" s="194"/>
      <c r="E555" s="204"/>
      <c r="F555" s="210"/>
      <c r="G555" s="197"/>
      <c r="H555" s="215"/>
      <c r="I555" s="199">
        <f t="shared" si="48"/>
        <v>71415451.370000005</v>
      </c>
      <c r="J555" s="205"/>
      <c r="K555" s="206"/>
      <c r="L555" s="206"/>
      <c r="M555" s="206"/>
      <c r="N555" s="206"/>
      <c r="O555" s="207"/>
      <c r="P555" s="208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79"/>
      <c r="AN555" s="45"/>
    </row>
    <row r="556" spans="2:40" x14ac:dyDescent="0.25">
      <c r="B556" s="192"/>
      <c r="C556" s="194"/>
      <c r="D556" s="194"/>
      <c r="E556" s="204"/>
      <c r="F556" s="210"/>
      <c r="G556" s="197"/>
      <c r="H556" s="215"/>
      <c r="I556" s="199">
        <f t="shared" si="48"/>
        <v>71415451.370000005</v>
      </c>
      <c r="J556" s="205"/>
      <c r="K556" s="206"/>
      <c r="L556" s="206"/>
      <c r="M556" s="206"/>
      <c r="N556" s="206"/>
      <c r="O556" s="207"/>
      <c r="P556" s="208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79"/>
      <c r="AN556" s="45"/>
    </row>
    <row r="557" spans="2:40" x14ac:dyDescent="0.25">
      <c r="B557" s="192"/>
      <c r="C557" s="194"/>
      <c r="D557" s="194"/>
      <c r="E557" s="204"/>
      <c r="F557" s="210"/>
      <c r="G557" s="197"/>
      <c r="H557" s="215"/>
      <c r="I557" s="199">
        <f t="shared" si="48"/>
        <v>71415451.370000005</v>
      </c>
      <c r="J557" s="205"/>
      <c r="K557" s="206"/>
      <c r="L557" s="206"/>
      <c r="M557" s="206"/>
      <c r="N557" s="206"/>
      <c r="O557" s="207"/>
      <c r="P557" s="208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79"/>
      <c r="AN557" s="45"/>
    </row>
    <row r="558" spans="2:40" x14ac:dyDescent="0.25">
      <c r="B558" s="192"/>
      <c r="C558" s="194"/>
      <c r="D558" s="194"/>
      <c r="E558" s="204"/>
      <c r="F558" s="210"/>
      <c r="G558" s="197"/>
      <c r="H558" s="215"/>
      <c r="I558" s="199">
        <f t="shared" si="48"/>
        <v>71415451.370000005</v>
      </c>
      <c r="J558" s="205"/>
      <c r="K558" s="206"/>
      <c r="L558" s="206"/>
      <c r="M558" s="206"/>
      <c r="N558" s="206"/>
      <c r="O558" s="207"/>
      <c r="P558" s="208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79"/>
      <c r="AN558" s="45"/>
    </row>
    <row r="559" spans="2:40" x14ac:dyDescent="0.25">
      <c r="B559" s="192"/>
      <c r="C559" s="194"/>
      <c r="D559" s="194"/>
      <c r="E559" s="204"/>
      <c r="F559" s="210"/>
      <c r="G559" s="197"/>
      <c r="H559" s="215"/>
      <c r="I559" s="199">
        <f t="shared" si="48"/>
        <v>71415451.370000005</v>
      </c>
      <c r="J559" s="205"/>
      <c r="K559" s="206"/>
      <c r="L559" s="206"/>
      <c r="M559" s="206"/>
      <c r="N559" s="206"/>
      <c r="O559" s="207"/>
      <c r="P559" s="208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79"/>
      <c r="AN559" s="45"/>
    </row>
    <row r="560" spans="2:40" x14ac:dyDescent="0.25">
      <c r="B560" s="192"/>
      <c r="C560" s="194"/>
      <c r="D560" s="194"/>
      <c r="E560" s="204"/>
      <c r="F560" s="210"/>
      <c r="G560" s="197"/>
      <c r="H560" s="215"/>
      <c r="I560" s="199">
        <f t="shared" si="48"/>
        <v>71415451.370000005</v>
      </c>
      <c r="J560" s="205"/>
      <c r="K560" s="206"/>
      <c r="L560" s="206"/>
      <c r="M560" s="206"/>
      <c r="N560" s="206"/>
      <c r="O560" s="207"/>
      <c r="P560" s="208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79"/>
      <c r="AN560" s="45"/>
    </row>
    <row r="561" spans="2:40" x14ac:dyDescent="0.25">
      <c r="B561" s="192"/>
      <c r="C561" s="194"/>
      <c r="D561" s="194"/>
      <c r="E561" s="204"/>
      <c r="F561" s="210"/>
      <c r="G561" s="197"/>
      <c r="H561" s="215"/>
      <c r="I561" s="199">
        <f t="shared" si="48"/>
        <v>71415451.370000005</v>
      </c>
      <c r="J561" s="205"/>
      <c r="K561" s="206"/>
      <c r="L561" s="206"/>
      <c r="M561" s="206"/>
      <c r="N561" s="206"/>
      <c r="O561" s="207"/>
      <c r="P561" s="208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79"/>
      <c r="AN561" s="45"/>
    </row>
    <row r="562" spans="2:40" x14ac:dyDescent="0.25">
      <c r="B562" s="192"/>
      <c r="C562" s="194"/>
      <c r="D562" s="194"/>
      <c r="E562" s="204"/>
      <c r="F562" s="210"/>
      <c r="G562" s="197"/>
      <c r="H562" s="215"/>
      <c r="I562" s="199">
        <f t="shared" si="48"/>
        <v>71415451.370000005</v>
      </c>
      <c r="J562" s="205"/>
      <c r="K562" s="206"/>
      <c r="L562" s="206"/>
      <c r="M562" s="206"/>
      <c r="N562" s="206"/>
      <c r="O562" s="207"/>
      <c r="P562" s="208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5"/>
      <c r="AI562" s="11"/>
      <c r="AJ562" s="11"/>
      <c r="AK562" s="11"/>
      <c r="AL562" s="11"/>
      <c r="AM562" s="79"/>
      <c r="AN562" s="45"/>
    </row>
    <row r="563" spans="2:40" x14ac:dyDescent="0.25">
      <c r="B563" s="192"/>
      <c r="C563" s="194"/>
      <c r="D563" s="194"/>
      <c r="E563" s="204"/>
      <c r="F563" s="210"/>
      <c r="G563" s="197"/>
      <c r="H563" s="215"/>
      <c r="I563" s="199">
        <f t="shared" si="48"/>
        <v>71415451.370000005</v>
      </c>
      <c r="J563" s="205"/>
      <c r="K563" s="206"/>
      <c r="L563" s="206"/>
      <c r="M563" s="206"/>
      <c r="N563" s="206"/>
      <c r="O563" s="207"/>
      <c r="P563" s="208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5"/>
      <c r="AI563" s="11"/>
      <c r="AJ563" s="11"/>
      <c r="AK563" s="11"/>
      <c r="AL563" s="11"/>
      <c r="AM563" s="79"/>
      <c r="AN563" s="45"/>
    </row>
    <row r="564" spans="2:40" x14ac:dyDescent="0.25">
      <c r="B564" s="192"/>
      <c r="C564" s="194"/>
      <c r="D564" s="194"/>
      <c r="E564" s="204"/>
      <c r="F564" s="210"/>
      <c r="G564" s="197"/>
      <c r="H564" s="215"/>
      <c r="I564" s="199">
        <f t="shared" si="48"/>
        <v>71415451.370000005</v>
      </c>
      <c r="J564" s="205"/>
      <c r="K564" s="206"/>
      <c r="L564" s="206"/>
      <c r="M564" s="206"/>
      <c r="N564" s="206"/>
      <c r="O564" s="207"/>
      <c r="P564" s="208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5"/>
      <c r="AI564" s="11"/>
      <c r="AJ564" s="11"/>
      <c r="AK564" s="11"/>
      <c r="AL564" s="11"/>
      <c r="AM564" s="79"/>
      <c r="AN564" s="45"/>
    </row>
    <row r="565" spans="2:40" x14ac:dyDescent="0.25">
      <c r="B565" s="192"/>
      <c r="C565" s="194"/>
      <c r="D565" s="194"/>
      <c r="E565" s="204"/>
      <c r="F565" s="210"/>
      <c r="G565" s="197"/>
      <c r="H565" s="215"/>
      <c r="I565" s="199">
        <f t="shared" si="48"/>
        <v>71415451.370000005</v>
      </c>
      <c r="J565" s="205"/>
      <c r="K565" s="206"/>
      <c r="L565" s="206"/>
      <c r="M565" s="206"/>
      <c r="N565" s="206"/>
      <c r="O565" s="207"/>
      <c r="P565" s="208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5"/>
      <c r="AI565" s="11"/>
      <c r="AJ565" s="11"/>
      <c r="AK565" s="11"/>
      <c r="AL565" s="11"/>
      <c r="AM565" s="79"/>
      <c r="AN565" s="45"/>
    </row>
    <row r="566" spans="2:40" x14ac:dyDescent="0.25">
      <c r="B566" s="192"/>
      <c r="C566" s="194"/>
      <c r="D566" s="194"/>
      <c r="E566" s="204"/>
      <c r="F566" s="210"/>
      <c r="G566" s="197"/>
      <c r="H566" s="215"/>
      <c r="I566" s="199">
        <f t="shared" si="48"/>
        <v>71415451.370000005</v>
      </c>
      <c r="J566" s="205"/>
      <c r="K566" s="206"/>
      <c r="L566" s="206"/>
      <c r="M566" s="206"/>
      <c r="N566" s="206"/>
      <c r="O566" s="207"/>
      <c r="P566" s="208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5"/>
      <c r="AI566" s="11"/>
      <c r="AJ566" s="11"/>
      <c r="AK566" s="11"/>
      <c r="AL566" s="11"/>
      <c r="AM566" s="79"/>
      <c r="AN566" s="45"/>
    </row>
    <row r="567" spans="2:40" x14ac:dyDescent="0.25">
      <c r="B567" s="192"/>
      <c r="C567" s="194"/>
      <c r="D567" s="194"/>
      <c r="E567" s="204"/>
      <c r="F567" s="210"/>
      <c r="G567" s="197"/>
      <c r="H567" s="215"/>
      <c r="I567" s="199">
        <f t="shared" si="48"/>
        <v>71415451.370000005</v>
      </c>
      <c r="J567" s="205"/>
      <c r="K567" s="206"/>
      <c r="L567" s="206"/>
      <c r="M567" s="206"/>
      <c r="N567" s="206"/>
      <c r="O567" s="207"/>
      <c r="P567" s="208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5"/>
      <c r="AI567" s="11"/>
      <c r="AJ567" s="11"/>
      <c r="AK567" s="11"/>
      <c r="AL567" s="11"/>
      <c r="AM567" s="79"/>
      <c r="AN567" s="45"/>
    </row>
    <row r="568" spans="2:40" x14ac:dyDescent="0.25">
      <c r="B568" s="192"/>
      <c r="C568" s="194"/>
      <c r="D568" s="194"/>
      <c r="E568" s="204"/>
      <c r="F568" s="210"/>
      <c r="G568" s="197"/>
      <c r="H568" s="215"/>
      <c r="I568" s="199">
        <f t="shared" si="48"/>
        <v>71415451.370000005</v>
      </c>
      <c r="J568" s="205"/>
      <c r="K568" s="206"/>
      <c r="L568" s="206"/>
      <c r="M568" s="206"/>
      <c r="N568" s="206"/>
      <c r="O568" s="207"/>
      <c r="P568" s="208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5"/>
      <c r="AI568" s="11"/>
      <c r="AJ568" s="11"/>
      <c r="AK568" s="11"/>
      <c r="AL568" s="11"/>
      <c r="AM568" s="79"/>
      <c r="AN568" s="45"/>
    </row>
    <row r="569" spans="2:40" x14ac:dyDescent="0.25">
      <c r="B569" s="192"/>
      <c r="C569" s="194"/>
      <c r="D569" s="194"/>
      <c r="E569" s="204"/>
      <c r="F569" s="210"/>
      <c r="G569" s="197"/>
      <c r="H569" s="215"/>
      <c r="I569" s="199">
        <f t="shared" si="48"/>
        <v>71415451.370000005</v>
      </c>
      <c r="J569" s="205"/>
      <c r="K569" s="206"/>
      <c r="L569" s="206"/>
      <c r="M569" s="206"/>
      <c r="N569" s="206"/>
      <c r="O569" s="207"/>
      <c r="P569" s="208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5"/>
      <c r="AI569" s="11"/>
      <c r="AJ569" s="11"/>
      <c r="AK569" s="11"/>
      <c r="AL569" s="11"/>
      <c r="AM569" s="79"/>
      <c r="AN569" s="45"/>
    </row>
    <row r="570" spans="2:40" x14ac:dyDescent="0.25">
      <c r="B570" s="192"/>
      <c r="C570" s="194"/>
      <c r="D570" s="194"/>
      <c r="E570" s="204"/>
      <c r="F570" s="210"/>
      <c r="G570" s="197"/>
      <c r="H570" s="215"/>
      <c r="I570" s="199">
        <f t="shared" si="48"/>
        <v>71415451.370000005</v>
      </c>
      <c r="J570" s="205"/>
      <c r="K570" s="206"/>
      <c r="L570" s="206"/>
      <c r="M570" s="206"/>
      <c r="N570" s="206"/>
      <c r="O570" s="207"/>
      <c r="P570" s="208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79"/>
      <c r="AN570" s="45"/>
    </row>
    <row r="571" spans="2:40" x14ac:dyDescent="0.25">
      <c r="B571" s="192"/>
      <c r="C571" s="194"/>
      <c r="D571" s="194"/>
      <c r="E571" s="204"/>
      <c r="F571" s="210"/>
      <c r="G571" s="197"/>
      <c r="H571" s="215"/>
      <c r="I571" s="199">
        <f t="shared" si="48"/>
        <v>71415451.370000005</v>
      </c>
      <c r="J571" s="205"/>
      <c r="K571" s="206"/>
      <c r="L571" s="206"/>
      <c r="M571" s="206"/>
      <c r="N571" s="206"/>
      <c r="O571" s="207"/>
      <c r="P571" s="208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79"/>
      <c r="AN571" s="45"/>
    </row>
    <row r="572" spans="2:40" x14ac:dyDescent="0.25">
      <c r="B572" s="192"/>
      <c r="C572" s="194"/>
      <c r="D572" s="194"/>
      <c r="E572" s="204"/>
      <c r="F572" s="210"/>
      <c r="G572" s="197"/>
      <c r="H572" s="215"/>
      <c r="I572" s="199">
        <f t="shared" si="48"/>
        <v>71415451.370000005</v>
      </c>
      <c r="J572" s="205"/>
      <c r="K572" s="206"/>
      <c r="L572" s="206"/>
      <c r="M572" s="206"/>
      <c r="N572" s="206"/>
      <c r="O572" s="207"/>
      <c r="P572" s="208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79"/>
      <c r="AN572" s="45"/>
    </row>
    <row r="573" spans="2:40" x14ac:dyDescent="0.25">
      <c r="B573" s="192"/>
      <c r="C573" s="194"/>
      <c r="D573" s="194"/>
      <c r="E573" s="204"/>
      <c r="F573" s="210"/>
      <c r="G573" s="197"/>
      <c r="H573" s="215"/>
      <c r="I573" s="199">
        <f t="shared" si="48"/>
        <v>71415451.370000005</v>
      </c>
      <c r="J573" s="205"/>
      <c r="K573" s="206"/>
      <c r="L573" s="206"/>
      <c r="M573" s="206"/>
      <c r="N573" s="206"/>
      <c r="O573" s="207"/>
      <c r="P573" s="208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79"/>
      <c r="AN573" s="45"/>
    </row>
    <row r="574" spans="2:40" x14ac:dyDescent="0.25">
      <c r="B574" s="192"/>
      <c r="C574" s="194"/>
      <c r="D574" s="194"/>
      <c r="E574" s="204"/>
      <c r="F574" s="210"/>
      <c r="G574" s="197"/>
      <c r="H574" s="215"/>
      <c r="I574" s="199">
        <f t="shared" si="48"/>
        <v>71415451.370000005</v>
      </c>
      <c r="J574" s="205"/>
      <c r="K574" s="206"/>
      <c r="L574" s="206"/>
      <c r="M574" s="206"/>
      <c r="N574" s="206"/>
      <c r="O574" s="207"/>
      <c r="P574" s="208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79"/>
      <c r="AN574" s="45"/>
    </row>
    <row r="575" spans="2:40" x14ac:dyDescent="0.25">
      <c r="B575" s="192"/>
      <c r="C575" s="194"/>
      <c r="D575" s="194"/>
      <c r="E575" s="204"/>
      <c r="F575" s="210"/>
      <c r="G575" s="197"/>
      <c r="H575" s="215"/>
      <c r="I575" s="199">
        <f t="shared" si="48"/>
        <v>71415451.370000005</v>
      </c>
      <c r="J575" s="205"/>
      <c r="K575" s="206"/>
      <c r="L575" s="206"/>
      <c r="M575" s="206"/>
      <c r="N575" s="206"/>
      <c r="O575" s="207"/>
      <c r="P575" s="208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79"/>
      <c r="AN575" s="45"/>
    </row>
    <row r="576" spans="2:40" x14ac:dyDescent="0.25">
      <c r="B576" s="192"/>
      <c r="C576" s="194"/>
      <c r="D576" s="194"/>
      <c r="E576" s="204"/>
      <c r="F576" s="210"/>
      <c r="G576" s="197"/>
      <c r="H576" s="215"/>
      <c r="I576" s="199">
        <f t="shared" si="48"/>
        <v>71415451.370000005</v>
      </c>
      <c r="J576" s="205"/>
      <c r="K576" s="206"/>
      <c r="L576" s="206"/>
      <c r="M576" s="206"/>
      <c r="N576" s="206"/>
      <c r="O576" s="207"/>
      <c r="P576" s="208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79"/>
      <c r="AN576" s="45"/>
    </row>
    <row r="577" spans="2:40" x14ac:dyDescent="0.25">
      <c r="B577" s="192"/>
      <c r="C577" s="194"/>
      <c r="D577" s="194"/>
      <c r="E577" s="204"/>
      <c r="F577" s="210"/>
      <c r="G577" s="197"/>
      <c r="H577" s="215"/>
      <c r="I577" s="199">
        <f t="shared" si="48"/>
        <v>71415451.370000005</v>
      </c>
      <c r="J577" s="205"/>
      <c r="K577" s="206"/>
      <c r="L577" s="206"/>
      <c r="M577" s="206"/>
      <c r="N577" s="206"/>
      <c r="O577" s="207"/>
      <c r="P577" s="208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79"/>
      <c r="AN577" s="45"/>
    </row>
    <row r="578" spans="2:40" x14ac:dyDescent="0.25">
      <c r="B578" s="192"/>
      <c r="C578" s="194"/>
      <c r="D578" s="194"/>
      <c r="E578" s="204"/>
      <c r="F578" s="210"/>
      <c r="G578" s="197"/>
      <c r="H578" s="215"/>
      <c r="I578" s="199">
        <f t="shared" si="48"/>
        <v>71415451.370000005</v>
      </c>
      <c r="J578" s="205"/>
      <c r="K578" s="206"/>
      <c r="L578" s="206"/>
      <c r="M578" s="206"/>
      <c r="N578" s="206"/>
      <c r="O578" s="207"/>
      <c r="P578" s="208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79"/>
      <c r="AN578" s="45"/>
    </row>
    <row r="579" spans="2:40" x14ac:dyDescent="0.25">
      <c r="B579" s="192"/>
      <c r="C579" s="194"/>
      <c r="D579" s="194"/>
      <c r="E579" s="204"/>
      <c r="F579" s="210"/>
      <c r="G579" s="197"/>
      <c r="H579" s="215"/>
      <c r="I579" s="199">
        <f t="shared" si="48"/>
        <v>71415451.370000005</v>
      </c>
      <c r="J579" s="205"/>
      <c r="K579" s="206"/>
      <c r="L579" s="206"/>
      <c r="M579" s="206"/>
      <c r="N579" s="206"/>
      <c r="O579" s="207"/>
      <c r="P579" s="208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79"/>
      <c r="AN579" s="45"/>
    </row>
    <row r="580" spans="2:40" x14ac:dyDescent="0.25">
      <c r="B580" s="192"/>
      <c r="C580" s="194"/>
      <c r="D580" s="194"/>
      <c r="E580" s="204"/>
      <c r="F580" s="210"/>
      <c r="G580" s="197"/>
      <c r="H580" s="215"/>
      <c r="I580" s="199">
        <f t="shared" si="48"/>
        <v>71415451.370000005</v>
      </c>
      <c r="J580" s="205"/>
      <c r="K580" s="206"/>
      <c r="L580" s="206"/>
      <c r="M580" s="206"/>
      <c r="N580" s="206"/>
      <c r="O580" s="207"/>
      <c r="P580" s="208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79"/>
      <c r="AN580" s="45"/>
    </row>
    <row r="581" spans="2:40" x14ac:dyDescent="0.25">
      <c r="B581" s="192"/>
      <c r="C581" s="194"/>
      <c r="D581" s="194"/>
      <c r="E581" s="204"/>
      <c r="F581" s="210"/>
      <c r="G581" s="197"/>
      <c r="H581" s="215"/>
      <c r="I581" s="199">
        <f t="shared" si="48"/>
        <v>71415451.370000005</v>
      </c>
      <c r="J581" s="205"/>
      <c r="K581" s="206"/>
      <c r="L581" s="206"/>
      <c r="M581" s="206"/>
      <c r="N581" s="206"/>
      <c r="O581" s="207"/>
      <c r="P581" s="208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79"/>
      <c r="AN581" s="45"/>
    </row>
    <row r="582" spans="2:40" x14ac:dyDescent="0.25">
      <c r="B582" s="192"/>
      <c r="C582" s="194"/>
      <c r="D582" s="194"/>
      <c r="E582" s="204"/>
      <c r="F582" s="210"/>
      <c r="G582" s="197"/>
      <c r="H582" s="215"/>
      <c r="I582" s="199">
        <f t="shared" si="48"/>
        <v>71415451.370000005</v>
      </c>
      <c r="J582" s="205"/>
      <c r="K582" s="206"/>
      <c r="L582" s="206"/>
      <c r="M582" s="206"/>
      <c r="N582" s="206"/>
      <c r="O582" s="207"/>
      <c r="P582" s="208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4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79"/>
      <c r="AN582" s="45"/>
    </row>
    <row r="583" spans="2:40" x14ac:dyDescent="0.25">
      <c r="B583" s="192"/>
      <c r="C583" s="194"/>
      <c r="D583" s="194"/>
      <c r="E583" s="204"/>
      <c r="F583" s="210"/>
      <c r="G583" s="197"/>
      <c r="H583" s="215"/>
      <c r="I583" s="199">
        <f t="shared" si="48"/>
        <v>71415451.370000005</v>
      </c>
      <c r="J583" s="205"/>
      <c r="K583" s="206"/>
      <c r="L583" s="206"/>
      <c r="M583" s="206"/>
      <c r="N583" s="206"/>
      <c r="O583" s="207"/>
      <c r="P583" s="208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79"/>
      <c r="AN583" s="45"/>
    </row>
    <row r="584" spans="2:40" x14ac:dyDescent="0.25">
      <c r="B584" s="192"/>
      <c r="C584" s="194"/>
      <c r="D584" s="194"/>
      <c r="E584" s="204"/>
      <c r="F584" s="210"/>
      <c r="G584" s="197"/>
      <c r="H584" s="215"/>
      <c r="I584" s="199">
        <f t="shared" si="48"/>
        <v>71415451.370000005</v>
      </c>
      <c r="J584" s="205"/>
      <c r="K584" s="206"/>
      <c r="L584" s="206"/>
      <c r="M584" s="206"/>
      <c r="N584" s="206"/>
      <c r="O584" s="207"/>
      <c r="P584" s="208"/>
      <c r="Q584" s="11"/>
      <c r="R584" s="11"/>
      <c r="S584" s="11"/>
      <c r="T584" s="11"/>
      <c r="U584" s="11"/>
      <c r="V584" s="209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79"/>
      <c r="AN584" s="45"/>
    </row>
    <row r="585" spans="2:40" x14ac:dyDescent="0.25">
      <c r="B585" s="192"/>
      <c r="C585" s="194"/>
      <c r="D585" s="194"/>
      <c r="E585" s="204"/>
      <c r="F585" s="210"/>
      <c r="G585" s="197"/>
      <c r="H585" s="215"/>
      <c r="I585" s="199">
        <f t="shared" si="48"/>
        <v>71415451.370000005</v>
      </c>
      <c r="J585" s="205"/>
      <c r="K585" s="206"/>
      <c r="L585" s="206"/>
      <c r="M585" s="206"/>
      <c r="N585" s="206"/>
      <c r="O585" s="207"/>
      <c r="P585" s="208"/>
      <c r="Q585" s="209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7"/>
      <c r="AK585" s="17"/>
      <c r="AL585" s="17"/>
      <c r="AM585" s="83"/>
      <c r="AN585" s="45"/>
    </row>
    <row r="586" spans="2:40" x14ac:dyDescent="0.25">
      <c r="B586" s="192"/>
      <c r="C586" s="194"/>
      <c r="D586" s="194"/>
      <c r="E586" s="204"/>
      <c r="F586" s="210"/>
      <c r="G586" s="197"/>
      <c r="H586" s="215"/>
      <c r="I586" s="199">
        <f t="shared" si="48"/>
        <v>71415451.370000005</v>
      </c>
      <c r="J586" s="205"/>
      <c r="K586" s="206"/>
      <c r="L586" s="206"/>
      <c r="M586" s="206"/>
      <c r="N586" s="206"/>
      <c r="O586" s="207"/>
      <c r="P586" s="208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8"/>
      <c r="AK586" s="18"/>
      <c r="AL586" s="18"/>
      <c r="AM586" s="84"/>
      <c r="AN586" s="45"/>
    </row>
    <row r="587" spans="2:40" x14ac:dyDescent="0.25">
      <c r="B587" s="192"/>
      <c r="C587" s="194"/>
      <c r="D587" s="194"/>
      <c r="E587" s="204"/>
      <c r="F587" s="210"/>
      <c r="G587" s="197"/>
      <c r="H587" s="215"/>
      <c r="I587" s="199">
        <f t="shared" si="48"/>
        <v>71415451.370000005</v>
      </c>
      <c r="J587" s="205"/>
      <c r="K587" s="206"/>
      <c r="L587" s="206"/>
      <c r="M587" s="206"/>
      <c r="N587" s="206"/>
      <c r="O587" s="207"/>
      <c r="P587" s="208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79"/>
      <c r="AN587" s="45"/>
    </row>
    <row r="588" spans="2:40" x14ac:dyDescent="0.25">
      <c r="B588" s="192"/>
      <c r="C588" s="194"/>
      <c r="D588" s="194"/>
      <c r="E588" s="204"/>
      <c r="F588" s="210"/>
      <c r="G588" s="197"/>
      <c r="H588" s="215"/>
      <c r="I588" s="199">
        <f t="shared" si="48"/>
        <v>71415451.370000005</v>
      </c>
      <c r="J588" s="205"/>
      <c r="K588" s="206"/>
      <c r="L588" s="206"/>
      <c r="M588" s="206"/>
      <c r="N588" s="206"/>
      <c r="O588" s="207"/>
      <c r="P588" s="208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8"/>
      <c r="AK588" s="18"/>
      <c r="AL588" s="18"/>
      <c r="AM588" s="84"/>
      <c r="AN588" s="45"/>
    </row>
    <row r="589" spans="2:40" x14ac:dyDescent="0.25">
      <c r="B589" s="192"/>
      <c r="C589" s="194"/>
      <c r="D589" s="194"/>
      <c r="E589" s="204"/>
      <c r="F589" s="210"/>
      <c r="G589" s="197"/>
      <c r="H589" s="215"/>
      <c r="I589" s="199">
        <f t="shared" si="48"/>
        <v>71415451.370000005</v>
      </c>
      <c r="J589" s="205"/>
      <c r="K589" s="206"/>
      <c r="L589" s="206"/>
      <c r="M589" s="206"/>
      <c r="N589" s="206"/>
      <c r="O589" s="207"/>
      <c r="P589" s="208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79"/>
      <c r="AN589" s="45"/>
    </row>
    <row r="590" spans="2:40" x14ac:dyDescent="0.25">
      <c r="B590" s="192"/>
      <c r="C590" s="194"/>
      <c r="D590" s="194"/>
      <c r="E590" s="204"/>
      <c r="F590" s="210"/>
      <c r="G590" s="197"/>
      <c r="H590" s="215"/>
      <c r="I590" s="199">
        <f t="shared" si="48"/>
        <v>71415451.370000005</v>
      </c>
      <c r="J590" s="205"/>
      <c r="K590" s="206"/>
      <c r="L590" s="206"/>
      <c r="M590" s="206"/>
      <c r="N590" s="206"/>
      <c r="O590" s="207"/>
      <c r="P590" s="208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79"/>
      <c r="AN590" s="45"/>
    </row>
    <row r="591" spans="2:40" ht="10" thickBot="1" x14ac:dyDescent="0.3">
      <c r="B591" s="192"/>
      <c r="C591" s="194"/>
      <c r="D591" s="194"/>
      <c r="E591" s="204"/>
      <c r="F591" s="210"/>
      <c r="G591" s="231"/>
      <c r="H591" s="232"/>
      <c r="I591" s="199">
        <f t="shared" si="48"/>
        <v>71415451.370000005</v>
      </c>
      <c r="J591" s="233"/>
      <c r="K591" s="234"/>
      <c r="L591" s="234"/>
      <c r="M591" s="234"/>
      <c r="N591" s="234"/>
      <c r="O591" s="235"/>
      <c r="P591" s="236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237"/>
      <c r="AC591" s="237"/>
      <c r="AD591" s="237"/>
      <c r="AE591" s="237"/>
      <c r="AF591" s="53"/>
      <c r="AG591" s="53"/>
      <c r="AH591" s="53"/>
      <c r="AI591" s="53"/>
      <c r="AJ591" s="53"/>
      <c r="AK591" s="53"/>
      <c r="AL591" s="53"/>
      <c r="AM591" s="85"/>
      <c r="AN591" s="55"/>
    </row>
    <row r="592" spans="2:40" ht="10" thickBot="1" x14ac:dyDescent="0.3">
      <c r="B592" s="238"/>
      <c r="C592" s="239"/>
      <c r="D592" s="239"/>
      <c r="E592" s="240"/>
      <c r="F592" s="241"/>
      <c r="G592" s="242">
        <f>SUM(G12:G591)</f>
        <v>166582662</v>
      </c>
      <c r="H592" s="243">
        <f>SUM(H12:H591)</f>
        <v>95167210.629999995</v>
      </c>
      <c r="I592" s="244">
        <f>G592-H592</f>
        <v>71415451.370000005</v>
      </c>
      <c r="J592" s="245">
        <f t="shared" ref="J592:O592" si="49">SUM(J16:J591)</f>
        <v>0</v>
      </c>
      <c r="K592" s="246">
        <f t="shared" si="49"/>
        <v>0</v>
      </c>
      <c r="L592" s="246">
        <f t="shared" si="49"/>
        <v>0</v>
      </c>
      <c r="M592" s="246">
        <f t="shared" si="49"/>
        <v>0</v>
      </c>
      <c r="N592" s="246">
        <f t="shared" si="49"/>
        <v>0</v>
      </c>
      <c r="O592" s="247">
        <f t="shared" si="49"/>
        <v>0</v>
      </c>
      <c r="P592" s="248">
        <f t="shared" ref="P592:AN592" si="50">SUM(P12:P591)</f>
        <v>36825800</v>
      </c>
      <c r="Q592" s="249">
        <f t="shared" si="50"/>
        <v>239800</v>
      </c>
      <c r="R592" s="248">
        <f t="shared" si="50"/>
        <v>0</v>
      </c>
      <c r="S592" s="249">
        <f t="shared" si="50"/>
        <v>8645500</v>
      </c>
      <c r="T592" s="248">
        <f t="shared" si="50"/>
        <v>514000</v>
      </c>
      <c r="U592" s="249">
        <f t="shared" si="50"/>
        <v>5668671</v>
      </c>
      <c r="V592" s="248">
        <f t="shared" si="50"/>
        <v>1876900</v>
      </c>
      <c r="W592" s="249">
        <f t="shared" si="50"/>
        <v>5501000</v>
      </c>
      <c r="X592" s="248">
        <f t="shared" si="50"/>
        <v>860000</v>
      </c>
      <c r="Y592" s="249">
        <f t="shared" si="50"/>
        <v>10890000</v>
      </c>
      <c r="Z592" s="248">
        <f t="shared" si="50"/>
        <v>0</v>
      </c>
      <c r="AA592" s="249">
        <f t="shared" si="50"/>
        <v>91000</v>
      </c>
      <c r="AB592" s="248">
        <f t="shared" si="50"/>
        <v>401650</v>
      </c>
      <c r="AC592" s="249">
        <f t="shared" si="50"/>
        <v>981500</v>
      </c>
      <c r="AD592" s="248">
        <f t="shared" si="50"/>
        <v>0</v>
      </c>
      <c r="AE592" s="249">
        <f t="shared" si="50"/>
        <v>3328257</v>
      </c>
      <c r="AF592" s="248">
        <f t="shared" si="50"/>
        <v>0</v>
      </c>
      <c r="AG592" s="249">
        <f t="shared" si="50"/>
        <v>707000</v>
      </c>
      <c r="AH592" s="248">
        <f t="shared" si="50"/>
        <v>0</v>
      </c>
      <c r="AI592" s="249">
        <f t="shared" si="50"/>
        <v>348000</v>
      </c>
      <c r="AJ592" s="248">
        <f t="shared" si="50"/>
        <v>1378500</v>
      </c>
      <c r="AK592" s="249">
        <f t="shared" si="50"/>
        <v>632061.63</v>
      </c>
      <c r="AL592" s="248">
        <f t="shared" si="50"/>
        <v>0</v>
      </c>
      <c r="AM592" s="249">
        <f t="shared" si="50"/>
        <v>0</v>
      </c>
      <c r="AN592" s="248">
        <f t="shared" si="50"/>
        <v>0</v>
      </c>
    </row>
    <row r="593" spans="3:34" x14ac:dyDescent="0.25">
      <c r="H593" s="8"/>
      <c r="I593" s="8"/>
      <c r="J593" s="8"/>
      <c r="K593" s="8"/>
      <c r="L593" s="8"/>
      <c r="M593" s="8"/>
      <c r="N593" s="8"/>
      <c r="O593" s="8"/>
      <c r="P593" s="4"/>
      <c r="S593" s="4"/>
      <c r="T593" s="4"/>
      <c r="U593" s="4"/>
      <c r="Z593" s="4"/>
      <c r="AB593" s="4"/>
      <c r="AC593" s="4"/>
      <c r="AD593" s="4"/>
      <c r="AE593" s="4"/>
      <c r="AH593" s="4"/>
    </row>
    <row r="594" spans="3:34" x14ac:dyDescent="0.25">
      <c r="H594" s="8"/>
      <c r="I594" s="8"/>
      <c r="J594" s="8"/>
      <c r="K594" s="8"/>
      <c r="L594" s="8"/>
      <c r="M594" s="8"/>
      <c r="N594" s="8"/>
      <c r="O594" s="8"/>
      <c r="P594" s="4"/>
      <c r="S594" s="4"/>
      <c r="T594" s="4"/>
      <c r="U594" s="4"/>
      <c r="Z594" s="4"/>
      <c r="AB594" s="4"/>
      <c r="AC594" s="4"/>
      <c r="AD594" s="4"/>
      <c r="AE594" s="4"/>
      <c r="AH594" s="4"/>
    </row>
    <row r="601" spans="3:34" x14ac:dyDescent="0.25">
      <c r="F601" s="138"/>
      <c r="H601" s="8"/>
    </row>
    <row r="602" spans="3:34" x14ac:dyDescent="0.25">
      <c r="F602" s="8"/>
    </row>
    <row r="603" spans="3:34" x14ac:dyDescent="0.25">
      <c r="F603" s="8"/>
    </row>
    <row r="605" spans="3:34" x14ac:dyDescent="0.25">
      <c r="C605" s="4" t="s">
        <v>354</v>
      </c>
    </row>
  </sheetData>
  <autoFilter ref="A13:AN592" xr:uid="{00000000-0009-0000-0000-000001000000}">
    <filterColumn colId="5">
      <filters>
        <filter val="Admin"/>
        <filter val="HR"/>
        <filter val="Logistics"/>
      </filters>
    </filterColumn>
  </autoFilter>
  <mergeCells count="13">
    <mergeCell ref="E12:E13"/>
    <mergeCell ref="S12:AL12"/>
    <mergeCell ref="B12:B13"/>
    <mergeCell ref="C12:C13"/>
    <mergeCell ref="D12:D13"/>
    <mergeCell ref="H12:H13"/>
    <mergeCell ref="F12:F13"/>
    <mergeCell ref="P11:AN11"/>
    <mergeCell ref="J11:O12"/>
    <mergeCell ref="AM12:AN12"/>
    <mergeCell ref="G12:G13"/>
    <mergeCell ref="I12:I13"/>
    <mergeCell ref="P12:R12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592"/>
  <sheetViews>
    <sheetView tabSelected="1" topLeftCell="B6" zoomScaleNormal="100" workbookViewId="0">
      <selection activeCell="D12" sqref="D12:D13"/>
    </sheetView>
  </sheetViews>
  <sheetFormatPr defaultColWidth="11.453125" defaultRowHeight="9.5" x14ac:dyDescent="0.25"/>
  <cols>
    <col min="1" max="1" width="2.453125" style="4" customWidth="1"/>
    <col min="2" max="2" width="8.36328125" style="4" bestFit="1" customWidth="1"/>
    <col min="3" max="3" width="25.1796875" style="4" customWidth="1"/>
    <col min="4" max="4" width="17.6328125" style="4" customWidth="1"/>
    <col min="5" max="5" width="11.6328125" style="4" customWidth="1"/>
    <col min="6" max="6" width="11.1796875" style="4" bestFit="1" customWidth="1"/>
    <col min="7" max="7" width="15.7265625" style="4" bestFit="1" customWidth="1"/>
    <col min="8" max="8" width="9.81640625" style="4" bestFit="1" customWidth="1"/>
    <col min="9" max="9" width="10.81640625" style="4" customWidth="1"/>
    <col min="10" max="10" width="7.08984375" style="4" customWidth="1"/>
    <col min="11" max="11" width="7.6328125" style="4" customWidth="1"/>
    <col min="12" max="12" width="7.54296875" style="4" customWidth="1"/>
    <col min="13" max="13" width="7.7265625" style="4" customWidth="1"/>
    <col min="14" max="14" width="6.36328125" style="4" bestFit="1" customWidth="1"/>
    <col min="15" max="15" width="7.453125" style="5" bestFit="1" customWidth="1"/>
    <col min="16" max="17" width="8.81640625" style="4" bestFit="1" customWidth="1"/>
    <col min="18" max="19" width="8.1796875" style="5" customWidth="1"/>
    <col min="20" max="20" width="8.453125" style="4" bestFit="1" customWidth="1"/>
    <col min="21" max="21" width="7.81640625" style="4" bestFit="1" customWidth="1"/>
    <col min="22" max="22" width="7.6328125" style="4" bestFit="1" customWidth="1"/>
    <col min="23" max="23" width="9.54296875" style="4" bestFit="1" customWidth="1"/>
    <col min="24" max="24" width="8.26953125" style="5" bestFit="1" customWidth="1"/>
    <col min="25" max="25" width="10" style="4" customWidth="1"/>
    <col min="26" max="26" width="8.453125" style="5" bestFit="1" customWidth="1"/>
    <col min="27" max="29" width="8.453125" style="5" customWidth="1"/>
    <col min="30" max="30" width="9.453125" style="4" bestFit="1" customWidth="1"/>
    <col min="31" max="31" width="9.08984375" style="4" bestFit="1" customWidth="1"/>
    <col min="32" max="32" width="7.81640625" style="5" bestFit="1" customWidth="1"/>
    <col min="33" max="33" width="8.1796875" style="4" bestFit="1" customWidth="1"/>
    <col min="34" max="34" width="9.26953125" style="4" bestFit="1" customWidth="1"/>
    <col min="35" max="36" width="9.26953125" style="4" customWidth="1"/>
    <col min="37" max="37" width="5.90625" style="4" bestFit="1" customWidth="1"/>
    <col min="38" max="38" width="6.6328125" style="4" customWidth="1"/>
    <col min="39" max="16384" width="11.453125" style="4"/>
  </cols>
  <sheetData>
    <row r="1" spans="2:38" x14ac:dyDescent="0.25"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3"/>
    </row>
    <row r="2" spans="2:38" x14ac:dyDescent="0.25"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1"/>
      <c r="R2" s="4"/>
      <c r="S2" s="4"/>
      <c r="X2" s="4"/>
      <c r="Z2" s="4"/>
      <c r="AA2" s="4"/>
      <c r="AB2" s="4"/>
      <c r="AC2" s="4"/>
      <c r="AF2" s="4"/>
    </row>
    <row r="3" spans="2:38" x14ac:dyDescent="0.25"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1"/>
      <c r="R3" s="4"/>
      <c r="S3" s="4"/>
      <c r="X3" s="4"/>
      <c r="Z3" s="4"/>
      <c r="AA3" s="4"/>
      <c r="AB3" s="4"/>
      <c r="AC3" s="4"/>
      <c r="AF3" s="4"/>
    </row>
    <row r="4" spans="2:38" x14ac:dyDescent="0.25">
      <c r="B4" s="1"/>
      <c r="C4" s="1"/>
      <c r="D4" s="1"/>
      <c r="E4" s="256"/>
      <c r="F4" s="1"/>
      <c r="G4" s="2"/>
      <c r="H4" s="2"/>
      <c r="I4" s="2"/>
      <c r="J4" s="2"/>
      <c r="K4" s="2"/>
      <c r="L4" s="2"/>
      <c r="M4" s="2"/>
      <c r="N4" s="2"/>
      <c r="O4" s="1"/>
      <c r="R4" s="4"/>
      <c r="S4" s="4"/>
      <c r="X4" s="4"/>
      <c r="Z4" s="4"/>
      <c r="AA4" s="4"/>
      <c r="AB4" s="4"/>
      <c r="AC4" s="4"/>
      <c r="AF4" s="4"/>
    </row>
    <row r="5" spans="2:38" x14ac:dyDescent="0.25"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1"/>
      <c r="R5" s="4"/>
      <c r="S5" s="4"/>
      <c r="X5" s="4"/>
      <c r="Z5" s="4"/>
      <c r="AA5" s="4"/>
      <c r="AB5" s="4"/>
      <c r="AC5" s="4"/>
      <c r="AF5" s="4"/>
    </row>
    <row r="6" spans="2:38" x14ac:dyDescent="0.25"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1"/>
      <c r="R6" s="4"/>
      <c r="S6" s="4"/>
      <c r="X6" s="4"/>
      <c r="Z6" s="4"/>
      <c r="AA6" s="4"/>
      <c r="AB6" s="4"/>
      <c r="AC6" s="4"/>
      <c r="AF6" s="4"/>
    </row>
    <row r="7" spans="2:38" x14ac:dyDescent="0.25"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1"/>
      <c r="R7" s="4"/>
      <c r="S7" s="4"/>
      <c r="X7" s="4"/>
      <c r="Z7" s="4"/>
      <c r="AA7" s="4"/>
      <c r="AB7" s="4"/>
      <c r="AC7" s="4"/>
      <c r="AF7" s="4"/>
    </row>
    <row r="8" spans="2:38" x14ac:dyDescent="0.25"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1"/>
      <c r="R8" s="4"/>
      <c r="S8" s="4"/>
      <c r="X8" s="4"/>
      <c r="Z8" s="4"/>
      <c r="AA8" s="4"/>
      <c r="AB8" s="4"/>
      <c r="AC8" s="4"/>
      <c r="AF8" s="4"/>
    </row>
    <row r="9" spans="2:38" x14ac:dyDescent="0.25"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1"/>
      <c r="R9" s="4"/>
      <c r="S9" s="4"/>
      <c r="X9" s="4"/>
      <c r="Z9" s="4"/>
      <c r="AA9" s="4"/>
      <c r="AB9" s="4"/>
      <c r="AC9" s="4"/>
      <c r="AF9" s="4"/>
    </row>
    <row r="10" spans="2:38" ht="10" thickBot="1" x14ac:dyDescent="0.3">
      <c r="B10" s="76" t="s">
        <v>25</v>
      </c>
      <c r="C10" s="76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1"/>
      <c r="R10" s="4"/>
      <c r="S10" s="4"/>
      <c r="X10" s="4"/>
      <c r="Z10" s="4"/>
      <c r="AA10" s="4"/>
      <c r="AB10" s="4"/>
      <c r="AC10" s="4"/>
      <c r="AF10" s="4"/>
    </row>
    <row r="11" spans="2:38" ht="10" thickBot="1" x14ac:dyDescent="0.3">
      <c r="B11" s="1"/>
      <c r="C11" s="1"/>
      <c r="D11" s="1"/>
      <c r="E11" s="1"/>
      <c r="F11" s="1"/>
      <c r="G11" s="2"/>
      <c r="H11" s="2"/>
      <c r="I11" s="317" t="s">
        <v>28</v>
      </c>
      <c r="J11" s="318"/>
      <c r="K11" s="318"/>
      <c r="L11" s="318"/>
      <c r="M11" s="318"/>
      <c r="N11" s="319"/>
      <c r="O11" s="323" t="s">
        <v>41</v>
      </c>
      <c r="P11" s="324"/>
      <c r="Q11" s="324"/>
      <c r="R11" s="324"/>
      <c r="S11" s="324"/>
      <c r="T11" s="324"/>
      <c r="U11" s="324"/>
      <c r="V11" s="324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  <c r="AK11" s="325"/>
      <c r="AL11" s="326"/>
    </row>
    <row r="12" spans="2:38" s="6" customFormat="1" ht="7.5" customHeight="1" thickBot="1" x14ac:dyDescent="0.4">
      <c r="B12" s="305" t="s">
        <v>26</v>
      </c>
      <c r="C12" s="299" t="s">
        <v>22</v>
      </c>
      <c r="D12" s="299" t="s">
        <v>27</v>
      </c>
      <c r="E12" s="307" t="s">
        <v>38</v>
      </c>
      <c r="F12" s="301" t="s">
        <v>23</v>
      </c>
      <c r="G12" s="303" t="s">
        <v>20</v>
      </c>
      <c r="H12" s="297" t="s">
        <v>21</v>
      </c>
      <c r="I12" s="320"/>
      <c r="J12" s="321"/>
      <c r="K12" s="321"/>
      <c r="L12" s="321"/>
      <c r="M12" s="321"/>
      <c r="N12" s="322"/>
      <c r="O12" s="309" t="s">
        <v>32</v>
      </c>
      <c r="P12" s="310"/>
      <c r="Q12" s="311"/>
      <c r="R12" s="312" t="s">
        <v>37</v>
      </c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4"/>
      <c r="AK12" s="315" t="s">
        <v>40</v>
      </c>
      <c r="AL12" s="316"/>
    </row>
    <row r="13" spans="2:38" s="6" customFormat="1" ht="36.5" thickBot="1" x14ac:dyDescent="0.4">
      <c r="B13" s="306"/>
      <c r="C13" s="300"/>
      <c r="D13" s="300"/>
      <c r="E13" s="308"/>
      <c r="F13" s="302"/>
      <c r="G13" s="304"/>
      <c r="H13" s="298"/>
      <c r="I13" s="56" t="s">
        <v>29</v>
      </c>
      <c r="J13" s="57" t="s">
        <v>30</v>
      </c>
      <c r="K13" s="57" t="s">
        <v>16</v>
      </c>
      <c r="L13" s="57" t="s">
        <v>35</v>
      </c>
      <c r="M13" s="57" t="s">
        <v>36</v>
      </c>
      <c r="N13" s="58" t="s">
        <v>31</v>
      </c>
      <c r="O13" s="59" t="s">
        <v>2</v>
      </c>
      <c r="P13" s="60" t="s">
        <v>3</v>
      </c>
      <c r="Q13" s="61" t="s">
        <v>33</v>
      </c>
      <c r="R13" s="60" t="s">
        <v>0</v>
      </c>
      <c r="S13" s="61" t="s">
        <v>1</v>
      </c>
      <c r="T13" s="61" t="s">
        <v>4</v>
      </c>
      <c r="U13" s="61" t="s">
        <v>5</v>
      </c>
      <c r="V13" s="61" t="s">
        <v>6</v>
      </c>
      <c r="W13" s="61" t="s">
        <v>7</v>
      </c>
      <c r="X13" s="60" t="s">
        <v>8</v>
      </c>
      <c r="Y13" s="61" t="s">
        <v>9</v>
      </c>
      <c r="Z13" s="60" t="s">
        <v>10</v>
      </c>
      <c r="AA13" s="60" t="s">
        <v>24</v>
      </c>
      <c r="AB13" s="60" t="s">
        <v>17</v>
      </c>
      <c r="AC13" s="60" t="s">
        <v>166</v>
      </c>
      <c r="AD13" s="61" t="s">
        <v>12</v>
      </c>
      <c r="AE13" s="61" t="s">
        <v>13</v>
      </c>
      <c r="AF13" s="60" t="s">
        <v>14</v>
      </c>
      <c r="AG13" s="61" t="s">
        <v>15</v>
      </c>
      <c r="AH13" s="61" t="s">
        <v>18</v>
      </c>
      <c r="AI13" s="61" t="s">
        <v>55</v>
      </c>
      <c r="AJ13" s="61" t="s">
        <v>39</v>
      </c>
      <c r="AK13" s="77" t="s">
        <v>31</v>
      </c>
      <c r="AL13" s="87" t="s">
        <v>16</v>
      </c>
    </row>
    <row r="14" spans="2:38" s="119" customFormat="1" ht="10" thickBot="1" x14ac:dyDescent="0.4">
      <c r="B14" s="107"/>
      <c r="C14" s="132"/>
      <c r="D14" s="132"/>
      <c r="E14" s="109"/>
      <c r="F14" s="128" t="s">
        <v>19</v>
      </c>
      <c r="G14" s="130" t="s">
        <v>19</v>
      </c>
      <c r="H14" s="110" t="s">
        <v>19</v>
      </c>
      <c r="I14" s="111" t="s">
        <v>19</v>
      </c>
      <c r="J14" s="112" t="s">
        <v>19</v>
      </c>
      <c r="K14" s="112" t="s">
        <v>19</v>
      </c>
      <c r="L14" s="112" t="s">
        <v>19</v>
      </c>
      <c r="M14" s="112" t="s">
        <v>19</v>
      </c>
      <c r="N14" s="113" t="s">
        <v>19</v>
      </c>
      <c r="O14" s="114" t="s">
        <v>19</v>
      </c>
      <c r="P14" s="115" t="s">
        <v>19</v>
      </c>
      <c r="Q14" s="115" t="s">
        <v>19</v>
      </c>
      <c r="R14" s="115" t="s">
        <v>19</v>
      </c>
      <c r="S14" s="115" t="s">
        <v>19</v>
      </c>
      <c r="T14" s="115" t="s">
        <v>19</v>
      </c>
      <c r="U14" s="115" t="s">
        <v>19</v>
      </c>
      <c r="V14" s="115" t="s">
        <v>19</v>
      </c>
      <c r="W14" s="115" t="s">
        <v>19</v>
      </c>
      <c r="X14" s="116" t="s">
        <v>19</v>
      </c>
      <c r="Y14" s="115" t="s">
        <v>19</v>
      </c>
      <c r="Z14" s="115" t="s">
        <v>19</v>
      </c>
      <c r="AA14" s="115" t="s">
        <v>19</v>
      </c>
      <c r="AB14" s="115" t="s">
        <v>19</v>
      </c>
      <c r="AC14" s="115" t="s">
        <v>19</v>
      </c>
      <c r="AD14" s="115" t="s">
        <v>19</v>
      </c>
      <c r="AE14" s="115" t="s">
        <v>19</v>
      </c>
      <c r="AF14" s="115" t="s">
        <v>19</v>
      </c>
      <c r="AG14" s="115" t="s">
        <v>19</v>
      </c>
      <c r="AH14" s="115" t="s">
        <v>19</v>
      </c>
      <c r="AI14" s="115"/>
      <c r="AJ14" s="115" t="s">
        <v>19</v>
      </c>
      <c r="AK14" s="117" t="s">
        <v>19</v>
      </c>
      <c r="AL14" s="118" t="s">
        <v>19</v>
      </c>
    </row>
    <row r="15" spans="2:38" s="119" customFormat="1" x14ac:dyDescent="0.2">
      <c r="B15" s="129">
        <v>44824</v>
      </c>
      <c r="C15" s="132" t="s">
        <v>181</v>
      </c>
      <c r="D15" s="132"/>
      <c r="E15" s="109"/>
      <c r="F15" s="128">
        <v>112000000</v>
      </c>
      <c r="G15" s="131"/>
      <c r="H15" s="73">
        <f>F15-G15</f>
        <v>112000000</v>
      </c>
      <c r="I15" s="120"/>
      <c r="J15" s="121"/>
      <c r="K15" s="121"/>
      <c r="L15" s="121"/>
      <c r="M15" s="121"/>
      <c r="N15" s="122"/>
      <c r="O15" s="123"/>
      <c r="P15" s="124"/>
      <c r="Q15" s="124"/>
      <c r="R15" s="124"/>
      <c r="S15" s="124"/>
      <c r="T15" s="124"/>
      <c r="U15" s="124"/>
      <c r="V15" s="124"/>
      <c r="W15" s="124"/>
      <c r="X15" s="125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6"/>
      <c r="AL15" s="127"/>
    </row>
    <row r="16" spans="2:38" x14ac:dyDescent="0.25">
      <c r="B16" s="88"/>
      <c r="C16" s="132" t="s">
        <v>183</v>
      </c>
      <c r="D16" s="132"/>
      <c r="E16" s="106"/>
      <c r="F16" s="128">
        <v>0</v>
      </c>
      <c r="G16" s="131">
        <v>36496350</v>
      </c>
      <c r="H16" s="74">
        <f>H15+F16-G16</f>
        <v>75503650</v>
      </c>
      <c r="I16" s="62"/>
      <c r="J16" s="63"/>
      <c r="K16" s="63"/>
      <c r="L16" s="63"/>
      <c r="M16" s="63"/>
      <c r="N16" s="64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>
        <v>50000</v>
      </c>
      <c r="AI16" s="66"/>
      <c r="AJ16" s="66"/>
      <c r="AK16" s="78"/>
      <c r="AL16" s="67"/>
    </row>
    <row r="17" spans="2:38" x14ac:dyDescent="0.25">
      <c r="B17" s="88"/>
      <c r="C17" s="132" t="s">
        <v>183</v>
      </c>
      <c r="D17" s="132"/>
      <c r="E17" s="106"/>
      <c r="F17" s="128">
        <v>0</v>
      </c>
      <c r="G17" s="131">
        <v>20000000</v>
      </c>
      <c r="H17" s="74">
        <f>H16+F17-G17</f>
        <v>55503650</v>
      </c>
      <c r="I17" s="35"/>
      <c r="J17" s="19"/>
      <c r="K17" s="19"/>
      <c r="L17" s="19"/>
      <c r="M17" s="19"/>
      <c r="N17" s="36"/>
      <c r="O17" s="22"/>
      <c r="P17" s="12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>
        <v>58500</v>
      </c>
      <c r="AJ17" s="11"/>
      <c r="AK17" s="79"/>
      <c r="AL17" s="45"/>
    </row>
    <row r="18" spans="2:38" x14ac:dyDescent="0.25">
      <c r="B18" s="88"/>
      <c r="C18" s="132" t="s">
        <v>183</v>
      </c>
      <c r="D18" s="132"/>
      <c r="E18" s="106"/>
      <c r="F18" s="128">
        <v>0</v>
      </c>
      <c r="G18" s="131">
        <v>20000000</v>
      </c>
      <c r="H18" s="74">
        <f t="shared" ref="H18:H81" si="0">H17+F18-G18</f>
        <v>35503650</v>
      </c>
      <c r="I18" s="35"/>
      <c r="J18" s="19"/>
      <c r="K18" s="19"/>
      <c r="L18" s="19"/>
      <c r="M18" s="19"/>
      <c r="N18" s="36"/>
      <c r="O18" s="22"/>
      <c r="P18" s="12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79"/>
      <c r="AL18" s="45"/>
    </row>
    <row r="19" spans="2:38" x14ac:dyDescent="0.25">
      <c r="B19" s="88">
        <v>44887</v>
      </c>
      <c r="C19" s="132" t="s">
        <v>183</v>
      </c>
      <c r="D19" s="132"/>
      <c r="E19" s="106"/>
      <c r="F19" s="128">
        <v>0</v>
      </c>
      <c r="G19" s="131">
        <v>20000000</v>
      </c>
      <c r="H19" s="74">
        <f t="shared" si="0"/>
        <v>15503650</v>
      </c>
      <c r="I19" s="35"/>
      <c r="J19" s="19"/>
      <c r="K19" s="19"/>
      <c r="L19" s="19"/>
      <c r="M19" s="19"/>
      <c r="N19" s="36"/>
      <c r="O19" s="22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79"/>
      <c r="AL19" s="45"/>
    </row>
    <row r="20" spans="2:38" x14ac:dyDescent="0.25">
      <c r="B20" s="88"/>
      <c r="C20" s="132" t="s">
        <v>329</v>
      </c>
      <c r="D20" s="255">
        <v>1350</v>
      </c>
      <c r="E20" s="106"/>
      <c r="F20" s="128">
        <v>0</v>
      </c>
      <c r="G20" s="131">
        <v>1005750</v>
      </c>
      <c r="H20" s="74">
        <f t="shared" si="0"/>
        <v>14497900</v>
      </c>
      <c r="I20" s="37"/>
      <c r="J20" s="20"/>
      <c r="K20" s="20"/>
      <c r="L20" s="20"/>
      <c r="M20" s="20"/>
      <c r="N20" s="38"/>
      <c r="O20" s="22"/>
      <c r="P20" s="11"/>
      <c r="Q20" s="13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79"/>
      <c r="AL20" s="45"/>
    </row>
    <row r="21" spans="2:38" x14ac:dyDescent="0.25">
      <c r="B21" s="88"/>
      <c r="C21" s="132"/>
      <c r="D21" s="132"/>
      <c r="E21" s="106"/>
      <c r="F21" s="128">
        <v>0</v>
      </c>
      <c r="G21" s="131"/>
      <c r="H21" s="74">
        <f t="shared" si="0"/>
        <v>14497900</v>
      </c>
      <c r="I21" s="35"/>
      <c r="J21" s="19"/>
      <c r="K21" s="19"/>
      <c r="L21" s="19"/>
      <c r="M21" s="19"/>
      <c r="N21" s="36"/>
      <c r="O21" s="22"/>
      <c r="P21" s="11"/>
      <c r="Q21" s="14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79"/>
      <c r="AL21" s="45"/>
    </row>
    <row r="22" spans="2:38" x14ac:dyDescent="0.25">
      <c r="B22" s="88"/>
      <c r="C22" s="132"/>
      <c r="D22" s="132"/>
      <c r="E22" s="106"/>
      <c r="F22" s="128">
        <v>0</v>
      </c>
      <c r="G22" s="131"/>
      <c r="H22" s="74">
        <f t="shared" si="0"/>
        <v>14497900</v>
      </c>
      <c r="I22" s="35"/>
      <c r="J22" s="19"/>
      <c r="K22" s="19"/>
      <c r="L22" s="19"/>
      <c r="M22" s="19"/>
      <c r="N22" s="36"/>
      <c r="O22" s="23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79"/>
      <c r="AL22" s="45"/>
    </row>
    <row r="23" spans="2:38" x14ac:dyDescent="0.25">
      <c r="B23" s="88"/>
      <c r="C23" s="132"/>
      <c r="D23" s="132"/>
      <c r="E23" s="106"/>
      <c r="F23" s="128">
        <v>0</v>
      </c>
      <c r="G23" s="131"/>
      <c r="H23" s="74">
        <f t="shared" si="0"/>
        <v>14497900</v>
      </c>
      <c r="I23" s="35"/>
      <c r="J23" s="19"/>
      <c r="K23" s="19"/>
      <c r="L23" s="19"/>
      <c r="M23" s="19"/>
      <c r="N23" s="36"/>
      <c r="O23" s="2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79"/>
      <c r="AL23" s="45"/>
    </row>
    <row r="24" spans="2:38" x14ac:dyDescent="0.25">
      <c r="B24" s="88"/>
      <c r="C24" s="132"/>
      <c r="D24" s="132"/>
      <c r="E24" s="106"/>
      <c r="F24" s="128">
        <v>0</v>
      </c>
      <c r="G24" s="131"/>
      <c r="H24" s="74">
        <f t="shared" si="0"/>
        <v>14497900</v>
      </c>
      <c r="I24" s="35"/>
      <c r="J24" s="19"/>
      <c r="K24" s="19"/>
      <c r="L24" s="19"/>
      <c r="M24" s="19"/>
      <c r="N24" s="36"/>
      <c r="O24" s="2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79"/>
      <c r="AL24" s="45"/>
    </row>
    <row r="25" spans="2:38" x14ac:dyDescent="0.25">
      <c r="B25" s="88"/>
      <c r="C25" s="132"/>
      <c r="D25" s="132"/>
      <c r="E25" s="106"/>
      <c r="F25" s="128">
        <v>0</v>
      </c>
      <c r="G25" s="131"/>
      <c r="H25" s="74">
        <f t="shared" si="0"/>
        <v>14497900</v>
      </c>
      <c r="I25" s="35"/>
      <c r="J25" s="19"/>
      <c r="K25" s="19"/>
      <c r="L25" s="19"/>
      <c r="M25" s="19"/>
      <c r="N25" s="36"/>
      <c r="O25" s="22"/>
      <c r="P25" s="11"/>
      <c r="Q25" s="14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79"/>
      <c r="AL25" s="45"/>
    </row>
    <row r="26" spans="2:38" x14ac:dyDescent="0.25">
      <c r="B26" s="88"/>
      <c r="C26" s="132"/>
      <c r="D26" s="132"/>
      <c r="E26" s="106"/>
      <c r="F26" s="128">
        <v>0</v>
      </c>
      <c r="G26" s="131"/>
      <c r="H26" s="74">
        <f t="shared" si="0"/>
        <v>14497900</v>
      </c>
      <c r="I26" s="35"/>
      <c r="J26" s="19"/>
      <c r="K26" s="19"/>
      <c r="L26" s="19"/>
      <c r="M26" s="19"/>
      <c r="N26" s="36"/>
      <c r="O26" s="22"/>
      <c r="P26" s="12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79"/>
      <c r="AL26" s="45"/>
    </row>
    <row r="27" spans="2:38" x14ac:dyDescent="0.25">
      <c r="B27" s="88"/>
      <c r="C27" s="132"/>
      <c r="D27" s="132"/>
      <c r="E27" s="106"/>
      <c r="F27" s="128">
        <v>0</v>
      </c>
      <c r="G27" s="131"/>
      <c r="H27" s="74">
        <f t="shared" si="0"/>
        <v>14497900</v>
      </c>
      <c r="I27" s="35"/>
      <c r="J27" s="19"/>
      <c r="K27" s="19"/>
      <c r="L27" s="19"/>
      <c r="M27" s="19"/>
      <c r="N27" s="36"/>
      <c r="O27" s="22"/>
      <c r="P27" s="11"/>
      <c r="Q27" s="11"/>
      <c r="R27" s="11"/>
      <c r="S27" s="11"/>
      <c r="T27" s="11"/>
      <c r="U27" s="12"/>
      <c r="V27" s="12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79"/>
      <c r="AL27" s="45"/>
    </row>
    <row r="28" spans="2:38" x14ac:dyDescent="0.25">
      <c r="B28" s="88"/>
      <c r="C28" s="132"/>
      <c r="D28" s="132"/>
      <c r="E28" s="106"/>
      <c r="F28" s="128">
        <v>0</v>
      </c>
      <c r="G28" s="131"/>
      <c r="H28" s="74">
        <f t="shared" si="0"/>
        <v>14497900</v>
      </c>
      <c r="I28" s="35"/>
      <c r="J28" s="19"/>
      <c r="K28" s="19"/>
      <c r="L28" s="19"/>
      <c r="M28" s="19"/>
      <c r="N28" s="36"/>
      <c r="O28" s="22"/>
      <c r="P28" s="11"/>
      <c r="Q28" s="11"/>
      <c r="R28" s="11"/>
      <c r="S28" s="11"/>
      <c r="T28" s="11"/>
      <c r="U28" s="12"/>
      <c r="V28" s="12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79"/>
      <c r="AL28" s="45"/>
    </row>
    <row r="29" spans="2:38" x14ac:dyDescent="0.25">
      <c r="B29" s="88"/>
      <c r="C29" s="132"/>
      <c r="D29" s="132"/>
      <c r="E29" s="106"/>
      <c r="F29" s="128">
        <v>0</v>
      </c>
      <c r="G29" s="131"/>
      <c r="H29" s="74">
        <f t="shared" si="0"/>
        <v>14497900</v>
      </c>
      <c r="I29" s="35"/>
      <c r="J29" s="19"/>
      <c r="K29" s="19"/>
      <c r="L29" s="19"/>
      <c r="M29" s="19"/>
      <c r="N29" s="36"/>
      <c r="O29" s="22"/>
      <c r="P29" s="11"/>
      <c r="Q29" s="11"/>
      <c r="R29" s="11"/>
      <c r="S29" s="11"/>
      <c r="T29" s="11"/>
      <c r="U29" s="11"/>
      <c r="V29" s="11"/>
      <c r="W29" s="16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79"/>
      <c r="AL29" s="45"/>
    </row>
    <row r="30" spans="2:38" x14ac:dyDescent="0.25">
      <c r="B30" s="88"/>
      <c r="C30" s="132"/>
      <c r="D30" s="132"/>
      <c r="E30" s="106"/>
      <c r="F30" s="128">
        <v>0</v>
      </c>
      <c r="G30" s="131"/>
      <c r="H30" s="74">
        <f t="shared" si="0"/>
        <v>14497900</v>
      </c>
      <c r="I30" s="35"/>
      <c r="J30" s="19"/>
      <c r="K30" s="19"/>
      <c r="L30" s="19"/>
      <c r="M30" s="19"/>
      <c r="N30" s="36"/>
      <c r="O30" s="22"/>
      <c r="P30" s="11"/>
      <c r="Q30" s="11"/>
      <c r="R30" s="11"/>
      <c r="S30" s="11"/>
      <c r="T30" s="11"/>
      <c r="U30" s="11"/>
      <c r="V30" s="11"/>
      <c r="W30" s="16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79"/>
      <c r="AL30" s="45"/>
    </row>
    <row r="31" spans="2:38" x14ac:dyDescent="0.25">
      <c r="B31" s="88"/>
      <c r="C31" s="132"/>
      <c r="D31" s="132"/>
      <c r="E31" s="106"/>
      <c r="F31" s="128">
        <v>0</v>
      </c>
      <c r="G31" s="131"/>
      <c r="H31" s="74">
        <f t="shared" si="0"/>
        <v>14497900</v>
      </c>
      <c r="I31" s="35"/>
      <c r="J31" s="19"/>
      <c r="K31" s="19"/>
      <c r="L31" s="19"/>
      <c r="M31" s="19"/>
      <c r="N31" s="36"/>
      <c r="O31" s="22"/>
      <c r="P31" s="11"/>
      <c r="Q31" s="11"/>
      <c r="R31" s="11"/>
      <c r="S31" s="11"/>
      <c r="T31" s="11"/>
      <c r="U31" s="11"/>
      <c r="V31" s="11"/>
      <c r="W31" s="11"/>
      <c r="X31" s="14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79"/>
      <c r="AL31" s="45"/>
    </row>
    <row r="32" spans="2:38" x14ac:dyDescent="0.25">
      <c r="B32" s="88"/>
      <c r="C32" s="132"/>
      <c r="D32" s="132"/>
      <c r="E32" s="106"/>
      <c r="F32" s="128">
        <v>0</v>
      </c>
      <c r="G32" s="131"/>
      <c r="H32" s="74">
        <f t="shared" si="0"/>
        <v>14497900</v>
      </c>
      <c r="I32" s="35"/>
      <c r="J32" s="19"/>
      <c r="K32" s="19"/>
      <c r="L32" s="19"/>
      <c r="M32" s="19"/>
      <c r="N32" s="36"/>
      <c r="O32" s="22"/>
      <c r="P32" s="11"/>
      <c r="Q32" s="11"/>
      <c r="R32" s="11"/>
      <c r="S32" s="11"/>
      <c r="T32" s="11"/>
      <c r="U32" s="11"/>
      <c r="V32" s="11"/>
      <c r="W32" s="16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79"/>
      <c r="AL32" s="45"/>
    </row>
    <row r="33" spans="2:38" x14ac:dyDescent="0.25">
      <c r="B33" s="88"/>
      <c r="C33" s="132"/>
      <c r="D33" s="132"/>
      <c r="E33" s="106"/>
      <c r="F33" s="128">
        <v>0</v>
      </c>
      <c r="G33" s="131"/>
      <c r="H33" s="74">
        <f t="shared" si="0"/>
        <v>14497900</v>
      </c>
      <c r="I33" s="35"/>
      <c r="J33" s="19"/>
      <c r="K33" s="19"/>
      <c r="L33" s="19"/>
      <c r="M33" s="19"/>
      <c r="N33" s="36"/>
      <c r="O33" s="22"/>
      <c r="P33" s="11"/>
      <c r="Q33" s="11"/>
      <c r="R33" s="11"/>
      <c r="S33" s="11"/>
      <c r="T33" s="11"/>
      <c r="U33" s="11"/>
      <c r="V33" s="11"/>
      <c r="W33" s="16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79"/>
      <c r="AL33" s="45"/>
    </row>
    <row r="34" spans="2:38" x14ac:dyDescent="0.25">
      <c r="B34" s="88"/>
      <c r="C34" s="132"/>
      <c r="D34" s="132"/>
      <c r="E34" s="106"/>
      <c r="F34" s="128">
        <v>0</v>
      </c>
      <c r="G34" s="131"/>
      <c r="H34" s="74">
        <f t="shared" si="0"/>
        <v>14497900</v>
      </c>
      <c r="I34" s="35"/>
      <c r="J34" s="19"/>
      <c r="K34" s="19"/>
      <c r="L34" s="19"/>
      <c r="M34" s="19"/>
      <c r="N34" s="36"/>
      <c r="O34" s="22"/>
      <c r="P34" s="11"/>
      <c r="Q34" s="11"/>
      <c r="R34" s="11"/>
      <c r="S34" s="11"/>
      <c r="T34" s="11"/>
      <c r="U34" s="11"/>
      <c r="V34" s="11"/>
      <c r="W34" s="16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79"/>
      <c r="AL34" s="45"/>
    </row>
    <row r="35" spans="2:38" x14ac:dyDescent="0.25">
      <c r="B35" s="88"/>
      <c r="C35" s="132"/>
      <c r="D35" s="132"/>
      <c r="E35" s="106"/>
      <c r="F35" s="128">
        <v>0</v>
      </c>
      <c r="G35" s="131"/>
      <c r="H35" s="74">
        <f t="shared" si="0"/>
        <v>14497900</v>
      </c>
      <c r="I35" s="35"/>
      <c r="J35" s="19"/>
      <c r="K35" s="19"/>
      <c r="L35" s="19"/>
      <c r="M35" s="19"/>
      <c r="N35" s="36"/>
      <c r="O35" s="22"/>
      <c r="P35" s="11"/>
      <c r="Q35" s="11"/>
      <c r="R35" s="11"/>
      <c r="S35" s="11"/>
      <c r="T35" s="11"/>
      <c r="U35" s="11"/>
      <c r="V35" s="11"/>
      <c r="W35" s="16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79"/>
      <c r="AL35" s="45"/>
    </row>
    <row r="36" spans="2:38" x14ac:dyDescent="0.25">
      <c r="B36" s="88"/>
      <c r="C36" s="132"/>
      <c r="D36" s="132"/>
      <c r="E36" s="106"/>
      <c r="F36" s="128">
        <v>0</v>
      </c>
      <c r="G36" s="131"/>
      <c r="H36" s="74">
        <f t="shared" si="0"/>
        <v>14497900</v>
      </c>
      <c r="I36" s="35"/>
      <c r="J36" s="19"/>
      <c r="K36" s="19"/>
      <c r="L36" s="19"/>
      <c r="M36" s="19"/>
      <c r="N36" s="36"/>
      <c r="O36" s="2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79"/>
      <c r="AL36" s="45"/>
    </row>
    <row r="37" spans="2:38" x14ac:dyDescent="0.25">
      <c r="B37" s="88"/>
      <c r="C37" s="132"/>
      <c r="D37" s="132"/>
      <c r="E37" s="106"/>
      <c r="F37" s="128">
        <v>0</v>
      </c>
      <c r="G37" s="131"/>
      <c r="H37" s="74">
        <f t="shared" si="0"/>
        <v>14497900</v>
      </c>
      <c r="I37" s="35"/>
      <c r="J37" s="19"/>
      <c r="K37" s="19"/>
      <c r="L37" s="19"/>
      <c r="M37" s="19"/>
      <c r="N37" s="36"/>
      <c r="O37" s="2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79"/>
      <c r="AL37" s="45"/>
    </row>
    <row r="38" spans="2:38" x14ac:dyDescent="0.25">
      <c r="B38" s="88"/>
      <c r="C38" s="132"/>
      <c r="D38" s="132"/>
      <c r="E38" s="106"/>
      <c r="F38" s="128">
        <v>0</v>
      </c>
      <c r="G38" s="131"/>
      <c r="H38" s="74">
        <f t="shared" si="0"/>
        <v>14497900</v>
      </c>
      <c r="I38" s="35"/>
      <c r="J38" s="19"/>
      <c r="K38" s="19"/>
      <c r="L38" s="19"/>
      <c r="M38" s="19"/>
      <c r="N38" s="36"/>
      <c r="O38" s="22"/>
      <c r="P38" s="11"/>
      <c r="Q38" s="11"/>
      <c r="R38" s="11"/>
      <c r="S38" s="11"/>
      <c r="T38" s="11"/>
      <c r="U38" s="14"/>
      <c r="V38" s="14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79"/>
      <c r="AL38" s="45"/>
    </row>
    <row r="39" spans="2:38" x14ac:dyDescent="0.25">
      <c r="B39" s="88"/>
      <c r="C39" s="132"/>
      <c r="D39" s="132"/>
      <c r="E39" s="106"/>
      <c r="F39" s="128">
        <v>0</v>
      </c>
      <c r="G39" s="131"/>
      <c r="H39" s="74">
        <f t="shared" si="0"/>
        <v>14497900</v>
      </c>
      <c r="I39" s="35"/>
      <c r="J39" s="19"/>
      <c r="K39" s="19"/>
      <c r="L39" s="19"/>
      <c r="M39" s="19"/>
      <c r="N39" s="36"/>
      <c r="O39" s="24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79"/>
      <c r="AL39" s="45"/>
    </row>
    <row r="40" spans="2:38" x14ac:dyDescent="0.25">
      <c r="B40" s="88"/>
      <c r="C40" s="132"/>
      <c r="D40" s="132"/>
      <c r="E40" s="106"/>
      <c r="F40" s="128">
        <v>0</v>
      </c>
      <c r="G40" s="131"/>
      <c r="H40" s="74">
        <f t="shared" si="0"/>
        <v>14497900</v>
      </c>
      <c r="I40" s="35"/>
      <c r="J40" s="19"/>
      <c r="K40" s="19"/>
      <c r="L40" s="19"/>
      <c r="M40" s="19"/>
      <c r="N40" s="36"/>
      <c r="O40" s="22"/>
      <c r="P40" s="11"/>
      <c r="Q40" s="11"/>
      <c r="R40" s="11"/>
      <c r="S40" s="11"/>
      <c r="T40" s="11"/>
      <c r="U40" s="11"/>
      <c r="V40" s="11"/>
      <c r="W40" s="11"/>
      <c r="X40" s="14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79"/>
      <c r="AL40" s="45"/>
    </row>
    <row r="41" spans="2:38" x14ac:dyDescent="0.25">
      <c r="B41" s="88"/>
      <c r="C41" s="132"/>
      <c r="D41" s="132"/>
      <c r="E41" s="106"/>
      <c r="F41" s="128">
        <v>0</v>
      </c>
      <c r="G41" s="131"/>
      <c r="H41" s="74">
        <f t="shared" si="0"/>
        <v>14497900</v>
      </c>
      <c r="I41" s="35"/>
      <c r="J41" s="19"/>
      <c r="K41" s="19"/>
      <c r="L41" s="19"/>
      <c r="M41" s="19"/>
      <c r="N41" s="36"/>
      <c r="O41" s="22"/>
      <c r="P41" s="11"/>
      <c r="Q41" s="11"/>
      <c r="R41" s="11"/>
      <c r="S41" s="11"/>
      <c r="T41" s="14"/>
      <c r="U41" s="11"/>
      <c r="V41" s="11"/>
      <c r="W41" s="11"/>
      <c r="X41" s="11"/>
      <c r="Y41" s="11"/>
      <c r="Z41" s="11"/>
      <c r="AA41" s="14"/>
      <c r="AB41" s="14"/>
      <c r="AC41" s="11"/>
      <c r="AD41" s="11"/>
      <c r="AE41" s="11"/>
      <c r="AF41" s="11"/>
      <c r="AG41" s="11"/>
      <c r="AH41" s="11"/>
      <c r="AI41" s="11"/>
      <c r="AJ41" s="11"/>
      <c r="AK41" s="79"/>
      <c r="AL41" s="45"/>
    </row>
    <row r="42" spans="2:38" x14ac:dyDescent="0.25">
      <c r="B42" s="88"/>
      <c r="C42" s="132"/>
      <c r="D42" s="132"/>
      <c r="E42" s="106"/>
      <c r="F42" s="128">
        <v>0</v>
      </c>
      <c r="G42" s="131"/>
      <c r="H42" s="74">
        <f t="shared" si="0"/>
        <v>14497900</v>
      </c>
      <c r="I42" s="35"/>
      <c r="J42" s="19"/>
      <c r="K42" s="19"/>
      <c r="L42" s="19"/>
      <c r="M42" s="19"/>
      <c r="N42" s="36"/>
      <c r="O42" s="2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79"/>
      <c r="AL42" s="45"/>
    </row>
    <row r="43" spans="2:38" x14ac:dyDescent="0.25">
      <c r="B43" s="88"/>
      <c r="C43" s="132"/>
      <c r="D43" s="132"/>
      <c r="E43" s="106"/>
      <c r="F43" s="128">
        <v>0</v>
      </c>
      <c r="G43" s="131"/>
      <c r="H43" s="74">
        <f t="shared" si="0"/>
        <v>14497900</v>
      </c>
      <c r="I43" s="35"/>
      <c r="J43" s="19"/>
      <c r="K43" s="19"/>
      <c r="L43" s="19"/>
      <c r="M43" s="19"/>
      <c r="N43" s="36"/>
      <c r="O43" s="22"/>
      <c r="P43" s="11"/>
      <c r="Q43" s="11"/>
      <c r="R43" s="11"/>
      <c r="S43" s="11"/>
      <c r="T43" s="11"/>
      <c r="U43" s="11"/>
      <c r="V43" s="11"/>
      <c r="W43" s="16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79"/>
      <c r="AL43" s="45"/>
    </row>
    <row r="44" spans="2:38" x14ac:dyDescent="0.25">
      <c r="B44" s="88"/>
      <c r="C44" s="132"/>
      <c r="D44" s="132"/>
      <c r="E44" s="106"/>
      <c r="F44" s="128">
        <v>0</v>
      </c>
      <c r="G44" s="131"/>
      <c r="H44" s="74">
        <f t="shared" si="0"/>
        <v>14497900</v>
      </c>
      <c r="I44" s="35"/>
      <c r="J44" s="19"/>
      <c r="K44" s="19"/>
      <c r="L44" s="19"/>
      <c r="M44" s="19"/>
      <c r="N44" s="36"/>
      <c r="O44" s="22"/>
      <c r="P44" s="11"/>
      <c r="Q44" s="11"/>
      <c r="R44" s="11"/>
      <c r="S44" s="11"/>
      <c r="T44" s="11"/>
      <c r="U44" s="11"/>
      <c r="V44" s="11"/>
      <c r="W44" s="16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79"/>
      <c r="AL44" s="45"/>
    </row>
    <row r="45" spans="2:38" x14ac:dyDescent="0.25">
      <c r="B45" s="88"/>
      <c r="C45" s="132"/>
      <c r="D45" s="132"/>
      <c r="E45" s="106"/>
      <c r="F45" s="128">
        <v>0</v>
      </c>
      <c r="G45" s="131"/>
      <c r="H45" s="74">
        <f t="shared" si="0"/>
        <v>14497900</v>
      </c>
      <c r="I45" s="35"/>
      <c r="J45" s="19"/>
      <c r="K45" s="19"/>
      <c r="L45" s="19"/>
      <c r="M45" s="19"/>
      <c r="N45" s="36"/>
      <c r="O45" s="2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79"/>
      <c r="AL45" s="45"/>
    </row>
    <row r="46" spans="2:38" x14ac:dyDescent="0.25">
      <c r="B46" s="88"/>
      <c r="C46" s="132"/>
      <c r="D46" s="132"/>
      <c r="E46" s="106"/>
      <c r="F46" s="128">
        <v>0</v>
      </c>
      <c r="G46" s="131"/>
      <c r="H46" s="74">
        <f t="shared" si="0"/>
        <v>14497900</v>
      </c>
      <c r="I46" s="35"/>
      <c r="J46" s="19"/>
      <c r="K46" s="19"/>
      <c r="L46" s="19"/>
      <c r="M46" s="19"/>
      <c r="N46" s="36"/>
      <c r="O46" s="22"/>
      <c r="P46" s="11"/>
      <c r="Q46" s="11"/>
      <c r="R46" s="11"/>
      <c r="S46" s="11"/>
      <c r="T46" s="11"/>
      <c r="U46" s="11"/>
      <c r="V46" s="11"/>
      <c r="W46" s="16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79"/>
      <c r="AL46" s="45"/>
    </row>
    <row r="47" spans="2:38" x14ac:dyDescent="0.25">
      <c r="B47" s="88"/>
      <c r="C47" s="132"/>
      <c r="D47" s="132"/>
      <c r="E47" s="106"/>
      <c r="F47" s="128">
        <v>0</v>
      </c>
      <c r="G47" s="131"/>
      <c r="H47" s="74">
        <f t="shared" si="0"/>
        <v>14497900</v>
      </c>
      <c r="I47" s="35"/>
      <c r="J47" s="19"/>
      <c r="K47" s="19"/>
      <c r="L47" s="19"/>
      <c r="M47" s="19"/>
      <c r="N47" s="36"/>
      <c r="O47" s="22"/>
      <c r="P47" s="11"/>
      <c r="Q47" s="11"/>
      <c r="R47" s="11"/>
      <c r="S47" s="11"/>
      <c r="T47" s="11"/>
      <c r="U47" s="11"/>
      <c r="V47" s="11"/>
      <c r="W47" s="16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79"/>
      <c r="AL47" s="45"/>
    </row>
    <row r="48" spans="2:38" x14ac:dyDescent="0.25">
      <c r="B48" s="88"/>
      <c r="C48" s="132"/>
      <c r="D48" s="132"/>
      <c r="E48" s="106"/>
      <c r="F48" s="128">
        <v>0</v>
      </c>
      <c r="G48" s="131"/>
      <c r="H48" s="74">
        <f t="shared" si="0"/>
        <v>14497900</v>
      </c>
      <c r="I48" s="35"/>
      <c r="J48" s="19"/>
      <c r="K48" s="19"/>
      <c r="L48" s="19"/>
      <c r="M48" s="19"/>
      <c r="N48" s="36"/>
      <c r="O48" s="22"/>
      <c r="P48" s="11"/>
      <c r="Q48" s="11"/>
      <c r="R48" s="11"/>
      <c r="S48" s="11"/>
      <c r="T48" s="11"/>
      <c r="U48" s="11"/>
      <c r="V48" s="11"/>
      <c r="W48" s="16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79"/>
      <c r="AL48" s="45"/>
    </row>
    <row r="49" spans="2:38" x14ac:dyDescent="0.25">
      <c r="B49" s="88"/>
      <c r="C49" s="132"/>
      <c r="D49" s="132"/>
      <c r="E49" s="106"/>
      <c r="F49" s="128">
        <v>0</v>
      </c>
      <c r="G49" s="131"/>
      <c r="H49" s="74">
        <f t="shared" si="0"/>
        <v>14497900</v>
      </c>
      <c r="I49" s="35"/>
      <c r="J49" s="19"/>
      <c r="K49" s="19"/>
      <c r="L49" s="19"/>
      <c r="M49" s="19"/>
      <c r="N49" s="36"/>
      <c r="O49" s="22"/>
      <c r="P49" s="11"/>
      <c r="Q49" s="11"/>
      <c r="R49" s="11"/>
      <c r="S49" s="11"/>
      <c r="T49" s="11"/>
      <c r="U49" s="11"/>
      <c r="V49" s="11"/>
      <c r="W49" s="16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79"/>
      <c r="AL49" s="45"/>
    </row>
    <row r="50" spans="2:38" x14ac:dyDescent="0.25">
      <c r="B50" s="88"/>
      <c r="C50" s="132"/>
      <c r="D50" s="132"/>
      <c r="E50" s="106"/>
      <c r="F50" s="128">
        <v>0</v>
      </c>
      <c r="G50" s="131"/>
      <c r="H50" s="74">
        <f t="shared" si="0"/>
        <v>14497900</v>
      </c>
      <c r="I50" s="35"/>
      <c r="J50" s="19"/>
      <c r="K50" s="19"/>
      <c r="L50" s="19"/>
      <c r="M50" s="19"/>
      <c r="N50" s="36"/>
      <c r="O50" s="22"/>
      <c r="P50" s="11"/>
      <c r="Q50" s="11"/>
      <c r="R50" s="11"/>
      <c r="S50" s="11"/>
      <c r="T50" s="11"/>
      <c r="U50" s="14"/>
      <c r="V50" s="14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79"/>
      <c r="AL50" s="45"/>
    </row>
    <row r="51" spans="2:38" x14ac:dyDescent="0.25">
      <c r="B51" s="88"/>
      <c r="C51" s="132"/>
      <c r="D51" s="132"/>
      <c r="E51" s="106"/>
      <c r="F51" s="128">
        <v>0</v>
      </c>
      <c r="G51" s="131"/>
      <c r="H51" s="74">
        <f t="shared" si="0"/>
        <v>14497900</v>
      </c>
      <c r="I51" s="35"/>
      <c r="J51" s="19"/>
      <c r="K51" s="19"/>
      <c r="L51" s="19"/>
      <c r="M51" s="19"/>
      <c r="N51" s="36"/>
      <c r="O51" s="2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79"/>
      <c r="AL51" s="45"/>
    </row>
    <row r="52" spans="2:38" x14ac:dyDescent="0.25">
      <c r="B52" s="88"/>
      <c r="C52" s="132"/>
      <c r="D52" s="132"/>
      <c r="E52" s="106"/>
      <c r="F52" s="128">
        <v>0</v>
      </c>
      <c r="G52" s="131"/>
      <c r="H52" s="74">
        <f t="shared" si="0"/>
        <v>14497900</v>
      </c>
      <c r="I52" s="35"/>
      <c r="J52" s="19"/>
      <c r="K52" s="19"/>
      <c r="L52" s="19"/>
      <c r="M52" s="19"/>
      <c r="N52" s="36"/>
      <c r="O52" s="22"/>
      <c r="P52" s="11"/>
      <c r="Q52" s="11"/>
      <c r="R52" s="15"/>
      <c r="S52" s="15"/>
      <c r="T52" s="11"/>
      <c r="U52" s="11"/>
      <c r="V52" s="11"/>
      <c r="W52" s="11"/>
      <c r="X52" s="11"/>
      <c r="Y52" s="14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79"/>
      <c r="AL52" s="45"/>
    </row>
    <row r="53" spans="2:38" x14ac:dyDescent="0.25">
      <c r="B53" s="88"/>
      <c r="C53" s="132"/>
      <c r="D53" s="132"/>
      <c r="E53" s="106"/>
      <c r="F53" s="128">
        <v>0</v>
      </c>
      <c r="G53" s="131"/>
      <c r="H53" s="74">
        <f t="shared" si="0"/>
        <v>14497900</v>
      </c>
      <c r="I53" s="35"/>
      <c r="J53" s="19"/>
      <c r="K53" s="19"/>
      <c r="L53" s="19"/>
      <c r="M53" s="19"/>
      <c r="N53" s="36"/>
      <c r="O53" s="22"/>
      <c r="P53" s="11"/>
      <c r="Q53" s="11"/>
      <c r="R53" s="11"/>
      <c r="S53" s="11"/>
      <c r="T53" s="11"/>
      <c r="U53" s="11"/>
      <c r="V53" s="11"/>
      <c r="W53" s="11"/>
      <c r="X53" s="11"/>
      <c r="Y53" s="14"/>
      <c r="Z53" s="14"/>
      <c r="AA53" s="14"/>
      <c r="AB53" s="14"/>
      <c r="AC53" s="14"/>
      <c r="AD53" s="11"/>
      <c r="AE53" s="11"/>
      <c r="AF53" s="11"/>
      <c r="AG53" s="11"/>
      <c r="AH53" s="11"/>
      <c r="AI53" s="11"/>
      <c r="AJ53" s="11"/>
      <c r="AK53" s="79"/>
      <c r="AL53" s="45"/>
    </row>
    <row r="54" spans="2:38" x14ac:dyDescent="0.25">
      <c r="B54" s="88"/>
      <c r="C54" s="132"/>
      <c r="D54" s="132"/>
      <c r="E54" s="106"/>
      <c r="F54" s="128">
        <v>0</v>
      </c>
      <c r="G54" s="131"/>
      <c r="H54" s="74">
        <f t="shared" si="0"/>
        <v>14497900</v>
      </c>
      <c r="I54" s="35"/>
      <c r="J54" s="19"/>
      <c r="K54" s="19"/>
      <c r="L54" s="19"/>
      <c r="M54" s="19"/>
      <c r="N54" s="36"/>
      <c r="O54" s="22"/>
      <c r="P54" s="11"/>
      <c r="Q54" s="11"/>
      <c r="R54" s="11"/>
      <c r="S54" s="11"/>
      <c r="T54" s="11"/>
      <c r="U54" s="11"/>
      <c r="V54" s="11"/>
      <c r="W54" s="11"/>
      <c r="X54" s="11"/>
      <c r="Y54" s="14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79"/>
      <c r="AL54" s="45"/>
    </row>
    <row r="55" spans="2:38" x14ac:dyDescent="0.25">
      <c r="B55" s="88"/>
      <c r="C55" s="132"/>
      <c r="D55" s="132"/>
      <c r="E55" s="106"/>
      <c r="F55" s="128">
        <v>0</v>
      </c>
      <c r="G55" s="131"/>
      <c r="H55" s="74">
        <f t="shared" si="0"/>
        <v>14497900</v>
      </c>
      <c r="I55" s="35"/>
      <c r="J55" s="19"/>
      <c r="K55" s="19"/>
      <c r="L55" s="19"/>
      <c r="M55" s="19"/>
      <c r="N55" s="36"/>
      <c r="O55" s="22"/>
      <c r="P55" s="11"/>
      <c r="Q55" s="11"/>
      <c r="R55" s="11"/>
      <c r="S55" s="11"/>
      <c r="T55" s="11"/>
      <c r="U55" s="11"/>
      <c r="V55" s="11"/>
      <c r="W55" s="11"/>
      <c r="X55" s="11"/>
      <c r="Y55" s="14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79"/>
      <c r="AL55" s="45"/>
    </row>
    <row r="56" spans="2:38" x14ac:dyDescent="0.25">
      <c r="B56" s="88"/>
      <c r="C56" s="132"/>
      <c r="D56" s="132"/>
      <c r="E56" s="106"/>
      <c r="F56" s="128">
        <v>0</v>
      </c>
      <c r="G56" s="131"/>
      <c r="H56" s="74">
        <f t="shared" si="0"/>
        <v>14497900</v>
      </c>
      <c r="I56" s="35"/>
      <c r="J56" s="19"/>
      <c r="K56" s="19"/>
      <c r="L56" s="19"/>
      <c r="M56" s="19"/>
      <c r="N56" s="36"/>
      <c r="O56" s="22"/>
      <c r="P56" s="14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79"/>
      <c r="AL56" s="45"/>
    </row>
    <row r="57" spans="2:38" x14ac:dyDescent="0.25">
      <c r="B57" s="88"/>
      <c r="C57" s="132"/>
      <c r="D57" s="132"/>
      <c r="E57" s="106"/>
      <c r="F57" s="72"/>
      <c r="G57" s="131"/>
      <c r="H57" s="74">
        <f t="shared" si="0"/>
        <v>14497900</v>
      </c>
      <c r="I57" s="35"/>
      <c r="J57" s="19"/>
      <c r="K57" s="19"/>
      <c r="L57" s="19"/>
      <c r="M57" s="19"/>
      <c r="N57" s="36"/>
      <c r="O57" s="22"/>
      <c r="P57" s="11"/>
      <c r="Q57" s="11"/>
      <c r="R57" s="11"/>
      <c r="S57" s="11"/>
      <c r="T57" s="11"/>
      <c r="U57" s="11"/>
      <c r="V57" s="11"/>
      <c r="W57" s="11"/>
      <c r="X57" s="11"/>
      <c r="Y57" s="14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79"/>
      <c r="AL57" s="45"/>
    </row>
    <row r="58" spans="2:38" x14ac:dyDescent="0.25">
      <c r="B58" s="88"/>
      <c r="C58" s="132"/>
      <c r="D58" s="132"/>
      <c r="E58" s="106"/>
      <c r="F58" s="72"/>
      <c r="G58" s="131"/>
      <c r="H58" s="74">
        <f t="shared" si="0"/>
        <v>14497900</v>
      </c>
      <c r="I58" s="35"/>
      <c r="J58" s="19"/>
      <c r="K58" s="19"/>
      <c r="L58" s="19"/>
      <c r="M58" s="19"/>
      <c r="N58" s="36"/>
      <c r="O58" s="22"/>
      <c r="P58" s="11"/>
      <c r="Q58" s="11"/>
      <c r="R58" s="11"/>
      <c r="S58" s="11"/>
      <c r="T58" s="11"/>
      <c r="U58" s="11"/>
      <c r="V58" s="11"/>
      <c r="W58" s="11"/>
      <c r="X58" s="11"/>
      <c r="Y58" s="14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79"/>
      <c r="AL58" s="45"/>
    </row>
    <row r="59" spans="2:38" x14ac:dyDescent="0.25">
      <c r="B59" s="88"/>
      <c r="C59" s="132"/>
      <c r="D59" s="132"/>
      <c r="E59" s="106"/>
      <c r="F59" s="72"/>
      <c r="G59" s="131"/>
      <c r="H59" s="74">
        <f t="shared" si="0"/>
        <v>14497900</v>
      </c>
      <c r="I59" s="35"/>
      <c r="J59" s="19"/>
      <c r="K59" s="19"/>
      <c r="L59" s="19"/>
      <c r="M59" s="19"/>
      <c r="N59" s="36"/>
      <c r="O59" s="22"/>
      <c r="P59" s="11"/>
      <c r="Q59" s="11"/>
      <c r="R59" s="11"/>
      <c r="S59" s="11"/>
      <c r="T59" s="11"/>
      <c r="U59" s="11"/>
      <c r="V59" s="11"/>
      <c r="W59" s="11"/>
      <c r="X59" s="11"/>
      <c r="Y59" s="14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79"/>
      <c r="AL59" s="45"/>
    </row>
    <row r="60" spans="2:38" x14ac:dyDescent="0.25">
      <c r="B60" s="88"/>
      <c r="C60" s="132"/>
      <c r="D60" s="132"/>
      <c r="E60" s="106"/>
      <c r="F60" s="72"/>
      <c r="G60" s="131"/>
      <c r="H60" s="74">
        <f t="shared" si="0"/>
        <v>14497900</v>
      </c>
      <c r="I60" s="35"/>
      <c r="J60" s="19"/>
      <c r="K60" s="19"/>
      <c r="L60" s="19"/>
      <c r="M60" s="19"/>
      <c r="N60" s="36"/>
      <c r="O60" s="22"/>
      <c r="P60" s="11"/>
      <c r="Q60" s="11"/>
      <c r="R60" s="11"/>
      <c r="S60" s="11"/>
      <c r="T60" s="11"/>
      <c r="U60" s="11"/>
      <c r="V60" s="11"/>
      <c r="W60" s="16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79"/>
      <c r="AL60" s="45"/>
    </row>
    <row r="61" spans="2:38" x14ac:dyDescent="0.25">
      <c r="B61" s="88"/>
      <c r="C61" s="132"/>
      <c r="D61" s="132"/>
      <c r="E61" s="106"/>
      <c r="F61" s="72"/>
      <c r="G61" s="131"/>
      <c r="H61" s="74">
        <f t="shared" si="0"/>
        <v>14497900</v>
      </c>
      <c r="I61" s="35"/>
      <c r="J61" s="19"/>
      <c r="K61" s="19"/>
      <c r="L61" s="19"/>
      <c r="M61" s="19"/>
      <c r="N61" s="36"/>
      <c r="O61" s="22"/>
      <c r="P61" s="11"/>
      <c r="Q61" s="11"/>
      <c r="R61" s="11"/>
      <c r="S61" s="11"/>
      <c r="T61" s="11"/>
      <c r="U61" s="11"/>
      <c r="V61" s="11"/>
      <c r="W61" s="17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79"/>
      <c r="AL61" s="45"/>
    </row>
    <row r="62" spans="2:38" x14ac:dyDescent="0.25">
      <c r="B62" s="88"/>
      <c r="C62" s="132"/>
      <c r="D62" s="132"/>
      <c r="E62" s="106"/>
      <c r="F62" s="72"/>
      <c r="G62" s="131"/>
      <c r="H62" s="74">
        <f t="shared" si="0"/>
        <v>14497900</v>
      </c>
      <c r="I62" s="35"/>
      <c r="J62" s="19"/>
      <c r="K62" s="19"/>
      <c r="L62" s="19"/>
      <c r="M62" s="19"/>
      <c r="N62" s="36"/>
      <c r="O62" s="22"/>
      <c r="P62" s="11"/>
      <c r="Q62" s="11"/>
      <c r="R62" s="11"/>
      <c r="S62" s="11"/>
      <c r="T62" s="11"/>
      <c r="U62" s="11"/>
      <c r="V62" s="11"/>
      <c r="W62" s="16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79"/>
      <c r="AL62" s="45"/>
    </row>
    <row r="63" spans="2:38" x14ac:dyDescent="0.25">
      <c r="B63" s="88"/>
      <c r="C63" s="132"/>
      <c r="D63" s="132"/>
      <c r="E63" s="106"/>
      <c r="F63" s="72"/>
      <c r="G63" s="131"/>
      <c r="H63" s="74">
        <f t="shared" si="0"/>
        <v>14497900</v>
      </c>
      <c r="I63" s="35"/>
      <c r="J63" s="19"/>
      <c r="K63" s="19"/>
      <c r="L63" s="19"/>
      <c r="M63" s="19"/>
      <c r="N63" s="36"/>
      <c r="O63" s="22"/>
      <c r="P63" s="11"/>
      <c r="Q63" s="11"/>
      <c r="R63" s="11"/>
      <c r="S63" s="11"/>
      <c r="T63" s="11"/>
      <c r="U63" s="11"/>
      <c r="V63" s="11"/>
      <c r="W63" s="16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79"/>
      <c r="AL63" s="45"/>
    </row>
    <row r="64" spans="2:38" x14ac:dyDescent="0.25">
      <c r="B64" s="88"/>
      <c r="C64" s="132"/>
      <c r="D64" s="132"/>
      <c r="E64" s="106"/>
      <c r="F64" s="72"/>
      <c r="G64" s="131"/>
      <c r="H64" s="74">
        <f t="shared" si="0"/>
        <v>14497900</v>
      </c>
      <c r="I64" s="35"/>
      <c r="J64" s="19"/>
      <c r="K64" s="19"/>
      <c r="L64" s="19"/>
      <c r="M64" s="19"/>
      <c r="N64" s="36"/>
      <c r="O64" s="22"/>
      <c r="P64" s="11"/>
      <c r="Q64" s="11"/>
      <c r="R64" s="11"/>
      <c r="S64" s="11"/>
      <c r="T64" s="11"/>
      <c r="U64" s="11"/>
      <c r="V64" s="11"/>
      <c r="W64" s="16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79"/>
      <c r="AL64" s="45"/>
    </row>
    <row r="65" spans="2:38" x14ac:dyDescent="0.25">
      <c r="B65" s="88"/>
      <c r="C65" s="132"/>
      <c r="D65" s="132"/>
      <c r="E65" s="106"/>
      <c r="F65" s="72"/>
      <c r="G65" s="131"/>
      <c r="H65" s="74">
        <f t="shared" si="0"/>
        <v>14497900</v>
      </c>
      <c r="I65" s="35"/>
      <c r="J65" s="19"/>
      <c r="K65" s="19"/>
      <c r="L65" s="19"/>
      <c r="M65" s="19"/>
      <c r="N65" s="36"/>
      <c r="O65" s="22"/>
      <c r="P65" s="11"/>
      <c r="Q65" s="11"/>
      <c r="R65" s="11"/>
      <c r="S65" s="11"/>
      <c r="T65" s="11"/>
      <c r="U65" s="11"/>
      <c r="V65" s="11"/>
      <c r="W65" s="16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79"/>
      <c r="AL65" s="45"/>
    </row>
    <row r="66" spans="2:38" x14ac:dyDescent="0.25">
      <c r="B66" s="88"/>
      <c r="C66" s="132"/>
      <c r="D66" s="132"/>
      <c r="E66" s="106"/>
      <c r="F66" s="72"/>
      <c r="G66" s="131"/>
      <c r="H66" s="74">
        <f t="shared" si="0"/>
        <v>14497900</v>
      </c>
      <c r="I66" s="35"/>
      <c r="J66" s="19"/>
      <c r="K66" s="19"/>
      <c r="L66" s="19"/>
      <c r="M66" s="19"/>
      <c r="N66" s="36"/>
      <c r="O66" s="22"/>
      <c r="P66" s="11"/>
      <c r="Q66" s="11"/>
      <c r="R66" s="11"/>
      <c r="S66" s="11"/>
      <c r="T66" s="11"/>
      <c r="U66" s="14"/>
      <c r="V66" s="14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79"/>
      <c r="AL66" s="45"/>
    </row>
    <row r="67" spans="2:38" x14ac:dyDescent="0.25">
      <c r="B67" s="88"/>
      <c r="C67" s="132"/>
      <c r="D67" s="132"/>
      <c r="E67" s="106"/>
      <c r="F67" s="72"/>
      <c r="G67" s="131"/>
      <c r="H67" s="74">
        <f t="shared" si="0"/>
        <v>14497900</v>
      </c>
      <c r="I67" s="35"/>
      <c r="J67" s="19"/>
      <c r="K67" s="19"/>
      <c r="L67" s="19"/>
      <c r="M67" s="19"/>
      <c r="N67" s="36"/>
      <c r="O67" s="22"/>
      <c r="P67" s="11"/>
      <c r="Q67" s="11"/>
      <c r="R67" s="11"/>
      <c r="S67" s="11"/>
      <c r="T67" s="11"/>
      <c r="U67" s="14"/>
      <c r="V67" s="14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79"/>
      <c r="AL67" s="45"/>
    </row>
    <row r="68" spans="2:38" x14ac:dyDescent="0.25">
      <c r="B68" s="88"/>
      <c r="C68" s="132"/>
      <c r="D68" s="132"/>
      <c r="E68" s="106"/>
      <c r="F68" s="72"/>
      <c r="G68" s="131"/>
      <c r="H68" s="74">
        <f t="shared" si="0"/>
        <v>14497900</v>
      </c>
      <c r="I68" s="35"/>
      <c r="J68" s="19"/>
      <c r="K68" s="19"/>
      <c r="L68" s="19"/>
      <c r="M68" s="19"/>
      <c r="N68" s="36"/>
      <c r="O68" s="22"/>
      <c r="P68" s="11"/>
      <c r="Q68" s="11"/>
      <c r="R68" s="15"/>
      <c r="S68" s="15"/>
      <c r="T68" s="1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79"/>
      <c r="AL68" s="45"/>
    </row>
    <row r="69" spans="2:38" x14ac:dyDescent="0.25">
      <c r="B69" s="88"/>
      <c r="C69" s="132"/>
      <c r="D69" s="132"/>
      <c r="E69" s="106"/>
      <c r="F69" s="72"/>
      <c r="G69" s="131"/>
      <c r="H69" s="74">
        <f t="shared" si="0"/>
        <v>14497900</v>
      </c>
      <c r="I69" s="35"/>
      <c r="J69" s="19"/>
      <c r="K69" s="19"/>
      <c r="L69" s="19"/>
      <c r="M69" s="19"/>
      <c r="N69" s="36"/>
      <c r="O69" s="22"/>
      <c r="P69" s="11"/>
      <c r="Q69" s="11"/>
      <c r="R69" s="11"/>
      <c r="S69" s="11"/>
      <c r="T69" s="1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79"/>
      <c r="AL69" s="45"/>
    </row>
    <row r="70" spans="2:38" x14ac:dyDescent="0.25">
      <c r="B70" s="88"/>
      <c r="C70" s="132"/>
      <c r="D70" s="132"/>
      <c r="E70" s="106"/>
      <c r="F70" s="72"/>
      <c r="G70" s="131"/>
      <c r="H70" s="74">
        <f t="shared" si="0"/>
        <v>14497900</v>
      </c>
      <c r="I70" s="35"/>
      <c r="J70" s="19"/>
      <c r="K70" s="19"/>
      <c r="L70" s="19"/>
      <c r="M70" s="19"/>
      <c r="N70" s="36"/>
      <c r="O70" s="22"/>
      <c r="P70" s="11"/>
      <c r="Q70" s="11"/>
      <c r="R70" s="15"/>
      <c r="S70" s="15"/>
      <c r="T70" s="11"/>
      <c r="U70" s="11"/>
      <c r="V70" s="11"/>
      <c r="W70" s="11"/>
      <c r="X70" s="11"/>
      <c r="Y70" s="14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79"/>
      <c r="AL70" s="45"/>
    </row>
    <row r="71" spans="2:38" x14ac:dyDescent="0.25">
      <c r="B71" s="88"/>
      <c r="C71" s="132"/>
      <c r="D71" s="132"/>
      <c r="E71" s="106"/>
      <c r="F71" s="72"/>
      <c r="G71" s="131"/>
      <c r="H71" s="74">
        <f t="shared" si="0"/>
        <v>14497900</v>
      </c>
      <c r="I71" s="35"/>
      <c r="J71" s="19"/>
      <c r="K71" s="19"/>
      <c r="L71" s="19"/>
      <c r="M71" s="19"/>
      <c r="N71" s="36"/>
      <c r="O71" s="22"/>
      <c r="P71" s="11"/>
      <c r="Q71" s="11"/>
      <c r="R71" s="15"/>
      <c r="S71" s="15"/>
      <c r="T71" s="11"/>
      <c r="U71" s="11"/>
      <c r="V71" s="11"/>
      <c r="W71" s="11"/>
      <c r="X71" s="11"/>
      <c r="Y71" s="14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79"/>
      <c r="AL71" s="45"/>
    </row>
    <row r="72" spans="2:38" x14ac:dyDescent="0.25">
      <c r="B72" s="88"/>
      <c r="C72" s="132"/>
      <c r="D72" s="89"/>
      <c r="E72" s="106"/>
      <c r="F72" s="72"/>
      <c r="G72" s="131"/>
      <c r="H72" s="74">
        <f t="shared" si="0"/>
        <v>14497900</v>
      </c>
      <c r="I72" s="35"/>
      <c r="J72" s="19"/>
      <c r="K72" s="19"/>
      <c r="L72" s="19"/>
      <c r="M72" s="19"/>
      <c r="N72" s="36"/>
      <c r="O72" s="2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4"/>
      <c r="AE72" s="11"/>
      <c r="AF72" s="11"/>
      <c r="AG72" s="11"/>
      <c r="AH72" s="11"/>
      <c r="AI72" s="11"/>
      <c r="AJ72" s="11"/>
      <c r="AK72" s="79"/>
      <c r="AL72" s="45"/>
    </row>
    <row r="73" spans="2:38" x14ac:dyDescent="0.25">
      <c r="B73" s="88"/>
      <c r="C73" s="132"/>
      <c r="D73" s="89"/>
      <c r="E73" s="106"/>
      <c r="F73" s="72"/>
      <c r="G73" s="131"/>
      <c r="H73" s="74">
        <f t="shared" si="0"/>
        <v>14497900</v>
      </c>
      <c r="I73" s="35"/>
      <c r="J73" s="19"/>
      <c r="K73" s="19"/>
      <c r="L73" s="19"/>
      <c r="M73" s="19"/>
      <c r="N73" s="36"/>
      <c r="O73" s="2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4"/>
      <c r="AF73" s="11"/>
      <c r="AG73" s="11"/>
      <c r="AH73" s="11"/>
      <c r="AI73" s="11"/>
      <c r="AJ73" s="11"/>
      <c r="AK73" s="79"/>
      <c r="AL73" s="45"/>
    </row>
    <row r="74" spans="2:38" x14ac:dyDescent="0.25">
      <c r="B74" s="88"/>
      <c r="C74" s="132"/>
      <c r="D74" s="89"/>
      <c r="E74" s="106"/>
      <c r="F74" s="72"/>
      <c r="G74" s="131"/>
      <c r="H74" s="74">
        <f t="shared" si="0"/>
        <v>14497900</v>
      </c>
      <c r="I74" s="35"/>
      <c r="J74" s="19"/>
      <c r="K74" s="19"/>
      <c r="L74" s="19"/>
      <c r="M74" s="19"/>
      <c r="N74" s="36"/>
      <c r="O74" s="2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79"/>
      <c r="AL74" s="45"/>
    </row>
    <row r="75" spans="2:38" x14ac:dyDescent="0.25">
      <c r="B75" s="88"/>
      <c r="C75" s="132"/>
      <c r="D75" s="89"/>
      <c r="E75" s="106"/>
      <c r="F75" s="72"/>
      <c r="G75" s="131"/>
      <c r="H75" s="74">
        <f t="shared" si="0"/>
        <v>14497900</v>
      </c>
      <c r="I75" s="35"/>
      <c r="J75" s="19"/>
      <c r="K75" s="19"/>
      <c r="L75" s="19"/>
      <c r="M75" s="19"/>
      <c r="N75" s="36"/>
      <c r="O75" s="22"/>
      <c r="P75" s="11"/>
      <c r="Q75" s="11"/>
      <c r="R75" s="11"/>
      <c r="S75" s="11"/>
      <c r="T75" s="1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79"/>
      <c r="AL75" s="45"/>
    </row>
    <row r="76" spans="2:38" x14ac:dyDescent="0.25">
      <c r="B76" s="88"/>
      <c r="C76" s="132"/>
      <c r="D76" s="89"/>
      <c r="E76" s="106"/>
      <c r="F76" s="72"/>
      <c r="G76" s="131"/>
      <c r="H76" s="74">
        <f t="shared" si="0"/>
        <v>14497900</v>
      </c>
      <c r="I76" s="35"/>
      <c r="J76" s="19"/>
      <c r="K76" s="19"/>
      <c r="L76" s="19"/>
      <c r="M76" s="19"/>
      <c r="N76" s="36"/>
      <c r="O76" s="22"/>
      <c r="P76" s="11"/>
      <c r="Q76" s="11"/>
      <c r="R76" s="11"/>
      <c r="S76" s="11"/>
      <c r="T76" s="1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79"/>
      <c r="AL76" s="45"/>
    </row>
    <row r="77" spans="2:38" x14ac:dyDescent="0.25">
      <c r="B77" s="88"/>
      <c r="C77" s="89"/>
      <c r="D77" s="89"/>
      <c r="E77" s="106"/>
      <c r="F77" s="72"/>
      <c r="G77" s="131"/>
      <c r="H77" s="74">
        <f t="shared" si="0"/>
        <v>14497900</v>
      </c>
      <c r="I77" s="35"/>
      <c r="J77" s="19"/>
      <c r="K77" s="19"/>
      <c r="L77" s="19"/>
      <c r="M77" s="19"/>
      <c r="N77" s="36"/>
      <c r="O77" s="22"/>
      <c r="P77" s="11"/>
      <c r="Q77" s="11"/>
      <c r="R77" s="11"/>
      <c r="S77" s="11"/>
      <c r="T77" s="1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79"/>
      <c r="AL77" s="45"/>
    </row>
    <row r="78" spans="2:38" x14ac:dyDescent="0.25">
      <c r="B78" s="88"/>
      <c r="C78" s="89"/>
      <c r="D78" s="89"/>
      <c r="E78" s="106"/>
      <c r="F78" s="72"/>
      <c r="G78" s="131"/>
      <c r="H78" s="74">
        <f t="shared" si="0"/>
        <v>14497900</v>
      </c>
      <c r="I78" s="35"/>
      <c r="J78" s="19"/>
      <c r="K78" s="19"/>
      <c r="L78" s="19"/>
      <c r="M78" s="19"/>
      <c r="N78" s="36"/>
      <c r="O78" s="22"/>
      <c r="P78" s="11"/>
      <c r="Q78" s="11"/>
      <c r="R78" s="11"/>
      <c r="S78" s="11"/>
      <c r="T78" s="16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79"/>
      <c r="AL78" s="45"/>
    </row>
    <row r="79" spans="2:38" x14ac:dyDescent="0.25">
      <c r="B79" s="88"/>
      <c r="C79" s="89"/>
      <c r="D79" s="89"/>
      <c r="E79" s="106"/>
      <c r="F79" s="72"/>
      <c r="G79" s="131"/>
      <c r="H79" s="74">
        <f t="shared" si="0"/>
        <v>14497900</v>
      </c>
      <c r="I79" s="35"/>
      <c r="J79" s="19"/>
      <c r="K79" s="19"/>
      <c r="L79" s="19"/>
      <c r="M79" s="19"/>
      <c r="N79" s="36"/>
      <c r="O79" s="22"/>
      <c r="P79" s="11"/>
      <c r="Q79" s="11"/>
      <c r="R79" s="11"/>
      <c r="S79" s="11"/>
      <c r="T79" s="11"/>
      <c r="U79" s="14"/>
      <c r="V79" s="14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79"/>
      <c r="AL79" s="45"/>
    </row>
    <row r="80" spans="2:38" x14ac:dyDescent="0.25">
      <c r="B80" s="88"/>
      <c r="C80" s="89"/>
      <c r="D80" s="89"/>
      <c r="E80" s="106"/>
      <c r="F80" s="72"/>
      <c r="G80" s="131"/>
      <c r="H80" s="74">
        <f t="shared" si="0"/>
        <v>14497900</v>
      </c>
      <c r="I80" s="35"/>
      <c r="J80" s="19"/>
      <c r="K80" s="19"/>
      <c r="L80" s="19"/>
      <c r="M80" s="19"/>
      <c r="N80" s="36"/>
      <c r="O80" s="22"/>
      <c r="P80" s="11"/>
      <c r="Q80" s="11"/>
      <c r="R80" s="11"/>
      <c r="S80" s="11"/>
      <c r="T80" s="11"/>
      <c r="U80" s="11"/>
      <c r="V80" s="11"/>
      <c r="W80" s="16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79"/>
      <c r="AL80" s="45"/>
    </row>
    <row r="81" spans="2:38" x14ac:dyDescent="0.25">
      <c r="B81" s="88"/>
      <c r="C81" s="89"/>
      <c r="D81" s="89"/>
      <c r="E81" s="106"/>
      <c r="F81" s="72"/>
      <c r="G81" s="131"/>
      <c r="H81" s="74">
        <f t="shared" si="0"/>
        <v>14497900</v>
      </c>
      <c r="I81" s="35"/>
      <c r="J81" s="19"/>
      <c r="K81" s="19"/>
      <c r="L81" s="19"/>
      <c r="M81" s="19"/>
      <c r="N81" s="36"/>
      <c r="O81" s="22"/>
      <c r="P81" s="11"/>
      <c r="Q81" s="11"/>
      <c r="R81" s="11"/>
      <c r="S81" s="11"/>
      <c r="T81" s="11"/>
      <c r="U81" s="11"/>
      <c r="V81" s="11"/>
      <c r="W81" s="16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79"/>
      <c r="AL81" s="45"/>
    </row>
    <row r="82" spans="2:38" x14ac:dyDescent="0.25">
      <c r="B82" s="88"/>
      <c r="C82" s="89"/>
      <c r="D82" s="89"/>
      <c r="E82" s="106"/>
      <c r="F82" s="72"/>
      <c r="G82" s="131"/>
      <c r="H82" s="74">
        <f t="shared" ref="H82:H145" si="1">H81+F82-G82</f>
        <v>14497900</v>
      </c>
      <c r="I82" s="35"/>
      <c r="J82" s="19"/>
      <c r="K82" s="19"/>
      <c r="L82" s="19"/>
      <c r="M82" s="19"/>
      <c r="N82" s="36"/>
      <c r="O82" s="22"/>
      <c r="P82" s="11"/>
      <c r="Q82" s="11"/>
      <c r="R82" s="11"/>
      <c r="S82" s="11"/>
      <c r="T82" s="11"/>
      <c r="U82" s="11"/>
      <c r="V82" s="11"/>
      <c r="W82" s="16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79"/>
      <c r="AL82" s="45"/>
    </row>
    <row r="83" spans="2:38" x14ac:dyDescent="0.25">
      <c r="B83" s="88"/>
      <c r="C83" s="89"/>
      <c r="D83" s="89"/>
      <c r="E83" s="106"/>
      <c r="F83" s="72"/>
      <c r="G83" s="131"/>
      <c r="H83" s="74">
        <f t="shared" si="1"/>
        <v>14497900</v>
      </c>
      <c r="I83" s="35"/>
      <c r="J83" s="19"/>
      <c r="K83" s="19"/>
      <c r="L83" s="19"/>
      <c r="M83" s="19"/>
      <c r="N83" s="36"/>
      <c r="O83" s="22"/>
      <c r="P83" s="11"/>
      <c r="Q83" s="11"/>
      <c r="R83" s="11"/>
      <c r="S83" s="11"/>
      <c r="T83" s="11"/>
      <c r="U83" s="11"/>
      <c r="V83" s="11"/>
      <c r="W83" s="16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79"/>
      <c r="AL83" s="45"/>
    </row>
    <row r="84" spans="2:38" x14ac:dyDescent="0.25">
      <c r="B84" s="88"/>
      <c r="C84" s="89"/>
      <c r="D84" s="89"/>
      <c r="E84" s="106"/>
      <c r="F84" s="72"/>
      <c r="G84" s="131"/>
      <c r="H84" s="74">
        <f t="shared" si="1"/>
        <v>14497900</v>
      </c>
      <c r="I84" s="35"/>
      <c r="J84" s="19"/>
      <c r="K84" s="19"/>
      <c r="L84" s="19"/>
      <c r="M84" s="19"/>
      <c r="N84" s="36"/>
      <c r="O84" s="22"/>
      <c r="P84" s="11"/>
      <c r="Q84" s="11"/>
      <c r="R84" s="11"/>
      <c r="S84" s="11"/>
      <c r="T84" s="11"/>
      <c r="U84" s="11"/>
      <c r="V84" s="11"/>
      <c r="W84" s="16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45"/>
    </row>
    <row r="85" spans="2:38" x14ac:dyDescent="0.25">
      <c r="B85" s="88"/>
      <c r="C85" s="89"/>
      <c r="D85" s="89"/>
      <c r="E85" s="106"/>
      <c r="F85" s="72"/>
      <c r="G85" s="131"/>
      <c r="H85" s="74">
        <f t="shared" si="1"/>
        <v>14497900</v>
      </c>
      <c r="I85" s="35"/>
      <c r="J85" s="19"/>
      <c r="K85" s="19"/>
      <c r="L85" s="19"/>
      <c r="M85" s="19"/>
      <c r="N85" s="36"/>
      <c r="O85" s="22"/>
      <c r="P85" s="11"/>
      <c r="Q85" s="11"/>
      <c r="R85" s="11"/>
      <c r="S85" s="11"/>
      <c r="T85" s="11"/>
      <c r="U85" s="11"/>
      <c r="V85" s="11"/>
      <c r="W85" s="16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79"/>
      <c r="AL85" s="45"/>
    </row>
    <row r="86" spans="2:38" x14ac:dyDescent="0.25">
      <c r="B86" s="88"/>
      <c r="C86" s="89"/>
      <c r="D86" s="89"/>
      <c r="E86" s="106"/>
      <c r="F86" s="72"/>
      <c r="G86" s="131"/>
      <c r="H86" s="74">
        <f t="shared" si="1"/>
        <v>14497900</v>
      </c>
      <c r="I86" s="35"/>
      <c r="J86" s="19"/>
      <c r="K86" s="19"/>
      <c r="L86" s="19"/>
      <c r="M86" s="19"/>
      <c r="N86" s="36"/>
      <c r="O86" s="2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79"/>
      <c r="AL86" s="45"/>
    </row>
    <row r="87" spans="2:38" x14ac:dyDescent="0.25">
      <c r="B87" s="88"/>
      <c r="C87" s="89"/>
      <c r="D87" s="89"/>
      <c r="E87" s="106"/>
      <c r="F87" s="72"/>
      <c r="G87" s="131"/>
      <c r="H87" s="74">
        <f t="shared" si="1"/>
        <v>14497900</v>
      </c>
      <c r="I87" s="35"/>
      <c r="J87" s="19"/>
      <c r="K87" s="19"/>
      <c r="L87" s="19"/>
      <c r="M87" s="19"/>
      <c r="N87" s="36"/>
      <c r="O87" s="22"/>
      <c r="P87" s="11"/>
      <c r="Q87" s="11"/>
      <c r="R87" s="11"/>
      <c r="S87" s="11"/>
      <c r="T87" s="11"/>
      <c r="U87" s="11"/>
      <c r="V87" s="11"/>
      <c r="W87" s="16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79"/>
      <c r="AL87" s="45"/>
    </row>
    <row r="88" spans="2:38" x14ac:dyDescent="0.25">
      <c r="B88" s="88"/>
      <c r="C88" s="89"/>
      <c r="D88" s="89"/>
      <c r="E88" s="106"/>
      <c r="F88" s="72"/>
      <c r="G88" s="131"/>
      <c r="H88" s="74">
        <f t="shared" si="1"/>
        <v>14497900</v>
      </c>
      <c r="I88" s="35"/>
      <c r="J88" s="19"/>
      <c r="K88" s="19"/>
      <c r="L88" s="19"/>
      <c r="M88" s="19"/>
      <c r="N88" s="36"/>
      <c r="O88" s="2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79"/>
      <c r="AL88" s="45"/>
    </row>
    <row r="89" spans="2:38" x14ac:dyDescent="0.25">
      <c r="B89" s="88"/>
      <c r="C89" s="89"/>
      <c r="D89" s="89"/>
      <c r="E89" s="106"/>
      <c r="F89" s="72"/>
      <c r="G89" s="131"/>
      <c r="H89" s="74">
        <f t="shared" si="1"/>
        <v>14497900</v>
      </c>
      <c r="I89" s="35"/>
      <c r="J89" s="19"/>
      <c r="K89" s="19"/>
      <c r="L89" s="19"/>
      <c r="M89" s="19"/>
      <c r="N89" s="36"/>
      <c r="O89" s="22"/>
      <c r="P89" s="11"/>
      <c r="Q89" s="11"/>
      <c r="R89" s="11"/>
      <c r="S89" s="11"/>
      <c r="T89" s="11"/>
      <c r="U89" s="11"/>
      <c r="V89" s="11"/>
      <c r="W89" s="16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79"/>
      <c r="AL89" s="45"/>
    </row>
    <row r="90" spans="2:38" x14ac:dyDescent="0.25">
      <c r="B90" s="88"/>
      <c r="C90" s="89"/>
      <c r="D90" s="89"/>
      <c r="E90" s="106"/>
      <c r="F90" s="72"/>
      <c r="G90" s="9"/>
      <c r="H90" s="74">
        <f t="shared" si="1"/>
        <v>14497900</v>
      </c>
      <c r="I90" s="35"/>
      <c r="J90" s="19"/>
      <c r="K90" s="19"/>
      <c r="L90" s="19"/>
      <c r="M90" s="19"/>
      <c r="N90" s="36"/>
      <c r="O90" s="22"/>
      <c r="P90" s="11"/>
      <c r="Q90" s="11"/>
      <c r="R90" s="11"/>
      <c r="S90" s="11"/>
      <c r="T90" s="11"/>
      <c r="U90" s="11"/>
      <c r="V90" s="11"/>
      <c r="W90" s="1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79"/>
      <c r="AL90" s="45"/>
    </row>
    <row r="91" spans="2:38" x14ac:dyDescent="0.25">
      <c r="B91" s="88"/>
      <c r="C91" s="89"/>
      <c r="D91" s="89"/>
      <c r="E91" s="106"/>
      <c r="F91" s="72"/>
      <c r="G91" s="9"/>
      <c r="H91" s="74">
        <f t="shared" si="1"/>
        <v>14497900</v>
      </c>
      <c r="I91" s="35"/>
      <c r="J91" s="19"/>
      <c r="K91" s="19"/>
      <c r="L91" s="19"/>
      <c r="M91" s="19"/>
      <c r="N91" s="36"/>
      <c r="O91" s="22"/>
      <c r="P91" s="11"/>
      <c r="Q91" s="11"/>
      <c r="R91" s="11"/>
      <c r="S91" s="11"/>
      <c r="T91" s="11"/>
      <c r="U91" s="11"/>
      <c r="V91" s="11"/>
      <c r="W91" s="16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79"/>
      <c r="AL91" s="45"/>
    </row>
    <row r="92" spans="2:38" x14ac:dyDescent="0.25">
      <c r="B92" s="88"/>
      <c r="C92" s="89"/>
      <c r="D92" s="89"/>
      <c r="E92" s="106"/>
      <c r="F92" s="72"/>
      <c r="G92" s="9"/>
      <c r="H92" s="74">
        <f t="shared" si="1"/>
        <v>14497900</v>
      </c>
      <c r="I92" s="35"/>
      <c r="J92" s="19"/>
      <c r="K92" s="19"/>
      <c r="L92" s="19"/>
      <c r="M92" s="19"/>
      <c r="N92" s="36"/>
      <c r="O92" s="22"/>
      <c r="P92" s="11"/>
      <c r="Q92" s="11"/>
      <c r="R92" s="11"/>
      <c r="S92" s="11"/>
      <c r="T92" s="11"/>
      <c r="U92" s="11"/>
      <c r="V92" s="11"/>
      <c r="W92" s="16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45"/>
    </row>
    <row r="93" spans="2:38" x14ac:dyDescent="0.25">
      <c r="B93" s="88"/>
      <c r="C93" s="89"/>
      <c r="D93" s="89"/>
      <c r="E93" s="106"/>
      <c r="F93" s="72"/>
      <c r="G93" s="9"/>
      <c r="H93" s="74">
        <f t="shared" si="1"/>
        <v>14497900</v>
      </c>
      <c r="I93" s="35"/>
      <c r="J93" s="19"/>
      <c r="K93" s="19"/>
      <c r="L93" s="19"/>
      <c r="M93" s="19"/>
      <c r="N93" s="36"/>
      <c r="O93" s="22"/>
      <c r="P93" s="11"/>
      <c r="Q93" s="11"/>
      <c r="R93" s="11"/>
      <c r="S93" s="11"/>
      <c r="T93" s="11"/>
      <c r="U93" s="11"/>
      <c r="V93" s="11"/>
      <c r="W93" s="16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79"/>
      <c r="AL93" s="45"/>
    </row>
    <row r="94" spans="2:38" x14ac:dyDescent="0.25">
      <c r="B94" s="88"/>
      <c r="C94" s="89"/>
      <c r="D94" s="89"/>
      <c r="E94" s="106"/>
      <c r="F94" s="72"/>
      <c r="G94" s="9"/>
      <c r="H94" s="74">
        <f t="shared" si="1"/>
        <v>14497900</v>
      </c>
      <c r="I94" s="35"/>
      <c r="J94" s="19"/>
      <c r="K94" s="19"/>
      <c r="L94" s="19"/>
      <c r="M94" s="19"/>
      <c r="N94" s="36"/>
      <c r="O94" s="22"/>
      <c r="P94" s="11"/>
      <c r="Q94" s="11"/>
      <c r="R94" s="11"/>
      <c r="S94" s="11"/>
      <c r="T94" s="11"/>
      <c r="U94" s="14"/>
      <c r="V94" s="14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79"/>
      <c r="AL94" s="45"/>
    </row>
    <row r="95" spans="2:38" x14ac:dyDescent="0.25">
      <c r="B95" s="88"/>
      <c r="C95" s="89"/>
      <c r="D95" s="89"/>
      <c r="E95" s="106"/>
      <c r="F95" s="72"/>
      <c r="G95" s="9"/>
      <c r="H95" s="74">
        <f t="shared" si="1"/>
        <v>14497900</v>
      </c>
      <c r="I95" s="35"/>
      <c r="J95" s="19"/>
      <c r="K95" s="19"/>
      <c r="L95" s="19"/>
      <c r="M95" s="19"/>
      <c r="N95" s="36"/>
      <c r="O95" s="22"/>
      <c r="P95" s="11"/>
      <c r="Q95" s="11"/>
      <c r="R95" s="11"/>
      <c r="S95" s="11"/>
      <c r="T95" s="11"/>
      <c r="U95" s="11"/>
      <c r="V95" s="11"/>
      <c r="W95" s="16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79"/>
      <c r="AL95" s="45"/>
    </row>
    <row r="96" spans="2:38" x14ac:dyDescent="0.25">
      <c r="B96" s="88"/>
      <c r="C96" s="89"/>
      <c r="D96" s="89"/>
      <c r="E96" s="106"/>
      <c r="F96" s="72"/>
      <c r="G96" s="9"/>
      <c r="H96" s="74">
        <f t="shared" si="1"/>
        <v>14497900</v>
      </c>
      <c r="I96" s="35"/>
      <c r="J96" s="19"/>
      <c r="K96" s="19"/>
      <c r="L96" s="19"/>
      <c r="M96" s="19"/>
      <c r="N96" s="36"/>
      <c r="O96" s="22"/>
      <c r="P96" s="14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79"/>
      <c r="AL96" s="45"/>
    </row>
    <row r="97" spans="2:38" x14ac:dyDescent="0.25">
      <c r="B97" s="88"/>
      <c r="C97" s="89"/>
      <c r="D97" s="89"/>
      <c r="E97" s="106"/>
      <c r="F97" s="72"/>
      <c r="G97" s="9"/>
      <c r="H97" s="74">
        <f t="shared" si="1"/>
        <v>14497900</v>
      </c>
      <c r="I97" s="35"/>
      <c r="J97" s="19"/>
      <c r="K97" s="19"/>
      <c r="L97" s="19"/>
      <c r="M97" s="19"/>
      <c r="N97" s="36"/>
      <c r="O97" s="22"/>
      <c r="P97" s="14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79"/>
      <c r="AL97" s="45"/>
    </row>
    <row r="98" spans="2:38" x14ac:dyDescent="0.25">
      <c r="B98" s="88"/>
      <c r="C98" s="89"/>
      <c r="D98" s="89"/>
      <c r="E98" s="106"/>
      <c r="F98" s="72"/>
      <c r="G98" s="9"/>
      <c r="H98" s="74">
        <f t="shared" si="1"/>
        <v>14497900</v>
      </c>
      <c r="I98" s="35"/>
      <c r="J98" s="19"/>
      <c r="K98" s="19"/>
      <c r="L98" s="19"/>
      <c r="M98" s="19"/>
      <c r="N98" s="36"/>
      <c r="O98" s="22"/>
      <c r="P98" s="11"/>
      <c r="Q98" s="11"/>
      <c r="R98" s="11"/>
      <c r="S98" s="11"/>
      <c r="T98" s="11"/>
      <c r="U98" s="11"/>
      <c r="V98" s="11"/>
      <c r="W98" s="11"/>
      <c r="X98" s="11"/>
      <c r="Y98" s="14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79"/>
      <c r="AL98" s="45"/>
    </row>
    <row r="99" spans="2:38" x14ac:dyDescent="0.25">
      <c r="B99" s="88"/>
      <c r="C99" s="89"/>
      <c r="D99" s="89"/>
      <c r="E99" s="106"/>
      <c r="F99" s="72"/>
      <c r="G99" s="9"/>
      <c r="H99" s="74">
        <f t="shared" si="1"/>
        <v>14497900</v>
      </c>
      <c r="I99" s="35"/>
      <c r="J99" s="19"/>
      <c r="K99" s="19"/>
      <c r="L99" s="19"/>
      <c r="M99" s="19"/>
      <c r="N99" s="36"/>
      <c r="O99" s="22"/>
      <c r="P99" s="11"/>
      <c r="Q99" s="11"/>
      <c r="R99" s="11"/>
      <c r="S99" s="11"/>
      <c r="T99" s="11"/>
      <c r="U99" s="11"/>
      <c r="V99" s="11"/>
      <c r="W99" s="11"/>
      <c r="X99" s="11"/>
      <c r="Y99" s="14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79"/>
      <c r="AL99" s="45"/>
    </row>
    <row r="100" spans="2:38" x14ac:dyDescent="0.25">
      <c r="B100" s="88"/>
      <c r="C100" s="89"/>
      <c r="D100" s="89"/>
      <c r="E100" s="106"/>
      <c r="F100" s="72"/>
      <c r="G100" s="9"/>
      <c r="H100" s="74">
        <f t="shared" si="1"/>
        <v>14497900</v>
      </c>
      <c r="I100" s="35"/>
      <c r="J100" s="19"/>
      <c r="K100" s="19"/>
      <c r="L100" s="19"/>
      <c r="M100" s="19"/>
      <c r="N100" s="36"/>
      <c r="O100" s="22"/>
      <c r="P100" s="11"/>
      <c r="Q100" s="11"/>
      <c r="R100" s="11"/>
      <c r="S100" s="11"/>
      <c r="T100" s="11"/>
      <c r="U100" s="11"/>
      <c r="V100" s="11"/>
      <c r="W100" s="11"/>
      <c r="X100" s="11"/>
      <c r="Y100" s="14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79"/>
      <c r="AL100" s="45"/>
    </row>
    <row r="101" spans="2:38" x14ac:dyDescent="0.25">
      <c r="B101" s="88"/>
      <c r="C101" s="89"/>
      <c r="D101" s="89"/>
      <c r="E101" s="106"/>
      <c r="F101" s="72"/>
      <c r="G101" s="9"/>
      <c r="H101" s="74">
        <f t="shared" si="1"/>
        <v>14497900</v>
      </c>
      <c r="I101" s="35"/>
      <c r="J101" s="19"/>
      <c r="K101" s="19"/>
      <c r="L101" s="19"/>
      <c r="M101" s="19"/>
      <c r="N101" s="36"/>
      <c r="O101" s="2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5"/>
      <c r="AG101" s="11"/>
      <c r="AH101" s="11"/>
      <c r="AI101" s="11"/>
      <c r="AJ101" s="11"/>
      <c r="AK101" s="79"/>
      <c r="AL101" s="45"/>
    </row>
    <row r="102" spans="2:38" x14ac:dyDescent="0.25">
      <c r="B102" s="88"/>
      <c r="C102" s="89"/>
      <c r="D102" s="89"/>
      <c r="E102" s="106"/>
      <c r="F102" s="72"/>
      <c r="G102" s="9"/>
      <c r="H102" s="74">
        <f t="shared" si="1"/>
        <v>14497900</v>
      </c>
      <c r="I102" s="35"/>
      <c r="J102" s="19"/>
      <c r="K102" s="19"/>
      <c r="L102" s="19"/>
      <c r="M102" s="19"/>
      <c r="N102" s="36"/>
      <c r="O102" s="2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79"/>
      <c r="AL102" s="45"/>
    </row>
    <row r="103" spans="2:38" x14ac:dyDescent="0.25">
      <c r="B103" s="88"/>
      <c r="C103" s="89"/>
      <c r="D103" s="89"/>
      <c r="E103" s="106"/>
      <c r="F103" s="72"/>
      <c r="G103" s="9"/>
      <c r="H103" s="74">
        <f t="shared" si="1"/>
        <v>14497900</v>
      </c>
      <c r="I103" s="35"/>
      <c r="J103" s="19"/>
      <c r="K103" s="19"/>
      <c r="L103" s="19"/>
      <c r="M103" s="19"/>
      <c r="N103" s="36"/>
      <c r="O103" s="22"/>
      <c r="P103" s="11"/>
      <c r="Q103" s="11"/>
      <c r="R103" s="11"/>
      <c r="S103" s="11"/>
      <c r="T103" s="11"/>
      <c r="U103" s="11"/>
      <c r="V103" s="11"/>
      <c r="W103" s="16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79"/>
      <c r="AL103" s="45"/>
    </row>
    <row r="104" spans="2:38" x14ac:dyDescent="0.25">
      <c r="B104" s="88"/>
      <c r="C104" s="89"/>
      <c r="D104" s="89"/>
      <c r="E104" s="106"/>
      <c r="F104" s="72"/>
      <c r="G104" s="9"/>
      <c r="H104" s="74">
        <f t="shared" si="1"/>
        <v>14497900</v>
      </c>
      <c r="I104" s="35"/>
      <c r="J104" s="19"/>
      <c r="K104" s="19"/>
      <c r="L104" s="19"/>
      <c r="M104" s="19"/>
      <c r="N104" s="36"/>
      <c r="O104" s="22"/>
      <c r="P104" s="11"/>
      <c r="Q104" s="11"/>
      <c r="R104" s="11"/>
      <c r="S104" s="11"/>
      <c r="T104" s="11"/>
      <c r="U104" s="11"/>
      <c r="V104" s="11"/>
      <c r="W104" s="16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79"/>
      <c r="AL104" s="45"/>
    </row>
    <row r="105" spans="2:38" x14ac:dyDescent="0.25">
      <c r="B105" s="88"/>
      <c r="C105" s="89"/>
      <c r="D105" s="89"/>
      <c r="E105" s="106"/>
      <c r="F105" s="72"/>
      <c r="G105" s="9"/>
      <c r="H105" s="74">
        <f t="shared" si="1"/>
        <v>14497900</v>
      </c>
      <c r="I105" s="35"/>
      <c r="J105" s="19"/>
      <c r="K105" s="19"/>
      <c r="L105" s="19"/>
      <c r="M105" s="19"/>
      <c r="N105" s="36"/>
      <c r="O105" s="22"/>
      <c r="P105" s="11"/>
      <c r="Q105" s="11"/>
      <c r="R105" s="11"/>
      <c r="S105" s="11"/>
      <c r="T105" s="11"/>
      <c r="U105" s="11"/>
      <c r="V105" s="11"/>
      <c r="W105" s="16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4"/>
      <c r="AI105" s="14"/>
      <c r="AJ105" s="14"/>
      <c r="AK105" s="80"/>
      <c r="AL105" s="45"/>
    </row>
    <row r="106" spans="2:38" x14ac:dyDescent="0.25">
      <c r="B106" s="88"/>
      <c r="C106" s="89"/>
      <c r="D106" s="89"/>
      <c r="E106" s="106"/>
      <c r="F106" s="72"/>
      <c r="G106" s="9"/>
      <c r="H106" s="74">
        <f t="shared" si="1"/>
        <v>14497900</v>
      </c>
      <c r="I106" s="35"/>
      <c r="J106" s="19"/>
      <c r="K106" s="19"/>
      <c r="L106" s="19"/>
      <c r="M106" s="19"/>
      <c r="N106" s="36"/>
      <c r="O106" s="22"/>
      <c r="P106" s="11"/>
      <c r="Q106" s="11"/>
      <c r="R106" s="11"/>
      <c r="S106" s="11"/>
      <c r="T106" s="11"/>
      <c r="U106" s="11"/>
      <c r="V106" s="11"/>
      <c r="W106" s="16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4"/>
      <c r="AI106" s="14"/>
      <c r="AJ106" s="14"/>
      <c r="AK106" s="80"/>
      <c r="AL106" s="45"/>
    </row>
    <row r="107" spans="2:38" x14ac:dyDescent="0.25">
      <c r="B107" s="88"/>
      <c r="C107" s="89"/>
      <c r="D107" s="89"/>
      <c r="E107" s="106"/>
      <c r="F107" s="72"/>
      <c r="G107" s="9"/>
      <c r="H107" s="74">
        <f t="shared" si="1"/>
        <v>14497900</v>
      </c>
      <c r="I107" s="35"/>
      <c r="J107" s="19"/>
      <c r="K107" s="19"/>
      <c r="L107" s="19"/>
      <c r="M107" s="19"/>
      <c r="N107" s="36"/>
      <c r="O107" s="22"/>
      <c r="P107" s="11"/>
      <c r="Q107" s="11"/>
      <c r="R107" s="11"/>
      <c r="S107" s="11"/>
      <c r="T107" s="11"/>
      <c r="U107" s="11"/>
      <c r="V107" s="11"/>
      <c r="W107" s="16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79"/>
      <c r="AL107" s="45"/>
    </row>
    <row r="108" spans="2:38" x14ac:dyDescent="0.25">
      <c r="B108" s="88"/>
      <c r="C108" s="89"/>
      <c r="D108" s="89"/>
      <c r="E108" s="106"/>
      <c r="F108" s="72"/>
      <c r="G108" s="9"/>
      <c r="H108" s="74">
        <f t="shared" si="1"/>
        <v>14497900</v>
      </c>
      <c r="I108" s="35"/>
      <c r="J108" s="19"/>
      <c r="K108" s="19"/>
      <c r="L108" s="19"/>
      <c r="M108" s="19"/>
      <c r="N108" s="36"/>
      <c r="O108" s="22"/>
      <c r="P108" s="11"/>
      <c r="Q108" s="11"/>
      <c r="R108" s="11"/>
      <c r="S108" s="11"/>
      <c r="T108" s="11"/>
      <c r="U108" s="11"/>
      <c r="V108" s="11"/>
      <c r="W108" s="1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79"/>
      <c r="AL108" s="45"/>
    </row>
    <row r="109" spans="2:38" x14ac:dyDescent="0.25">
      <c r="B109" s="88"/>
      <c r="C109" s="89"/>
      <c r="D109" s="89"/>
      <c r="E109" s="106"/>
      <c r="F109" s="72"/>
      <c r="G109" s="9"/>
      <c r="H109" s="74">
        <f t="shared" si="1"/>
        <v>14497900</v>
      </c>
      <c r="I109" s="35"/>
      <c r="J109" s="19"/>
      <c r="K109" s="19"/>
      <c r="L109" s="19"/>
      <c r="M109" s="19"/>
      <c r="N109" s="36"/>
      <c r="O109" s="2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79"/>
      <c r="AL109" s="45"/>
    </row>
    <row r="110" spans="2:38" x14ac:dyDescent="0.25">
      <c r="B110" s="88"/>
      <c r="C110" s="89"/>
      <c r="D110" s="89"/>
      <c r="E110" s="106"/>
      <c r="F110" s="72"/>
      <c r="G110" s="9"/>
      <c r="H110" s="74">
        <f t="shared" si="1"/>
        <v>14497900</v>
      </c>
      <c r="I110" s="35"/>
      <c r="J110" s="19"/>
      <c r="K110" s="19"/>
      <c r="L110" s="19"/>
      <c r="M110" s="19"/>
      <c r="N110" s="36"/>
      <c r="O110" s="2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79"/>
      <c r="AL110" s="45"/>
    </row>
    <row r="111" spans="2:38" x14ac:dyDescent="0.25">
      <c r="B111" s="88"/>
      <c r="C111" s="89"/>
      <c r="D111" s="89"/>
      <c r="E111" s="106"/>
      <c r="F111" s="72"/>
      <c r="G111" s="9"/>
      <c r="H111" s="74">
        <f t="shared" si="1"/>
        <v>14497900</v>
      </c>
      <c r="I111" s="35"/>
      <c r="J111" s="19"/>
      <c r="K111" s="19"/>
      <c r="L111" s="19"/>
      <c r="M111" s="19"/>
      <c r="N111" s="36"/>
      <c r="O111" s="2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79"/>
      <c r="AL111" s="45"/>
    </row>
    <row r="112" spans="2:38" x14ac:dyDescent="0.25">
      <c r="B112" s="88"/>
      <c r="C112" s="89"/>
      <c r="D112" s="89"/>
      <c r="E112" s="106"/>
      <c r="F112" s="72"/>
      <c r="G112" s="9"/>
      <c r="H112" s="74">
        <f t="shared" si="1"/>
        <v>14497900</v>
      </c>
      <c r="I112" s="35"/>
      <c r="J112" s="19"/>
      <c r="K112" s="19"/>
      <c r="L112" s="19"/>
      <c r="M112" s="19"/>
      <c r="N112" s="36"/>
      <c r="O112" s="2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4"/>
      <c r="AH112" s="14"/>
      <c r="AI112" s="14"/>
      <c r="AJ112" s="14"/>
      <c r="AK112" s="80"/>
      <c r="AL112" s="45"/>
    </row>
    <row r="113" spans="2:38" x14ac:dyDescent="0.25">
      <c r="B113" s="88"/>
      <c r="C113" s="89"/>
      <c r="D113" s="89"/>
      <c r="E113" s="106"/>
      <c r="F113" s="72"/>
      <c r="G113" s="9"/>
      <c r="H113" s="74">
        <f t="shared" si="1"/>
        <v>14497900</v>
      </c>
      <c r="I113" s="35"/>
      <c r="J113" s="19"/>
      <c r="K113" s="19"/>
      <c r="L113" s="19"/>
      <c r="M113" s="19"/>
      <c r="N113" s="36"/>
      <c r="O113" s="2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4"/>
      <c r="AH113" s="11"/>
      <c r="AI113" s="11"/>
      <c r="AJ113" s="11"/>
      <c r="AK113" s="79"/>
      <c r="AL113" s="45"/>
    </row>
    <row r="114" spans="2:38" x14ac:dyDescent="0.25">
      <c r="B114" s="88"/>
      <c r="C114" s="89"/>
      <c r="D114" s="89"/>
      <c r="E114" s="106"/>
      <c r="F114" s="72"/>
      <c r="G114" s="9"/>
      <c r="H114" s="74">
        <f t="shared" si="1"/>
        <v>14497900</v>
      </c>
      <c r="I114" s="35"/>
      <c r="J114" s="19"/>
      <c r="K114" s="19"/>
      <c r="L114" s="19"/>
      <c r="M114" s="19"/>
      <c r="N114" s="36"/>
      <c r="O114" s="2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5"/>
      <c r="AA114" s="15"/>
      <c r="AB114" s="15"/>
      <c r="AC114" s="15"/>
      <c r="AD114" s="11"/>
      <c r="AE114" s="11"/>
      <c r="AF114" s="11"/>
      <c r="AG114" s="11"/>
      <c r="AH114" s="11"/>
      <c r="AI114" s="11"/>
      <c r="AJ114" s="11"/>
      <c r="AK114" s="79"/>
      <c r="AL114" s="45"/>
    </row>
    <row r="115" spans="2:38" x14ac:dyDescent="0.25">
      <c r="B115" s="88"/>
      <c r="C115" s="89"/>
      <c r="D115" s="89"/>
      <c r="E115" s="106"/>
      <c r="F115" s="72"/>
      <c r="G115" s="9"/>
      <c r="H115" s="74">
        <f t="shared" si="1"/>
        <v>14497900</v>
      </c>
      <c r="I115" s="35"/>
      <c r="J115" s="19"/>
      <c r="K115" s="19"/>
      <c r="L115" s="19"/>
      <c r="M115" s="19"/>
      <c r="N115" s="36"/>
      <c r="O115" s="22"/>
      <c r="P115" s="14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79"/>
      <c r="AL115" s="45"/>
    </row>
    <row r="116" spans="2:38" x14ac:dyDescent="0.25">
      <c r="B116" s="88"/>
      <c r="C116" s="89"/>
      <c r="D116" s="89"/>
      <c r="E116" s="106"/>
      <c r="F116" s="72"/>
      <c r="G116" s="9"/>
      <c r="H116" s="74">
        <f t="shared" si="1"/>
        <v>14497900</v>
      </c>
      <c r="I116" s="35"/>
      <c r="J116" s="19"/>
      <c r="K116" s="19"/>
      <c r="L116" s="19"/>
      <c r="M116" s="19"/>
      <c r="N116" s="36"/>
      <c r="O116" s="22"/>
      <c r="P116" s="11"/>
      <c r="Q116" s="11"/>
      <c r="R116" s="11"/>
      <c r="S116" s="11"/>
      <c r="T116" s="14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79"/>
      <c r="AL116" s="45"/>
    </row>
    <row r="117" spans="2:38" x14ac:dyDescent="0.25">
      <c r="B117" s="88"/>
      <c r="C117" s="89"/>
      <c r="D117" s="89"/>
      <c r="E117" s="106"/>
      <c r="F117" s="72"/>
      <c r="G117" s="9"/>
      <c r="H117" s="74">
        <f t="shared" si="1"/>
        <v>14497900</v>
      </c>
      <c r="I117" s="35"/>
      <c r="J117" s="19"/>
      <c r="K117" s="19"/>
      <c r="L117" s="19"/>
      <c r="M117" s="19"/>
      <c r="N117" s="36"/>
      <c r="O117" s="22"/>
      <c r="P117" s="11"/>
      <c r="Q117" s="11"/>
      <c r="R117" s="11"/>
      <c r="S117" s="11"/>
      <c r="T117" s="11"/>
      <c r="U117" s="14"/>
      <c r="V117" s="14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79"/>
      <c r="AL117" s="45"/>
    </row>
    <row r="118" spans="2:38" x14ac:dyDescent="0.25">
      <c r="B118" s="88"/>
      <c r="C118" s="89"/>
      <c r="D118" s="89"/>
      <c r="E118" s="106"/>
      <c r="F118" s="72"/>
      <c r="G118" s="9"/>
      <c r="H118" s="74">
        <f t="shared" si="1"/>
        <v>14497900</v>
      </c>
      <c r="I118" s="35"/>
      <c r="J118" s="19"/>
      <c r="K118" s="19"/>
      <c r="L118" s="19"/>
      <c r="M118" s="19"/>
      <c r="N118" s="36"/>
      <c r="O118" s="22"/>
      <c r="P118" s="11"/>
      <c r="Q118" s="11"/>
      <c r="R118" s="11"/>
      <c r="S118" s="11"/>
      <c r="T118" s="11"/>
      <c r="U118" s="11"/>
      <c r="V118" s="11"/>
      <c r="W118" s="16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79"/>
      <c r="AL118" s="45"/>
    </row>
    <row r="119" spans="2:38" x14ac:dyDescent="0.25">
      <c r="B119" s="88"/>
      <c r="C119" s="89"/>
      <c r="D119" s="89"/>
      <c r="E119" s="106"/>
      <c r="F119" s="72"/>
      <c r="G119" s="9"/>
      <c r="H119" s="74">
        <f t="shared" si="1"/>
        <v>14497900</v>
      </c>
      <c r="I119" s="35"/>
      <c r="J119" s="19"/>
      <c r="K119" s="19"/>
      <c r="L119" s="19"/>
      <c r="M119" s="19"/>
      <c r="N119" s="36"/>
      <c r="O119" s="2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79"/>
      <c r="AL119" s="45"/>
    </row>
    <row r="120" spans="2:38" x14ac:dyDescent="0.25">
      <c r="B120" s="88"/>
      <c r="C120" s="89"/>
      <c r="D120" s="89"/>
      <c r="E120" s="106"/>
      <c r="F120" s="72"/>
      <c r="G120" s="9"/>
      <c r="H120" s="74">
        <f t="shared" si="1"/>
        <v>14497900</v>
      </c>
      <c r="I120" s="35"/>
      <c r="J120" s="19"/>
      <c r="K120" s="19"/>
      <c r="L120" s="19"/>
      <c r="M120" s="19"/>
      <c r="N120" s="36"/>
      <c r="O120" s="22"/>
      <c r="P120" s="11"/>
      <c r="Q120" s="11"/>
      <c r="R120" s="11"/>
      <c r="S120" s="11"/>
      <c r="T120" s="11"/>
      <c r="U120" s="11"/>
      <c r="V120" s="11"/>
      <c r="W120" s="16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79"/>
      <c r="AL120" s="45"/>
    </row>
    <row r="121" spans="2:38" x14ac:dyDescent="0.25">
      <c r="B121" s="88"/>
      <c r="C121" s="89"/>
      <c r="D121" s="89"/>
      <c r="E121" s="106"/>
      <c r="F121" s="72"/>
      <c r="G121" s="9"/>
      <c r="H121" s="74">
        <f t="shared" si="1"/>
        <v>14497900</v>
      </c>
      <c r="I121" s="35"/>
      <c r="J121" s="19"/>
      <c r="K121" s="19"/>
      <c r="L121" s="19"/>
      <c r="M121" s="19"/>
      <c r="N121" s="36"/>
      <c r="O121" s="22"/>
      <c r="P121" s="11"/>
      <c r="Q121" s="11"/>
      <c r="R121" s="11"/>
      <c r="S121" s="11"/>
      <c r="T121" s="11"/>
      <c r="U121" s="11"/>
      <c r="V121" s="11"/>
      <c r="W121" s="16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79"/>
      <c r="AL121" s="45"/>
    </row>
    <row r="122" spans="2:38" x14ac:dyDescent="0.25">
      <c r="B122" s="88"/>
      <c r="C122" s="89"/>
      <c r="D122" s="89"/>
      <c r="E122" s="106"/>
      <c r="F122" s="72"/>
      <c r="G122" s="9"/>
      <c r="H122" s="74">
        <f t="shared" si="1"/>
        <v>14497900</v>
      </c>
      <c r="I122" s="35"/>
      <c r="J122" s="19"/>
      <c r="K122" s="19"/>
      <c r="L122" s="19"/>
      <c r="M122" s="19"/>
      <c r="N122" s="36"/>
      <c r="O122" s="22"/>
      <c r="P122" s="11"/>
      <c r="Q122" s="11"/>
      <c r="R122" s="11"/>
      <c r="S122" s="11"/>
      <c r="T122" s="11"/>
      <c r="U122" s="11"/>
      <c r="V122" s="11"/>
      <c r="W122" s="17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79"/>
      <c r="AL122" s="45"/>
    </row>
    <row r="123" spans="2:38" x14ac:dyDescent="0.25">
      <c r="B123" s="88"/>
      <c r="C123" s="89"/>
      <c r="D123" s="89"/>
      <c r="E123" s="106"/>
      <c r="F123" s="72"/>
      <c r="G123" s="9"/>
      <c r="H123" s="74">
        <f t="shared" si="1"/>
        <v>14497900</v>
      </c>
      <c r="I123" s="35"/>
      <c r="J123" s="19"/>
      <c r="K123" s="19"/>
      <c r="L123" s="19"/>
      <c r="M123" s="19"/>
      <c r="N123" s="36"/>
      <c r="O123" s="2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79"/>
      <c r="AL123" s="45"/>
    </row>
    <row r="124" spans="2:38" x14ac:dyDescent="0.25">
      <c r="B124" s="88"/>
      <c r="C124" s="89"/>
      <c r="D124" s="89"/>
      <c r="E124" s="106"/>
      <c r="F124" s="72"/>
      <c r="G124" s="9"/>
      <c r="H124" s="74">
        <f t="shared" si="1"/>
        <v>14497900</v>
      </c>
      <c r="I124" s="35"/>
      <c r="J124" s="19"/>
      <c r="K124" s="19"/>
      <c r="L124" s="19"/>
      <c r="M124" s="19"/>
      <c r="N124" s="36"/>
      <c r="O124" s="22"/>
      <c r="P124" s="11"/>
      <c r="Q124" s="11"/>
      <c r="R124" s="11"/>
      <c r="S124" s="11"/>
      <c r="T124" s="11"/>
      <c r="U124" s="11"/>
      <c r="V124" s="11"/>
      <c r="W124" s="16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79"/>
      <c r="AL124" s="45"/>
    </row>
    <row r="125" spans="2:38" x14ac:dyDescent="0.25">
      <c r="B125" s="88"/>
      <c r="C125" s="89"/>
      <c r="D125" s="89"/>
      <c r="E125" s="106"/>
      <c r="F125" s="72"/>
      <c r="G125" s="9"/>
      <c r="H125" s="74">
        <f t="shared" si="1"/>
        <v>14497900</v>
      </c>
      <c r="I125" s="35"/>
      <c r="J125" s="19"/>
      <c r="K125" s="19"/>
      <c r="L125" s="19"/>
      <c r="M125" s="19"/>
      <c r="N125" s="36"/>
      <c r="O125" s="22"/>
      <c r="P125" s="11"/>
      <c r="Q125" s="11"/>
      <c r="R125" s="11"/>
      <c r="S125" s="11"/>
      <c r="T125" s="11"/>
      <c r="U125" s="11"/>
      <c r="V125" s="11"/>
      <c r="W125" s="16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79"/>
      <c r="AL125" s="45"/>
    </row>
    <row r="126" spans="2:38" x14ac:dyDescent="0.25">
      <c r="B126" s="88"/>
      <c r="C126" s="89"/>
      <c r="D126" s="89"/>
      <c r="E126" s="106"/>
      <c r="F126" s="72"/>
      <c r="G126" s="9"/>
      <c r="H126" s="74">
        <f t="shared" si="1"/>
        <v>14497900</v>
      </c>
      <c r="I126" s="35"/>
      <c r="J126" s="19"/>
      <c r="K126" s="19"/>
      <c r="L126" s="19"/>
      <c r="M126" s="19"/>
      <c r="N126" s="36"/>
      <c r="O126" s="2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79"/>
      <c r="AL126" s="45"/>
    </row>
    <row r="127" spans="2:38" x14ac:dyDescent="0.25">
      <c r="B127" s="88"/>
      <c r="C127" s="89"/>
      <c r="D127" s="89"/>
      <c r="E127" s="106"/>
      <c r="F127" s="72"/>
      <c r="G127" s="9"/>
      <c r="H127" s="74">
        <f t="shared" si="1"/>
        <v>14497900</v>
      </c>
      <c r="I127" s="35"/>
      <c r="J127" s="19"/>
      <c r="K127" s="19"/>
      <c r="L127" s="19"/>
      <c r="M127" s="19"/>
      <c r="N127" s="36"/>
      <c r="O127" s="22"/>
      <c r="P127" s="11"/>
      <c r="Q127" s="11"/>
      <c r="R127" s="11"/>
      <c r="S127" s="11"/>
      <c r="T127" s="11"/>
      <c r="U127" s="11"/>
      <c r="V127" s="11"/>
      <c r="W127" s="16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79"/>
      <c r="AL127" s="45"/>
    </row>
    <row r="128" spans="2:38" x14ac:dyDescent="0.25">
      <c r="B128" s="88"/>
      <c r="C128" s="89"/>
      <c r="D128" s="89"/>
      <c r="E128" s="106"/>
      <c r="F128" s="72"/>
      <c r="G128" s="9"/>
      <c r="H128" s="74">
        <f t="shared" si="1"/>
        <v>14497900</v>
      </c>
      <c r="I128" s="35"/>
      <c r="J128" s="19"/>
      <c r="K128" s="19"/>
      <c r="L128" s="19"/>
      <c r="M128" s="19"/>
      <c r="N128" s="36"/>
      <c r="O128" s="22"/>
      <c r="P128" s="11"/>
      <c r="Q128" s="11"/>
      <c r="R128" s="11"/>
      <c r="S128" s="11"/>
      <c r="T128" s="11"/>
      <c r="U128" s="11"/>
      <c r="V128" s="11"/>
      <c r="W128" s="11"/>
      <c r="X128" s="15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79"/>
      <c r="AL128" s="45"/>
    </row>
    <row r="129" spans="2:38" x14ac:dyDescent="0.25">
      <c r="B129" s="88"/>
      <c r="C129" s="89"/>
      <c r="D129" s="89"/>
      <c r="E129" s="106"/>
      <c r="F129" s="72"/>
      <c r="G129" s="9"/>
      <c r="H129" s="74">
        <f t="shared" si="1"/>
        <v>14497900</v>
      </c>
      <c r="I129" s="35"/>
      <c r="J129" s="19"/>
      <c r="K129" s="19"/>
      <c r="L129" s="19"/>
      <c r="M129" s="19"/>
      <c r="N129" s="36"/>
      <c r="O129" s="22"/>
      <c r="P129" s="11"/>
      <c r="Q129" s="11"/>
      <c r="R129" s="11"/>
      <c r="S129" s="11"/>
      <c r="T129" s="11"/>
      <c r="U129" s="11"/>
      <c r="V129" s="11"/>
      <c r="W129" s="11"/>
      <c r="X129" s="11"/>
      <c r="Y129" s="14"/>
      <c r="Z129" s="11"/>
      <c r="AA129" s="11"/>
      <c r="AB129" s="11"/>
      <c r="AC129" s="11"/>
      <c r="AD129" s="11"/>
      <c r="AE129" s="11"/>
      <c r="AF129" s="11"/>
      <c r="AG129" s="11"/>
      <c r="AH129" s="14"/>
      <c r="AI129" s="14"/>
      <c r="AJ129" s="14"/>
      <c r="AK129" s="80"/>
      <c r="AL129" s="45"/>
    </row>
    <row r="130" spans="2:38" x14ac:dyDescent="0.25">
      <c r="B130" s="88"/>
      <c r="C130" s="89"/>
      <c r="D130" s="89"/>
      <c r="E130" s="90"/>
      <c r="F130" s="72"/>
      <c r="G130" s="9"/>
      <c r="H130" s="74">
        <f t="shared" si="1"/>
        <v>14497900</v>
      </c>
      <c r="I130" s="35"/>
      <c r="J130" s="19"/>
      <c r="K130" s="19"/>
      <c r="L130" s="19"/>
      <c r="M130" s="19"/>
      <c r="N130" s="36"/>
      <c r="O130" s="22"/>
      <c r="P130" s="11"/>
      <c r="Q130" s="11"/>
      <c r="R130" s="11"/>
      <c r="S130" s="11"/>
      <c r="T130" s="11"/>
      <c r="U130" s="11"/>
      <c r="V130" s="11"/>
      <c r="W130" s="11"/>
      <c r="X130" s="11"/>
      <c r="Y130" s="14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79"/>
      <c r="AL130" s="45"/>
    </row>
    <row r="131" spans="2:38" x14ac:dyDescent="0.25">
      <c r="B131" s="88"/>
      <c r="C131" s="89"/>
      <c r="D131" s="89"/>
      <c r="E131" s="90"/>
      <c r="F131" s="72"/>
      <c r="G131" s="9"/>
      <c r="H131" s="74">
        <f t="shared" si="1"/>
        <v>14497900</v>
      </c>
      <c r="I131" s="35"/>
      <c r="J131" s="19"/>
      <c r="K131" s="19"/>
      <c r="L131" s="19"/>
      <c r="M131" s="19"/>
      <c r="N131" s="36"/>
      <c r="O131" s="2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79"/>
      <c r="AL131" s="45"/>
    </row>
    <row r="132" spans="2:38" x14ac:dyDescent="0.25">
      <c r="B132" s="88"/>
      <c r="C132" s="89"/>
      <c r="D132" s="89"/>
      <c r="E132" s="90"/>
      <c r="F132" s="72"/>
      <c r="G132" s="9"/>
      <c r="H132" s="74">
        <f t="shared" si="1"/>
        <v>14497900</v>
      </c>
      <c r="I132" s="35"/>
      <c r="J132" s="19"/>
      <c r="K132" s="19"/>
      <c r="L132" s="19"/>
      <c r="M132" s="19"/>
      <c r="N132" s="36"/>
      <c r="O132" s="22"/>
      <c r="P132" s="14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79"/>
      <c r="AL132" s="45"/>
    </row>
    <row r="133" spans="2:38" x14ac:dyDescent="0.25">
      <c r="B133" s="88"/>
      <c r="C133" s="89"/>
      <c r="D133" s="89"/>
      <c r="E133" s="90"/>
      <c r="F133" s="72"/>
      <c r="G133" s="9"/>
      <c r="H133" s="74">
        <f t="shared" si="1"/>
        <v>14497900</v>
      </c>
      <c r="I133" s="35"/>
      <c r="J133" s="19"/>
      <c r="K133" s="19"/>
      <c r="L133" s="19"/>
      <c r="M133" s="19"/>
      <c r="N133" s="36"/>
      <c r="O133" s="2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5"/>
      <c r="AA133" s="15"/>
      <c r="AB133" s="15"/>
      <c r="AC133" s="15"/>
      <c r="AD133" s="11"/>
      <c r="AE133" s="11"/>
      <c r="AF133" s="11"/>
      <c r="AG133" s="11"/>
      <c r="AH133" s="11"/>
      <c r="AI133" s="11"/>
      <c r="AJ133" s="11"/>
      <c r="AK133" s="79"/>
      <c r="AL133" s="45"/>
    </row>
    <row r="134" spans="2:38" x14ac:dyDescent="0.25">
      <c r="B134" s="88"/>
      <c r="C134" s="89"/>
      <c r="D134" s="89"/>
      <c r="E134" s="90"/>
      <c r="F134" s="72"/>
      <c r="G134" s="9"/>
      <c r="H134" s="74">
        <f t="shared" si="1"/>
        <v>14497900</v>
      </c>
      <c r="I134" s="35"/>
      <c r="J134" s="19"/>
      <c r="K134" s="19"/>
      <c r="L134" s="19"/>
      <c r="M134" s="19"/>
      <c r="N134" s="36"/>
      <c r="O134" s="22"/>
      <c r="P134" s="11"/>
      <c r="Q134" s="11"/>
      <c r="R134" s="11"/>
      <c r="S134" s="11"/>
      <c r="T134" s="16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79"/>
      <c r="AL134" s="45"/>
    </row>
    <row r="135" spans="2:38" x14ac:dyDescent="0.25">
      <c r="B135" s="88"/>
      <c r="C135" s="89"/>
      <c r="D135" s="89"/>
      <c r="E135" s="90"/>
      <c r="F135" s="72"/>
      <c r="G135" s="9"/>
      <c r="H135" s="74">
        <f t="shared" si="1"/>
        <v>14497900</v>
      </c>
      <c r="I135" s="35"/>
      <c r="J135" s="19"/>
      <c r="K135" s="19"/>
      <c r="L135" s="19"/>
      <c r="M135" s="19"/>
      <c r="N135" s="36"/>
      <c r="O135" s="22"/>
      <c r="P135" s="14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79"/>
      <c r="AL135" s="45"/>
    </row>
    <row r="136" spans="2:38" x14ac:dyDescent="0.25">
      <c r="B136" s="88"/>
      <c r="C136" s="89"/>
      <c r="D136" s="89"/>
      <c r="E136" s="90"/>
      <c r="F136" s="72"/>
      <c r="G136" s="9"/>
      <c r="H136" s="74">
        <f t="shared" si="1"/>
        <v>14497900</v>
      </c>
      <c r="I136" s="35"/>
      <c r="J136" s="19"/>
      <c r="K136" s="19"/>
      <c r="L136" s="19"/>
      <c r="M136" s="19"/>
      <c r="N136" s="36"/>
      <c r="O136" s="2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4"/>
      <c r="AH136" s="11"/>
      <c r="AI136" s="11"/>
      <c r="AJ136" s="11"/>
      <c r="AK136" s="79"/>
      <c r="AL136" s="45"/>
    </row>
    <row r="137" spans="2:38" x14ac:dyDescent="0.25">
      <c r="B137" s="88"/>
      <c r="C137" s="89"/>
      <c r="D137" s="89"/>
      <c r="E137" s="90"/>
      <c r="F137" s="72"/>
      <c r="G137" s="9"/>
      <c r="H137" s="74">
        <f t="shared" si="1"/>
        <v>14497900</v>
      </c>
      <c r="I137" s="35"/>
      <c r="J137" s="19"/>
      <c r="K137" s="19"/>
      <c r="L137" s="19"/>
      <c r="M137" s="19"/>
      <c r="N137" s="36"/>
      <c r="O137" s="22"/>
      <c r="P137" s="14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79"/>
      <c r="AL137" s="45"/>
    </row>
    <row r="138" spans="2:38" x14ac:dyDescent="0.25">
      <c r="B138" s="88"/>
      <c r="C138" s="89"/>
      <c r="D138" s="89"/>
      <c r="E138" s="90"/>
      <c r="F138" s="72"/>
      <c r="G138" s="9"/>
      <c r="H138" s="74">
        <f t="shared" si="1"/>
        <v>14497900</v>
      </c>
      <c r="I138" s="35"/>
      <c r="J138" s="19"/>
      <c r="K138" s="19"/>
      <c r="L138" s="19"/>
      <c r="M138" s="19"/>
      <c r="N138" s="36"/>
      <c r="O138" s="22"/>
      <c r="P138" s="11"/>
      <c r="Q138" s="11"/>
      <c r="R138" s="11"/>
      <c r="S138" s="11"/>
      <c r="T138" s="11"/>
      <c r="U138" s="11"/>
      <c r="V138" s="11"/>
      <c r="W138" s="11"/>
      <c r="X138" s="11"/>
      <c r="Y138" s="14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79"/>
      <c r="AL138" s="45"/>
    </row>
    <row r="139" spans="2:38" x14ac:dyDescent="0.25">
      <c r="B139" s="88"/>
      <c r="C139" s="89"/>
      <c r="D139" s="89"/>
      <c r="E139" s="90"/>
      <c r="F139" s="72"/>
      <c r="G139" s="9"/>
      <c r="H139" s="74">
        <f t="shared" si="1"/>
        <v>14497900</v>
      </c>
      <c r="I139" s="35"/>
      <c r="J139" s="19"/>
      <c r="K139" s="19"/>
      <c r="L139" s="19"/>
      <c r="M139" s="19"/>
      <c r="N139" s="36"/>
      <c r="O139" s="22"/>
      <c r="P139" s="11"/>
      <c r="Q139" s="11"/>
      <c r="R139" s="11"/>
      <c r="S139" s="11"/>
      <c r="T139" s="11"/>
      <c r="U139" s="11"/>
      <c r="V139" s="11"/>
      <c r="W139" s="16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79"/>
      <c r="AL139" s="45"/>
    </row>
    <row r="140" spans="2:38" x14ac:dyDescent="0.25">
      <c r="B140" s="88"/>
      <c r="C140" s="89"/>
      <c r="D140" s="89"/>
      <c r="E140" s="90"/>
      <c r="F140" s="72"/>
      <c r="G140" s="9"/>
      <c r="H140" s="74">
        <f t="shared" si="1"/>
        <v>14497900</v>
      </c>
      <c r="I140" s="35"/>
      <c r="J140" s="19"/>
      <c r="K140" s="19"/>
      <c r="L140" s="19"/>
      <c r="M140" s="19"/>
      <c r="N140" s="36"/>
      <c r="O140" s="22"/>
      <c r="P140" s="11"/>
      <c r="Q140" s="11"/>
      <c r="R140" s="11"/>
      <c r="S140" s="11"/>
      <c r="T140" s="11"/>
      <c r="U140" s="11"/>
      <c r="V140" s="11"/>
      <c r="W140" s="16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79"/>
      <c r="AL140" s="45"/>
    </row>
    <row r="141" spans="2:38" x14ac:dyDescent="0.25">
      <c r="B141" s="88"/>
      <c r="C141" s="89"/>
      <c r="D141" s="89"/>
      <c r="E141" s="90"/>
      <c r="F141" s="72"/>
      <c r="G141" s="9"/>
      <c r="H141" s="74">
        <f t="shared" si="1"/>
        <v>14497900</v>
      </c>
      <c r="I141" s="35"/>
      <c r="J141" s="19"/>
      <c r="K141" s="19"/>
      <c r="L141" s="19"/>
      <c r="M141" s="19"/>
      <c r="N141" s="36"/>
      <c r="O141" s="22"/>
      <c r="P141" s="11"/>
      <c r="Q141" s="11"/>
      <c r="R141" s="11"/>
      <c r="S141" s="11"/>
      <c r="T141" s="11"/>
      <c r="U141" s="11"/>
      <c r="V141" s="11"/>
      <c r="W141" s="16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79"/>
      <c r="AL141" s="45"/>
    </row>
    <row r="142" spans="2:38" x14ac:dyDescent="0.25">
      <c r="B142" s="88"/>
      <c r="C142" s="89"/>
      <c r="D142" s="89"/>
      <c r="E142" s="90"/>
      <c r="F142" s="72"/>
      <c r="G142" s="9"/>
      <c r="H142" s="74">
        <f t="shared" si="1"/>
        <v>14497900</v>
      </c>
      <c r="I142" s="35"/>
      <c r="J142" s="19"/>
      <c r="K142" s="19"/>
      <c r="L142" s="19"/>
      <c r="M142" s="19"/>
      <c r="N142" s="36"/>
      <c r="O142" s="2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79"/>
      <c r="AL142" s="45"/>
    </row>
    <row r="143" spans="2:38" x14ac:dyDescent="0.25">
      <c r="B143" s="88"/>
      <c r="C143" s="89"/>
      <c r="D143" s="89"/>
      <c r="E143" s="90"/>
      <c r="F143" s="72"/>
      <c r="G143" s="9"/>
      <c r="H143" s="74">
        <f t="shared" si="1"/>
        <v>14497900</v>
      </c>
      <c r="I143" s="35"/>
      <c r="J143" s="19"/>
      <c r="K143" s="19"/>
      <c r="L143" s="19"/>
      <c r="M143" s="19"/>
      <c r="N143" s="36"/>
      <c r="O143" s="22"/>
      <c r="P143" s="11"/>
      <c r="Q143" s="11"/>
      <c r="R143" s="11"/>
      <c r="S143" s="11"/>
      <c r="T143" s="11"/>
      <c r="U143" s="11"/>
      <c r="V143" s="11"/>
      <c r="W143" s="16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79"/>
      <c r="AL143" s="45"/>
    </row>
    <row r="144" spans="2:38" x14ac:dyDescent="0.25">
      <c r="B144" s="88"/>
      <c r="C144" s="89"/>
      <c r="D144" s="89"/>
      <c r="E144" s="90"/>
      <c r="F144" s="72"/>
      <c r="G144" s="9"/>
      <c r="H144" s="74">
        <f t="shared" si="1"/>
        <v>14497900</v>
      </c>
      <c r="I144" s="35"/>
      <c r="J144" s="19"/>
      <c r="K144" s="19"/>
      <c r="L144" s="19"/>
      <c r="M144" s="19"/>
      <c r="N144" s="36"/>
      <c r="O144" s="22"/>
      <c r="P144" s="11"/>
      <c r="Q144" s="11"/>
      <c r="R144" s="11"/>
      <c r="S144" s="11"/>
      <c r="T144" s="11"/>
      <c r="U144" s="11"/>
      <c r="V144" s="11"/>
      <c r="W144" s="1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79"/>
      <c r="AL144" s="45"/>
    </row>
    <row r="145" spans="2:38" x14ac:dyDescent="0.25">
      <c r="B145" s="88"/>
      <c r="C145" s="89"/>
      <c r="D145" s="89"/>
      <c r="E145" s="90"/>
      <c r="F145" s="72"/>
      <c r="G145" s="9"/>
      <c r="H145" s="74">
        <f t="shared" si="1"/>
        <v>14497900</v>
      </c>
      <c r="I145" s="35"/>
      <c r="J145" s="19"/>
      <c r="K145" s="19"/>
      <c r="L145" s="19"/>
      <c r="M145" s="19"/>
      <c r="N145" s="36"/>
      <c r="O145" s="22"/>
      <c r="P145" s="11"/>
      <c r="Q145" s="11"/>
      <c r="R145" s="11"/>
      <c r="S145" s="11"/>
      <c r="T145" s="11"/>
      <c r="U145" s="11"/>
      <c r="V145" s="11"/>
      <c r="W145" s="16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79"/>
      <c r="AL145" s="45"/>
    </row>
    <row r="146" spans="2:38" x14ac:dyDescent="0.25">
      <c r="B146" s="88"/>
      <c r="C146" s="89"/>
      <c r="D146" s="89"/>
      <c r="E146" s="90"/>
      <c r="F146" s="72"/>
      <c r="G146" s="9"/>
      <c r="H146" s="74">
        <f t="shared" ref="H146:H209" si="2">H145+F146-G146</f>
        <v>14497900</v>
      </c>
      <c r="I146" s="35"/>
      <c r="J146" s="19"/>
      <c r="K146" s="19"/>
      <c r="L146" s="19"/>
      <c r="M146" s="19"/>
      <c r="N146" s="36"/>
      <c r="O146" s="22"/>
      <c r="P146" s="11"/>
      <c r="Q146" s="11"/>
      <c r="R146" s="11"/>
      <c r="S146" s="11"/>
      <c r="T146" s="11"/>
      <c r="U146" s="11"/>
      <c r="V146" s="11"/>
      <c r="W146" s="16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79"/>
      <c r="AL146" s="45"/>
    </row>
    <row r="147" spans="2:38" x14ac:dyDescent="0.25">
      <c r="B147" s="88"/>
      <c r="C147" s="89"/>
      <c r="D147" s="89"/>
      <c r="E147" s="90"/>
      <c r="F147" s="72"/>
      <c r="G147" s="9"/>
      <c r="H147" s="74">
        <f t="shared" si="2"/>
        <v>14497900</v>
      </c>
      <c r="I147" s="35"/>
      <c r="J147" s="19"/>
      <c r="K147" s="19"/>
      <c r="L147" s="19"/>
      <c r="M147" s="19"/>
      <c r="N147" s="36"/>
      <c r="O147" s="22"/>
      <c r="P147" s="11"/>
      <c r="Q147" s="11"/>
      <c r="R147" s="11"/>
      <c r="S147" s="11"/>
      <c r="T147" s="11"/>
      <c r="U147" s="14"/>
      <c r="V147" s="11"/>
      <c r="W147" s="14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79"/>
      <c r="AL147" s="45"/>
    </row>
    <row r="148" spans="2:38" x14ac:dyDescent="0.25">
      <c r="B148" s="88"/>
      <c r="C148" s="89"/>
      <c r="D148" s="89"/>
      <c r="E148" s="90"/>
      <c r="F148" s="72"/>
      <c r="G148" s="9"/>
      <c r="H148" s="74">
        <f t="shared" si="2"/>
        <v>14497900</v>
      </c>
      <c r="I148" s="35"/>
      <c r="J148" s="19"/>
      <c r="K148" s="19"/>
      <c r="L148" s="19"/>
      <c r="M148" s="19"/>
      <c r="N148" s="36"/>
      <c r="O148" s="22"/>
      <c r="P148" s="11"/>
      <c r="Q148" s="11"/>
      <c r="R148" s="11"/>
      <c r="S148" s="11"/>
      <c r="T148" s="11"/>
      <c r="U148" s="11"/>
      <c r="V148" s="11"/>
      <c r="W148" s="16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79"/>
      <c r="AL148" s="45"/>
    </row>
    <row r="149" spans="2:38" x14ac:dyDescent="0.25">
      <c r="B149" s="88"/>
      <c r="C149" s="89"/>
      <c r="D149" s="89"/>
      <c r="E149" s="90"/>
      <c r="F149" s="72"/>
      <c r="G149" s="9"/>
      <c r="H149" s="74">
        <f t="shared" si="2"/>
        <v>14497900</v>
      </c>
      <c r="I149" s="35"/>
      <c r="J149" s="19"/>
      <c r="K149" s="19"/>
      <c r="L149" s="19"/>
      <c r="M149" s="19"/>
      <c r="N149" s="36"/>
      <c r="O149" s="2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79"/>
      <c r="AL149" s="45"/>
    </row>
    <row r="150" spans="2:38" x14ac:dyDescent="0.25">
      <c r="B150" s="88"/>
      <c r="C150" s="89"/>
      <c r="D150" s="89"/>
      <c r="E150" s="90"/>
      <c r="F150" s="72"/>
      <c r="G150" s="9"/>
      <c r="H150" s="74">
        <f t="shared" si="2"/>
        <v>14497900</v>
      </c>
      <c r="I150" s="35"/>
      <c r="J150" s="19"/>
      <c r="K150" s="19"/>
      <c r="L150" s="19"/>
      <c r="M150" s="19"/>
      <c r="N150" s="36"/>
      <c r="O150" s="22"/>
      <c r="P150" s="11"/>
      <c r="Q150" s="11"/>
      <c r="R150" s="11"/>
      <c r="S150" s="11"/>
      <c r="T150" s="11"/>
      <c r="U150" s="11"/>
      <c r="V150" s="11"/>
      <c r="W150" s="11"/>
      <c r="X150" s="11"/>
      <c r="Y150" s="14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79"/>
      <c r="AL150" s="45"/>
    </row>
    <row r="151" spans="2:38" x14ac:dyDescent="0.25">
      <c r="B151" s="88"/>
      <c r="C151" s="89"/>
      <c r="D151" s="89"/>
      <c r="E151" s="90"/>
      <c r="F151" s="72"/>
      <c r="G151" s="9"/>
      <c r="H151" s="74">
        <f t="shared" si="2"/>
        <v>14497900</v>
      </c>
      <c r="I151" s="35"/>
      <c r="J151" s="19"/>
      <c r="K151" s="19"/>
      <c r="L151" s="19"/>
      <c r="M151" s="19"/>
      <c r="N151" s="36"/>
      <c r="O151" s="22"/>
      <c r="P151" s="11"/>
      <c r="Q151" s="11"/>
      <c r="R151" s="11"/>
      <c r="S151" s="11"/>
      <c r="T151" s="11"/>
      <c r="U151" s="11"/>
      <c r="V151" s="11"/>
      <c r="W151" s="11"/>
      <c r="X151" s="11"/>
      <c r="Y151" s="14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79"/>
      <c r="AL151" s="45"/>
    </row>
    <row r="152" spans="2:38" x14ac:dyDescent="0.25">
      <c r="B152" s="88"/>
      <c r="C152" s="89"/>
      <c r="D152" s="89"/>
      <c r="E152" s="90"/>
      <c r="F152" s="72"/>
      <c r="G152" s="9"/>
      <c r="H152" s="74">
        <f t="shared" si="2"/>
        <v>14497900</v>
      </c>
      <c r="I152" s="35"/>
      <c r="J152" s="19"/>
      <c r="K152" s="19"/>
      <c r="L152" s="19"/>
      <c r="M152" s="19"/>
      <c r="N152" s="36"/>
      <c r="O152" s="22"/>
      <c r="P152" s="11"/>
      <c r="Q152" s="11"/>
      <c r="R152" s="11"/>
      <c r="S152" s="11"/>
      <c r="T152" s="11"/>
      <c r="U152" s="11"/>
      <c r="V152" s="11"/>
      <c r="W152" s="11"/>
      <c r="X152" s="11"/>
      <c r="Y152" s="14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79"/>
      <c r="AL152" s="45"/>
    </row>
    <row r="153" spans="2:38" x14ac:dyDescent="0.25">
      <c r="B153" s="88"/>
      <c r="C153" s="89"/>
      <c r="D153" s="89"/>
      <c r="E153" s="90"/>
      <c r="F153" s="72"/>
      <c r="G153" s="9"/>
      <c r="H153" s="74">
        <f t="shared" si="2"/>
        <v>14497900</v>
      </c>
      <c r="I153" s="35"/>
      <c r="J153" s="19"/>
      <c r="K153" s="19"/>
      <c r="L153" s="19"/>
      <c r="M153" s="19"/>
      <c r="N153" s="36"/>
      <c r="O153" s="22"/>
      <c r="P153" s="11"/>
      <c r="Q153" s="11"/>
      <c r="R153" s="11"/>
      <c r="S153" s="11"/>
      <c r="T153" s="11"/>
      <c r="U153" s="11"/>
      <c r="V153" s="11"/>
      <c r="W153" s="11"/>
      <c r="X153" s="11"/>
      <c r="Y153" s="14"/>
      <c r="Z153" s="14"/>
      <c r="AA153" s="14"/>
      <c r="AB153" s="14"/>
      <c r="AC153" s="14"/>
      <c r="AD153" s="11"/>
      <c r="AE153" s="11"/>
      <c r="AF153" s="11"/>
      <c r="AG153" s="11"/>
      <c r="AH153" s="11"/>
      <c r="AI153" s="11"/>
      <c r="AJ153" s="11"/>
      <c r="AK153" s="79"/>
      <c r="AL153" s="45"/>
    </row>
    <row r="154" spans="2:38" x14ac:dyDescent="0.25">
      <c r="B154" s="88"/>
      <c r="C154" s="89"/>
      <c r="D154" s="89"/>
      <c r="E154" s="90"/>
      <c r="F154" s="72"/>
      <c r="G154" s="9"/>
      <c r="H154" s="74">
        <f t="shared" si="2"/>
        <v>14497900</v>
      </c>
      <c r="I154" s="35"/>
      <c r="J154" s="19"/>
      <c r="K154" s="19"/>
      <c r="L154" s="19"/>
      <c r="M154" s="19"/>
      <c r="N154" s="36"/>
      <c r="O154" s="2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79"/>
      <c r="AL154" s="45"/>
    </row>
    <row r="155" spans="2:38" x14ac:dyDescent="0.25">
      <c r="B155" s="88"/>
      <c r="C155" s="89"/>
      <c r="D155" s="89"/>
      <c r="E155" s="90"/>
      <c r="F155" s="72"/>
      <c r="G155" s="9"/>
      <c r="H155" s="74">
        <f t="shared" si="2"/>
        <v>14497900</v>
      </c>
      <c r="I155" s="35"/>
      <c r="J155" s="19"/>
      <c r="K155" s="19"/>
      <c r="L155" s="19"/>
      <c r="M155" s="19"/>
      <c r="N155" s="36"/>
      <c r="O155" s="22"/>
      <c r="P155" s="11"/>
      <c r="Q155" s="11"/>
      <c r="R155" s="11"/>
      <c r="S155" s="11"/>
      <c r="T155" s="11"/>
      <c r="U155" s="11"/>
      <c r="V155" s="14"/>
      <c r="W155" s="14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79"/>
      <c r="AL155" s="45"/>
    </row>
    <row r="156" spans="2:38" x14ac:dyDescent="0.25">
      <c r="B156" s="88"/>
      <c r="C156" s="89"/>
      <c r="D156" s="89"/>
      <c r="E156" s="90"/>
      <c r="F156" s="72"/>
      <c r="G156" s="9"/>
      <c r="H156" s="74">
        <f t="shared" si="2"/>
        <v>14497900</v>
      </c>
      <c r="I156" s="35"/>
      <c r="J156" s="19"/>
      <c r="K156" s="19"/>
      <c r="L156" s="19"/>
      <c r="M156" s="19"/>
      <c r="N156" s="36"/>
      <c r="O156" s="22"/>
      <c r="P156" s="11"/>
      <c r="Q156" s="11"/>
      <c r="R156" s="11"/>
      <c r="S156" s="11"/>
      <c r="T156" s="11"/>
      <c r="U156" s="11"/>
      <c r="V156" s="11"/>
      <c r="W156" s="11"/>
      <c r="X156" s="11"/>
      <c r="Y156" s="16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79"/>
      <c r="AL156" s="45"/>
    </row>
    <row r="157" spans="2:38" x14ac:dyDescent="0.25">
      <c r="B157" s="88"/>
      <c r="C157" s="89"/>
      <c r="D157" s="89"/>
      <c r="E157" s="90"/>
      <c r="F157" s="72"/>
      <c r="G157" s="9"/>
      <c r="H157" s="74">
        <f t="shared" si="2"/>
        <v>14497900</v>
      </c>
      <c r="I157" s="35"/>
      <c r="J157" s="19"/>
      <c r="K157" s="19"/>
      <c r="L157" s="19"/>
      <c r="M157" s="19"/>
      <c r="N157" s="36"/>
      <c r="O157" s="22"/>
      <c r="P157" s="11"/>
      <c r="Q157" s="11"/>
      <c r="R157" s="11"/>
      <c r="S157" s="11"/>
      <c r="T157" s="14"/>
      <c r="U157" s="11"/>
      <c r="V157" s="11"/>
      <c r="W157" s="11"/>
      <c r="X157" s="11"/>
      <c r="Y157" s="14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79"/>
      <c r="AL157" s="45"/>
    </row>
    <row r="158" spans="2:38" x14ac:dyDescent="0.25">
      <c r="B158" s="88"/>
      <c r="C158" s="89"/>
      <c r="D158" s="89"/>
      <c r="E158" s="90"/>
      <c r="F158" s="72"/>
      <c r="G158" s="9"/>
      <c r="H158" s="74">
        <f t="shared" si="2"/>
        <v>14497900</v>
      </c>
      <c r="I158" s="35"/>
      <c r="J158" s="19"/>
      <c r="K158" s="19"/>
      <c r="L158" s="19"/>
      <c r="M158" s="19"/>
      <c r="N158" s="36"/>
      <c r="O158" s="22"/>
      <c r="P158" s="11"/>
      <c r="Q158" s="11"/>
      <c r="R158" s="11"/>
      <c r="S158" s="11"/>
      <c r="T158" s="11"/>
      <c r="U158" s="11"/>
      <c r="V158" s="11"/>
      <c r="W158" s="11"/>
      <c r="X158" s="14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79"/>
      <c r="AL158" s="45"/>
    </row>
    <row r="159" spans="2:38" x14ac:dyDescent="0.25">
      <c r="B159" s="88"/>
      <c r="C159" s="89"/>
      <c r="D159" s="89"/>
      <c r="E159" s="90"/>
      <c r="F159" s="72"/>
      <c r="G159" s="9"/>
      <c r="H159" s="74">
        <f t="shared" si="2"/>
        <v>14497900</v>
      </c>
      <c r="I159" s="35"/>
      <c r="J159" s="19"/>
      <c r="K159" s="19"/>
      <c r="L159" s="19"/>
      <c r="M159" s="19"/>
      <c r="N159" s="36"/>
      <c r="O159" s="22"/>
      <c r="P159" s="11"/>
      <c r="Q159" s="11"/>
      <c r="R159" s="11"/>
      <c r="S159" s="11"/>
      <c r="T159" s="11"/>
      <c r="U159" s="11"/>
      <c r="V159" s="11"/>
      <c r="W159" s="11"/>
      <c r="X159" s="14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79"/>
      <c r="AL159" s="45"/>
    </row>
    <row r="160" spans="2:38" x14ac:dyDescent="0.25">
      <c r="B160" s="88"/>
      <c r="C160" s="89"/>
      <c r="D160" s="89"/>
      <c r="E160" s="90"/>
      <c r="F160" s="72"/>
      <c r="G160" s="9"/>
      <c r="H160" s="74">
        <f t="shared" si="2"/>
        <v>14497900</v>
      </c>
      <c r="I160" s="35"/>
      <c r="J160" s="19"/>
      <c r="K160" s="19"/>
      <c r="L160" s="19"/>
      <c r="M160" s="19"/>
      <c r="N160" s="36"/>
      <c r="O160" s="25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79"/>
      <c r="AL160" s="45"/>
    </row>
    <row r="161" spans="2:38" x14ac:dyDescent="0.25">
      <c r="B161" s="88"/>
      <c r="C161" s="89"/>
      <c r="D161" s="89"/>
      <c r="E161" s="90"/>
      <c r="F161" s="72"/>
      <c r="G161" s="9"/>
      <c r="H161" s="74">
        <f t="shared" si="2"/>
        <v>14497900</v>
      </c>
      <c r="I161" s="35"/>
      <c r="J161" s="19"/>
      <c r="K161" s="19"/>
      <c r="L161" s="19"/>
      <c r="M161" s="19"/>
      <c r="N161" s="36"/>
      <c r="O161" s="2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79"/>
      <c r="AL161" s="45"/>
    </row>
    <row r="162" spans="2:38" x14ac:dyDescent="0.25">
      <c r="B162" s="88"/>
      <c r="C162" s="89"/>
      <c r="D162" s="89"/>
      <c r="E162" s="90"/>
      <c r="F162" s="72"/>
      <c r="G162" s="9"/>
      <c r="H162" s="74">
        <f t="shared" si="2"/>
        <v>14497900</v>
      </c>
      <c r="I162" s="35"/>
      <c r="J162" s="19"/>
      <c r="K162" s="19"/>
      <c r="L162" s="19"/>
      <c r="M162" s="19"/>
      <c r="N162" s="36"/>
      <c r="O162" s="22"/>
      <c r="P162" s="11"/>
      <c r="Q162" s="11"/>
      <c r="R162" s="15"/>
      <c r="S162" s="15"/>
      <c r="T162" s="11"/>
      <c r="U162" s="11"/>
      <c r="V162" s="11"/>
      <c r="W162" s="11"/>
      <c r="X162" s="11"/>
      <c r="Y162" s="11"/>
      <c r="Z162" s="15"/>
      <c r="AA162" s="15"/>
      <c r="AB162" s="15"/>
      <c r="AC162" s="15"/>
      <c r="AD162" s="11"/>
      <c r="AE162" s="11"/>
      <c r="AF162" s="11"/>
      <c r="AG162" s="11"/>
      <c r="AH162" s="11"/>
      <c r="AI162" s="11"/>
      <c r="AJ162" s="11"/>
      <c r="AK162" s="79"/>
      <c r="AL162" s="45"/>
    </row>
    <row r="163" spans="2:38" x14ac:dyDescent="0.25">
      <c r="B163" s="88"/>
      <c r="C163" s="89"/>
      <c r="D163" s="89"/>
      <c r="E163" s="90"/>
      <c r="F163" s="72"/>
      <c r="G163" s="9"/>
      <c r="H163" s="74">
        <f t="shared" si="2"/>
        <v>14497900</v>
      </c>
      <c r="I163" s="35"/>
      <c r="J163" s="19"/>
      <c r="K163" s="19"/>
      <c r="L163" s="19"/>
      <c r="M163" s="19"/>
      <c r="N163" s="36"/>
      <c r="O163" s="2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79"/>
      <c r="AL163" s="45"/>
    </row>
    <row r="164" spans="2:38" x14ac:dyDescent="0.25">
      <c r="B164" s="88"/>
      <c r="C164" s="89"/>
      <c r="D164" s="89"/>
      <c r="E164" s="90"/>
      <c r="F164" s="72"/>
      <c r="G164" s="9"/>
      <c r="H164" s="74">
        <f t="shared" si="2"/>
        <v>14497900</v>
      </c>
      <c r="I164" s="35"/>
      <c r="J164" s="19"/>
      <c r="K164" s="19"/>
      <c r="L164" s="19"/>
      <c r="M164" s="19"/>
      <c r="N164" s="36"/>
      <c r="O164" s="22"/>
      <c r="P164" s="11"/>
      <c r="Q164" s="11"/>
      <c r="R164" s="11"/>
      <c r="S164" s="11"/>
      <c r="T164" s="11"/>
      <c r="U164" s="11"/>
      <c r="V164" s="11"/>
      <c r="W164" s="11"/>
      <c r="X164" s="11"/>
      <c r="Y164" s="14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79"/>
      <c r="AL164" s="45"/>
    </row>
    <row r="165" spans="2:38" x14ac:dyDescent="0.25">
      <c r="B165" s="88"/>
      <c r="C165" s="89"/>
      <c r="D165" s="89"/>
      <c r="E165" s="90"/>
      <c r="F165" s="72"/>
      <c r="G165" s="9"/>
      <c r="H165" s="74">
        <f t="shared" si="2"/>
        <v>14497900</v>
      </c>
      <c r="I165" s="35"/>
      <c r="J165" s="19"/>
      <c r="K165" s="19"/>
      <c r="L165" s="19"/>
      <c r="M165" s="19"/>
      <c r="N165" s="36"/>
      <c r="O165" s="22"/>
      <c r="P165" s="11"/>
      <c r="Q165" s="11"/>
      <c r="R165" s="11"/>
      <c r="S165" s="11"/>
      <c r="T165" s="11"/>
      <c r="U165" s="11"/>
      <c r="V165" s="11"/>
      <c r="W165" s="16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79"/>
      <c r="AL165" s="45"/>
    </row>
    <row r="166" spans="2:38" x14ac:dyDescent="0.25">
      <c r="B166" s="88"/>
      <c r="C166" s="89"/>
      <c r="D166" s="89"/>
      <c r="E166" s="90"/>
      <c r="F166" s="72"/>
      <c r="G166" s="9"/>
      <c r="H166" s="74">
        <f t="shared" si="2"/>
        <v>14497900</v>
      </c>
      <c r="I166" s="35"/>
      <c r="J166" s="19"/>
      <c r="K166" s="19"/>
      <c r="L166" s="19"/>
      <c r="M166" s="19"/>
      <c r="N166" s="36"/>
      <c r="O166" s="22"/>
      <c r="P166" s="11"/>
      <c r="Q166" s="11"/>
      <c r="R166" s="11"/>
      <c r="S166" s="11"/>
      <c r="T166" s="11"/>
      <c r="U166" s="14"/>
      <c r="V166" s="14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79"/>
      <c r="AL166" s="45"/>
    </row>
    <row r="167" spans="2:38" x14ac:dyDescent="0.25">
      <c r="B167" s="88"/>
      <c r="C167" s="89"/>
      <c r="D167" s="89"/>
      <c r="E167" s="90"/>
      <c r="F167" s="72"/>
      <c r="G167" s="9"/>
      <c r="H167" s="74">
        <f t="shared" si="2"/>
        <v>14497900</v>
      </c>
      <c r="I167" s="35"/>
      <c r="J167" s="19"/>
      <c r="K167" s="19"/>
      <c r="L167" s="19"/>
      <c r="M167" s="19"/>
      <c r="N167" s="36"/>
      <c r="O167" s="22"/>
      <c r="P167" s="11"/>
      <c r="Q167" s="11"/>
      <c r="R167" s="11"/>
      <c r="S167" s="11"/>
      <c r="T167" s="11"/>
      <c r="U167" s="11"/>
      <c r="V167" s="11"/>
      <c r="W167" s="1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79"/>
      <c r="AL167" s="45"/>
    </row>
    <row r="168" spans="2:38" x14ac:dyDescent="0.25">
      <c r="B168" s="88"/>
      <c r="C168" s="89"/>
      <c r="D168" s="89"/>
      <c r="E168" s="90"/>
      <c r="F168" s="72"/>
      <c r="G168" s="9"/>
      <c r="H168" s="74">
        <f t="shared" si="2"/>
        <v>14497900</v>
      </c>
      <c r="I168" s="35"/>
      <c r="J168" s="19"/>
      <c r="K168" s="19"/>
      <c r="L168" s="19"/>
      <c r="M168" s="19"/>
      <c r="N168" s="36"/>
      <c r="O168" s="22"/>
      <c r="P168" s="11"/>
      <c r="Q168" s="11"/>
      <c r="R168" s="11"/>
      <c r="S168" s="11"/>
      <c r="T168" s="11"/>
      <c r="U168" s="11"/>
      <c r="V168" s="11"/>
      <c r="W168" s="16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79"/>
      <c r="AL168" s="45"/>
    </row>
    <row r="169" spans="2:38" x14ac:dyDescent="0.25">
      <c r="B169" s="88"/>
      <c r="C169" s="89"/>
      <c r="D169" s="89"/>
      <c r="E169" s="90"/>
      <c r="F169" s="72"/>
      <c r="G169" s="9"/>
      <c r="H169" s="74">
        <f t="shared" si="2"/>
        <v>14497900</v>
      </c>
      <c r="I169" s="35"/>
      <c r="J169" s="19"/>
      <c r="K169" s="19"/>
      <c r="L169" s="19"/>
      <c r="M169" s="19"/>
      <c r="N169" s="36"/>
      <c r="O169" s="22"/>
      <c r="P169" s="11"/>
      <c r="Q169" s="11"/>
      <c r="R169" s="11"/>
      <c r="S169" s="11"/>
      <c r="T169" s="11"/>
      <c r="U169" s="11"/>
      <c r="V169" s="11"/>
      <c r="W169" s="16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79"/>
      <c r="AL169" s="45"/>
    </row>
    <row r="170" spans="2:38" x14ac:dyDescent="0.25">
      <c r="B170" s="88"/>
      <c r="C170" s="89"/>
      <c r="D170" s="89"/>
      <c r="E170" s="90"/>
      <c r="F170" s="72"/>
      <c r="G170" s="9"/>
      <c r="H170" s="74">
        <f t="shared" si="2"/>
        <v>14497900</v>
      </c>
      <c r="I170" s="35"/>
      <c r="J170" s="19"/>
      <c r="K170" s="19"/>
      <c r="L170" s="19"/>
      <c r="M170" s="19"/>
      <c r="N170" s="36"/>
      <c r="O170" s="22"/>
      <c r="P170" s="11"/>
      <c r="Q170" s="11"/>
      <c r="R170" s="11"/>
      <c r="S170" s="11"/>
      <c r="T170" s="11"/>
      <c r="U170" s="11"/>
      <c r="V170" s="11"/>
      <c r="W170" s="16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79"/>
      <c r="AL170" s="45"/>
    </row>
    <row r="171" spans="2:38" x14ac:dyDescent="0.25">
      <c r="B171" s="88"/>
      <c r="C171" s="89"/>
      <c r="D171" s="89"/>
      <c r="E171" s="90"/>
      <c r="F171" s="72"/>
      <c r="G171" s="9"/>
      <c r="H171" s="74">
        <f t="shared" si="2"/>
        <v>14497900</v>
      </c>
      <c r="I171" s="35"/>
      <c r="J171" s="19"/>
      <c r="K171" s="19"/>
      <c r="L171" s="19"/>
      <c r="M171" s="19"/>
      <c r="N171" s="36"/>
      <c r="O171" s="22"/>
      <c r="P171" s="11"/>
      <c r="Q171" s="11"/>
      <c r="R171" s="11"/>
      <c r="S171" s="11"/>
      <c r="T171" s="11"/>
      <c r="U171" s="11"/>
      <c r="V171" s="11"/>
      <c r="W171" s="16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79"/>
      <c r="AL171" s="45"/>
    </row>
    <row r="172" spans="2:38" x14ac:dyDescent="0.25">
      <c r="B172" s="88"/>
      <c r="C172" s="89"/>
      <c r="D172" s="89"/>
      <c r="E172" s="90"/>
      <c r="F172" s="72"/>
      <c r="G172" s="9"/>
      <c r="H172" s="74">
        <f t="shared" si="2"/>
        <v>14497900</v>
      </c>
      <c r="I172" s="35"/>
      <c r="J172" s="19"/>
      <c r="K172" s="19"/>
      <c r="L172" s="19"/>
      <c r="M172" s="19"/>
      <c r="N172" s="36"/>
      <c r="O172" s="22"/>
      <c r="P172" s="11"/>
      <c r="Q172" s="11"/>
      <c r="R172" s="11"/>
      <c r="S172" s="11"/>
      <c r="T172" s="11"/>
      <c r="U172" s="11"/>
      <c r="V172" s="11"/>
      <c r="W172" s="16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79"/>
      <c r="AL172" s="45"/>
    </row>
    <row r="173" spans="2:38" x14ac:dyDescent="0.25">
      <c r="B173" s="88"/>
      <c r="C173" s="89"/>
      <c r="D173" s="89"/>
      <c r="E173" s="90"/>
      <c r="F173" s="72"/>
      <c r="G173" s="9"/>
      <c r="H173" s="74">
        <f t="shared" si="2"/>
        <v>14497900</v>
      </c>
      <c r="I173" s="35"/>
      <c r="J173" s="19"/>
      <c r="K173" s="19"/>
      <c r="L173" s="19"/>
      <c r="M173" s="19"/>
      <c r="N173" s="36"/>
      <c r="O173" s="22"/>
      <c r="P173" s="11"/>
      <c r="Q173" s="11"/>
      <c r="R173" s="11"/>
      <c r="S173" s="11"/>
      <c r="T173" s="11"/>
      <c r="U173" s="11"/>
      <c r="V173" s="11"/>
      <c r="W173" s="16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79"/>
      <c r="AL173" s="45"/>
    </row>
    <row r="174" spans="2:38" x14ac:dyDescent="0.25">
      <c r="B174" s="88"/>
      <c r="C174" s="89"/>
      <c r="D174" s="89"/>
      <c r="E174" s="90"/>
      <c r="F174" s="72"/>
      <c r="G174" s="9"/>
      <c r="H174" s="74">
        <f t="shared" si="2"/>
        <v>14497900</v>
      </c>
      <c r="I174" s="35"/>
      <c r="J174" s="19"/>
      <c r="K174" s="19"/>
      <c r="L174" s="19"/>
      <c r="M174" s="19"/>
      <c r="N174" s="36"/>
      <c r="O174" s="2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79"/>
      <c r="AL174" s="45"/>
    </row>
    <row r="175" spans="2:38" x14ac:dyDescent="0.25">
      <c r="B175" s="88"/>
      <c r="C175" s="89"/>
      <c r="D175" s="89"/>
      <c r="E175" s="90"/>
      <c r="F175" s="72"/>
      <c r="G175" s="9"/>
      <c r="H175" s="74">
        <f t="shared" si="2"/>
        <v>14497900</v>
      </c>
      <c r="I175" s="35"/>
      <c r="J175" s="19"/>
      <c r="K175" s="19"/>
      <c r="L175" s="19"/>
      <c r="M175" s="19"/>
      <c r="N175" s="36"/>
      <c r="O175" s="2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79"/>
      <c r="AL175" s="45"/>
    </row>
    <row r="176" spans="2:38" x14ac:dyDescent="0.25">
      <c r="B176" s="88"/>
      <c r="C176" s="89"/>
      <c r="D176" s="89"/>
      <c r="E176" s="90"/>
      <c r="F176" s="72"/>
      <c r="G176" s="9"/>
      <c r="H176" s="74">
        <f t="shared" si="2"/>
        <v>14497900</v>
      </c>
      <c r="I176" s="35"/>
      <c r="J176" s="19"/>
      <c r="K176" s="19"/>
      <c r="L176" s="19"/>
      <c r="M176" s="19"/>
      <c r="N176" s="36"/>
      <c r="O176" s="2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79"/>
      <c r="AL176" s="45"/>
    </row>
    <row r="177" spans="2:38" x14ac:dyDescent="0.25">
      <c r="B177" s="88"/>
      <c r="C177" s="89"/>
      <c r="D177" s="89"/>
      <c r="E177" s="90"/>
      <c r="F177" s="72"/>
      <c r="G177" s="9"/>
      <c r="H177" s="74">
        <f t="shared" si="2"/>
        <v>14497900</v>
      </c>
      <c r="I177" s="35"/>
      <c r="J177" s="19"/>
      <c r="K177" s="19"/>
      <c r="L177" s="19"/>
      <c r="M177" s="19"/>
      <c r="N177" s="36"/>
      <c r="O177" s="2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79"/>
      <c r="AL177" s="45"/>
    </row>
    <row r="178" spans="2:38" x14ac:dyDescent="0.25">
      <c r="B178" s="88"/>
      <c r="C178" s="89"/>
      <c r="D178" s="89"/>
      <c r="E178" s="90"/>
      <c r="F178" s="72"/>
      <c r="G178" s="9"/>
      <c r="H178" s="74">
        <f t="shared" si="2"/>
        <v>14497900</v>
      </c>
      <c r="I178" s="35"/>
      <c r="J178" s="19"/>
      <c r="K178" s="19"/>
      <c r="L178" s="19"/>
      <c r="M178" s="19"/>
      <c r="N178" s="36"/>
      <c r="O178" s="2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79"/>
      <c r="AL178" s="45"/>
    </row>
    <row r="179" spans="2:38" x14ac:dyDescent="0.25">
      <c r="B179" s="88"/>
      <c r="C179" s="89"/>
      <c r="D179" s="89"/>
      <c r="E179" s="90"/>
      <c r="F179" s="72"/>
      <c r="G179" s="9"/>
      <c r="H179" s="74">
        <f t="shared" si="2"/>
        <v>14497900</v>
      </c>
      <c r="I179" s="35"/>
      <c r="J179" s="19"/>
      <c r="K179" s="19"/>
      <c r="L179" s="19"/>
      <c r="M179" s="19"/>
      <c r="N179" s="36"/>
      <c r="O179" s="2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79"/>
      <c r="AL179" s="45"/>
    </row>
    <row r="180" spans="2:38" x14ac:dyDescent="0.25">
      <c r="B180" s="88"/>
      <c r="C180" s="89"/>
      <c r="D180" s="89"/>
      <c r="E180" s="90"/>
      <c r="F180" s="72"/>
      <c r="G180" s="9"/>
      <c r="H180" s="74">
        <f t="shared" si="2"/>
        <v>14497900</v>
      </c>
      <c r="I180" s="35"/>
      <c r="J180" s="19"/>
      <c r="K180" s="19"/>
      <c r="L180" s="19"/>
      <c r="M180" s="19"/>
      <c r="N180" s="36"/>
      <c r="O180" s="2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79"/>
      <c r="AL180" s="45"/>
    </row>
    <row r="181" spans="2:38" x14ac:dyDescent="0.25">
      <c r="B181" s="88"/>
      <c r="C181" s="89"/>
      <c r="D181" s="89"/>
      <c r="E181" s="90"/>
      <c r="F181" s="72"/>
      <c r="G181" s="9"/>
      <c r="H181" s="74">
        <f t="shared" si="2"/>
        <v>14497900</v>
      </c>
      <c r="I181" s="35"/>
      <c r="J181" s="19"/>
      <c r="K181" s="19"/>
      <c r="L181" s="19"/>
      <c r="M181" s="19"/>
      <c r="N181" s="36"/>
      <c r="O181" s="22"/>
      <c r="P181" s="11"/>
      <c r="Q181" s="11"/>
      <c r="R181" s="11"/>
      <c r="S181" s="11"/>
      <c r="T181" s="14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79"/>
      <c r="AL181" s="45"/>
    </row>
    <row r="182" spans="2:38" x14ac:dyDescent="0.25">
      <c r="B182" s="88"/>
      <c r="C182" s="89"/>
      <c r="D182" s="89"/>
      <c r="E182" s="90"/>
      <c r="F182" s="72"/>
      <c r="G182" s="9"/>
      <c r="H182" s="74">
        <f t="shared" si="2"/>
        <v>14497900</v>
      </c>
      <c r="I182" s="35"/>
      <c r="J182" s="19"/>
      <c r="K182" s="19"/>
      <c r="L182" s="19"/>
      <c r="M182" s="19"/>
      <c r="N182" s="36"/>
      <c r="O182" s="22"/>
      <c r="P182" s="11"/>
      <c r="Q182" s="11"/>
      <c r="R182" s="11"/>
      <c r="S182" s="11"/>
      <c r="T182" s="14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79"/>
      <c r="AL182" s="45"/>
    </row>
    <row r="183" spans="2:38" x14ac:dyDescent="0.25">
      <c r="B183" s="88"/>
      <c r="C183" s="89"/>
      <c r="D183" s="89"/>
      <c r="E183" s="90"/>
      <c r="F183" s="72"/>
      <c r="G183" s="9"/>
      <c r="H183" s="74">
        <f t="shared" si="2"/>
        <v>14497900</v>
      </c>
      <c r="I183" s="35"/>
      <c r="J183" s="19"/>
      <c r="K183" s="19"/>
      <c r="L183" s="19"/>
      <c r="M183" s="19"/>
      <c r="N183" s="36"/>
      <c r="O183" s="2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79"/>
      <c r="AL183" s="45"/>
    </row>
    <row r="184" spans="2:38" x14ac:dyDescent="0.25">
      <c r="B184" s="88"/>
      <c r="C184" s="89"/>
      <c r="D184" s="89"/>
      <c r="E184" s="90"/>
      <c r="F184" s="72"/>
      <c r="G184" s="9"/>
      <c r="H184" s="74">
        <f t="shared" si="2"/>
        <v>14497900</v>
      </c>
      <c r="I184" s="35"/>
      <c r="J184" s="19"/>
      <c r="K184" s="19"/>
      <c r="L184" s="19"/>
      <c r="M184" s="19"/>
      <c r="N184" s="36"/>
      <c r="O184" s="2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79"/>
      <c r="AL184" s="45"/>
    </row>
    <row r="185" spans="2:38" x14ac:dyDescent="0.25">
      <c r="B185" s="88"/>
      <c r="C185" s="89"/>
      <c r="D185" s="89"/>
      <c r="E185" s="90"/>
      <c r="F185" s="72"/>
      <c r="G185" s="9"/>
      <c r="H185" s="74">
        <f t="shared" si="2"/>
        <v>14497900</v>
      </c>
      <c r="I185" s="35"/>
      <c r="J185" s="19"/>
      <c r="K185" s="19"/>
      <c r="L185" s="19"/>
      <c r="M185" s="19"/>
      <c r="N185" s="36"/>
      <c r="O185" s="22"/>
      <c r="P185" s="11"/>
      <c r="Q185" s="11"/>
      <c r="R185" s="11"/>
      <c r="S185" s="11"/>
      <c r="T185" s="11"/>
      <c r="U185" s="11"/>
      <c r="V185" s="11"/>
      <c r="W185" s="11"/>
      <c r="X185" s="14"/>
      <c r="Y185" s="11"/>
      <c r="Z185" s="11"/>
      <c r="AA185" s="14"/>
      <c r="AB185" s="14"/>
      <c r="AC185" s="11"/>
      <c r="AD185" s="11"/>
      <c r="AE185" s="11"/>
      <c r="AF185" s="11"/>
      <c r="AG185" s="11"/>
      <c r="AH185" s="11"/>
      <c r="AI185" s="11"/>
      <c r="AJ185" s="11"/>
      <c r="AK185" s="79"/>
      <c r="AL185" s="45"/>
    </row>
    <row r="186" spans="2:38" x14ac:dyDescent="0.25">
      <c r="B186" s="88"/>
      <c r="C186" s="89"/>
      <c r="D186" s="89"/>
      <c r="E186" s="90"/>
      <c r="F186" s="72"/>
      <c r="G186" s="9"/>
      <c r="H186" s="74">
        <f t="shared" si="2"/>
        <v>14497900</v>
      </c>
      <c r="I186" s="35"/>
      <c r="J186" s="19"/>
      <c r="K186" s="19"/>
      <c r="L186" s="19"/>
      <c r="M186" s="19"/>
      <c r="N186" s="36"/>
      <c r="O186" s="2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5"/>
      <c r="AA186" s="15"/>
      <c r="AB186" s="15"/>
      <c r="AC186" s="15"/>
      <c r="AD186" s="11"/>
      <c r="AE186" s="11"/>
      <c r="AF186" s="11"/>
      <c r="AG186" s="11"/>
      <c r="AH186" s="11"/>
      <c r="AI186" s="11"/>
      <c r="AJ186" s="11"/>
      <c r="AK186" s="79"/>
      <c r="AL186" s="45"/>
    </row>
    <row r="187" spans="2:38" x14ac:dyDescent="0.25">
      <c r="B187" s="88"/>
      <c r="C187" s="89"/>
      <c r="D187" s="89"/>
      <c r="E187" s="90"/>
      <c r="F187" s="72"/>
      <c r="G187" s="9"/>
      <c r="H187" s="74">
        <f t="shared" si="2"/>
        <v>14497900</v>
      </c>
      <c r="I187" s="35"/>
      <c r="J187" s="19"/>
      <c r="K187" s="19"/>
      <c r="L187" s="19"/>
      <c r="M187" s="19"/>
      <c r="N187" s="36"/>
      <c r="O187" s="22"/>
      <c r="P187" s="11"/>
      <c r="Q187" s="11"/>
      <c r="R187" s="11"/>
      <c r="S187" s="11"/>
      <c r="T187" s="11"/>
      <c r="U187" s="11"/>
      <c r="V187" s="11"/>
      <c r="W187" s="16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79"/>
      <c r="AL187" s="45"/>
    </row>
    <row r="188" spans="2:38" x14ac:dyDescent="0.25">
      <c r="B188" s="88"/>
      <c r="C188" s="89"/>
      <c r="D188" s="89"/>
      <c r="E188" s="90"/>
      <c r="F188" s="72"/>
      <c r="G188" s="9"/>
      <c r="H188" s="74">
        <f t="shared" si="2"/>
        <v>14497900</v>
      </c>
      <c r="I188" s="35"/>
      <c r="J188" s="19"/>
      <c r="K188" s="19"/>
      <c r="L188" s="19"/>
      <c r="M188" s="19"/>
      <c r="N188" s="36"/>
      <c r="O188" s="22"/>
      <c r="P188" s="11"/>
      <c r="Q188" s="11"/>
      <c r="R188" s="11"/>
      <c r="S188" s="11"/>
      <c r="T188" s="11"/>
      <c r="U188" s="11"/>
      <c r="V188" s="11"/>
      <c r="W188" s="16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79"/>
      <c r="AL188" s="45"/>
    </row>
    <row r="189" spans="2:38" x14ac:dyDescent="0.25">
      <c r="B189" s="88"/>
      <c r="C189" s="89"/>
      <c r="D189" s="89"/>
      <c r="E189" s="90"/>
      <c r="F189" s="72"/>
      <c r="G189" s="9"/>
      <c r="H189" s="74">
        <f t="shared" si="2"/>
        <v>14497900</v>
      </c>
      <c r="I189" s="35"/>
      <c r="J189" s="19"/>
      <c r="K189" s="19"/>
      <c r="L189" s="19"/>
      <c r="M189" s="19"/>
      <c r="N189" s="36"/>
      <c r="O189" s="22"/>
      <c r="P189" s="11"/>
      <c r="Q189" s="11"/>
      <c r="R189" s="11"/>
      <c r="S189" s="11"/>
      <c r="T189" s="11"/>
      <c r="U189" s="11"/>
      <c r="V189" s="11"/>
      <c r="W189" s="16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79"/>
      <c r="AL189" s="45"/>
    </row>
    <row r="190" spans="2:38" x14ac:dyDescent="0.25">
      <c r="B190" s="88"/>
      <c r="C190" s="89"/>
      <c r="D190" s="89"/>
      <c r="E190" s="90"/>
      <c r="F190" s="72"/>
      <c r="G190" s="9"/>
      <c r="H190" s="74">
        <f t="shared" si="2"/>
        <v>14497900</v>
      </c>
      <c r="I190" s="35"/>
      <c r="J190" s="19"/>
      <c r="K190" s="19"/>
      <c r="L190" s="19"/>
      <c r="M190" s="19"/>
      <c r="N190" s="36"/>
      <c r="O190" s="22"/>
      <c r="P190" s="11"/>
      <c r="Q190" s="11"/>
      <c r="R190" s="11"/>
      <c r="S190" s="11"/>
      <c r="T190" s="11"/>
      <c r="U190" s="11"/>
      <c r="V190" s="11"/>
      <c r="W190" s="16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79"/>
      <c r="AL190" s="45"/>
    </row>
    <row r="191" spans="2:38" x14ac:dyDescent="0.25">
      <c r="B191" s="88"/>
      <c r="C191" s="89"/>
      <c r="D191" s="89"/>
      <c r="E191" s="90"/>
      <c r="F191" s="72"/>
      <c r="G191" s="9"/>
      <c r="H191" s="74">
        <f t="shared" si="2"/>
        <v>14497900</v>
      </c>
      <c r="I191" s="35"/>
      <c r="J191" s="19"/>
      <c r="K191" s="19"/>
      <c r="L191" s="19"/>
      <c r="M191" s="19"/>
      <c r="N191" s="36"/>
      <c r="O191" s="22"/>
      <c r="P191" s="11"/>
      <c r="Q191" s="11"/>
      <c r="R191" s="11"/>
      <c r="S191" s="11"/>
      <c r="T191" s="11"/>
      <c r="U191" s="11"/>
      <c r="V191" s="11"/>
      <c r="W191" s="16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79"/>
      <c r="AL191" s="45"/>
    </row>
    <row r="192" spans="2:38" x14ac:dyDescent="0.25">
      <c r="B192" s="88"/>
      <c r="C192" s="89"/>
      <c r="D192" s="89"/>
      <c r="E192" s="90"/>
      <c r="F192" s="72"/>
      <c r="G192" s="9"/>
      <c r="H192" s="74">
        <f t="shared" si="2"/>
        <v>14497900</v>
      </c>
      <c r="I192" s="35"/>
      <c r="J192" s="19"/>
      <c r="K192" s="19"/>
      <c r="L192" s="19"/>
      <c r="M192" s="19"/>
      <c r="N192" s="36"/>
      <c r="O192" s="22"/>
      <c r="P192" s="11"/>
      <c r="Q192" s="11"/>
      <c r="R192" s="11"/>
      <c r="S192" s="11"/>
      <c r="T192" s="11"/>
      <c r="U192" s="11"/>
      <c r="V192" s="11"/>
      <c r="W192" s="16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4"/>
      <c r="AI192" s="14"/>
      <c r="AJ192" s="14"/>
      <c r="AK192" s="80"/>
      <c r="AL192" s="45"/>
    </row>
    <row r="193" spans="2:38" x14ac:dyDescent="0.25">
      <c r="B193" s="88"/>
      <c r="C193" s="89"/>
      <c r="D193" s="89"/>
      <c r="E193" s="90"/>
      <c r="F193" s="72"/>
      <c r="G193" s="9"/>
      <c r="H193" s="74">
        <f t="shared" si="2"/>
        <v>14497900</v>
      </c>
      <c r="I193" s="35"/>
      <c r="J193" s="19"/>
      <c r="K193" s="19"/>
      <c r="L193" s="19"/>
      <c r="M193" s="19"/>
      <c r="N193" s="36"/>
      <c r="O193" s="22"/>
      <c r="P193" s="11"/>
      <c r="Q193" s="11"/>
      <c r="R193" s="11"/>
      <c r="S193" s="11"/>
      <c r="T193" s="11"/>
      <c r="U193" s="11"/>
      <c r="V193" s="11"/>
      <c r="W193" s="16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79"/>
      <c r="AL193" s="45"/>
    </row>
    <row r="194" spans="2:38" x14ac:dyDescent="0.25">
      <c r="B194" s="88"/>
      <c r="C194" s="89"/>
      <c r="D194" s="89"/>
      <c r="E194" s="90"/>
      <c r="F194" s="72"/>
      <c r="G194" s="9"/>
      <c r="H194" s="74">
        <f t="shared" si="2"/>
        <v>14497900</v>
      </c>
      <c r="I194" s="35"/>
      <c r="J194" s="19"/>
      <c r="K194" s="19"/>
      <c r="L194" s="19"/>
      <c r="M194" s="19"/>
      <c r="N194" s="36"/>
      <c r="O194" s="22"/>
      <c r="P194" s="11"/>
      <c r="Q194" s="11"/>
      <c r="R194" s="11"/>
      <c r="S194" s="11"/>
      <c r="T194" s="11"/>
      <c r="U194" s="11"/>
      <c r="V194" s="11"/>
      <c r="W194" s="16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79"/>
      <c r="AL194" s="45"/>
    </row>
    <row r="195" spans="2:38" x14ac:dyDescent="0.25">
      <c r="B195" s="88"/>
      <c r="C195" s="89"/>
      <c r="D195" s="89"/>
      <c r="E195" s="90"/>
      <c r="F195" s="72"/>
      <c r="G195" s="9"/>
      <c r="H195" s="74">
        <f t="shared" si="2"/>
        <v>14497900</v>
      </c>
      <c r="I195" s="35"/>
      <c r="J195" s="19"/>
      <c r="K195" s="19"/>
      <c r="L195" s="19"/>
      <c r="M195" s="19"/>
      <c r="N195" s="36"/>
      <c r="O195" s="22"/>
      <c r="P195" s="11"/>
      <c r="Q195" s="11"/>
      <c r="R195" s="11"/>
      <c r="S195" s="11"/>
      <c r="T195" s="11"/>
      <c r="U195" s="14"/>
      <c r="V195" s="14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79"/>
      <c r="AL195" s="45"/>
    </row>
    <row r="196" spans="2:38" x14ac:dyDescent="0.25">
      <c r="B196" s="88"/>
      <c r="C196" s="89"/>
      <c r="D196" s="89"/>
      <c r="E196" s="90"/>
      <c r="F196" s="72"/>
      <c r="G196" s="9"/>
      <c r="H196" s="74">
        <f t="shared" si="2"/>
        <v>14497900</v>
      </c>
      <c r="I196" s="35"/>
      <c r="J196" s="19"/>
      <c r="K196" s="19"/>
      <c r="L196" s="19"/>
      <c r="M196" s="19"/>
      <c r="N196" s="36"/>
      <c r="O196" s="2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5"/>
      <c r="AA196" s="15"/>
      <c r="AB196" s="15"/>
      <c r="AC196" s="15"/>
      <c r="AD196" s="11"/>
      <c r="AE196" s="11"/>
      <c r="AF196" s="11"/>
      <c r="AG196" s="11"/>
      <c r="AH196" s="11"/>
      <c r="AI196" s="11"/>
      <c r="AJ196" s="11"/>
      <c r="AK196" s="79"/>
      <c r="AL196" s="45"/>
    </row>
    <row r="197" spans="2:38" x14ac:dyDescent="0.25">
      <c r="B197" s="88"/>
      <c r="C197" s="89"/>
      <c r="D197" s="89"/>
      <c r="E197" s="90"/>
      <c r="F197" s="72"/>
      <c r="G197" s="9"/>
      <c r="H197" s="74">
        <f t="shared" si="2"/>
        <v>14497900</v>
      </c>
      <c r="I197" s="35"/>
      <c r="J197" s="19"/>
      <c r="K197" s="19"/>
      <c r="L197" s="19"/>
      <c r="M197" s="19"/>
      <c r="N197" s="36"/>
      <c r="O197" s="22"/>
      <c r="P197" s="14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79"/>
      <c r="AL197" s="45"/>
    </row>
    <row r="198" spans="2:38" x14ac:dyDescent="0.25">
      <c r="B198" s="88"/>
      <c r="C198" s="89"/>
      <c r="D198" s="89"/>
      <c r="E198" s="90"/>
      <c r="F198" s="72"/>
      <c r="G198" s="9"/>
      <c r="H198" s="74">
        <f t="shared" si="2"/>
        <v>14497900</v>
      </c>
      <c r="I198" s="35"/>
      <c r="J198" s="19"/>
      <c r="K198" s="19"/>
      <c r="L198" s="19"/>
      <c r="M198" s="19"/>
      <c r="N198" s="36"/>
      <c r="O198" s="2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79"/>
      <c r="AL198" s="45"/>
    </row>
    <row r="199" spans="2:38" x14ac:dyDescent="0.25">
      <c r="B199" s="88"/>
      <c r="C199" s="89"/>
      <c r="D199" s="89"/>
      <c r="E199" s="90"/>
      <c r="F199" s="72"/>
      <c r="G199" s="9"/>
      <c r="H199" s="74">
        <f t="shared" si="2"/>
        <v>14497900</v>
      </c>
      <c r="I199" s="35"/>
      <c r="J199" s="19"/>
      <c r="K199" s="19"/>
      <c r="L199" s="19"/>
      <c r="M199" s="19"/>
      <c r="N199" s="36"/>
      <c r="O199" s="22"/>
      <c r="P199" s="11"/>
      <c r="Q199" s="11"/>
      <c r="R199" s="11"/>
      <c r="S199" s="11"/>
      <c r="T199" s="14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4"/>
      <c r="AH199" s="11"/>
      <c r="AI199" s="11"/>
      <c r="AJ199" s="11"/>
      <c r="AK199" s="79"/>
      <c r="AL199" s="45"/>
    </row>
    <row r="200" spans="2:38" x14ac:dyDescent="0.25">
      <c r="B200" s="88"/>
      <c r="C200" s="89"/>
      <c r="D200" s="89"/>
      <c r="E200" s="90"/>
      <c r="F200" s="72"/>
      <c r="G200" s="9"/>
      <c r="H200" s="74">
        <f t="shared" si="2"/>
        <v>14497900</v>
      </c>
      <c r="I200" s="35"/>
      <c r="J200" s="19"/>
      <c r="K200" s="19"/>
      <c r="L200" s="19"/>
      <c r="M200" s="19"/>
      <c r="N200" s="36"/>
      <c r="O200" s="22"/>
      <c r="P200" s="11"/>
      <c r="Q200" s="11"/>
      <c r="R200" s="11"/>
      <c r="S200" s="11"/>
      <c r="T200" s="11"/>
      <c r="U200" s="11"/>
      <c r="V200" s="11"/>
      <c r="W200" s="11"/>
      <c r="X200" s="11"/>
      <c r="Y200" s="14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79"/>
      <c r="AL200" s="45"/>
    </row>
    <row r="201" spans="2:38" x14ac:dyDescent="0.25">
      <c r="B201" s="88"/>
      <c r="C201" s="89"/>
      <c r="D201" s="89"/>
      <c r="E201" s="90"/>
      <c r="F201" s="72"/>
      <c r="G201" s="9"/>
      <c r="H201" s="74">
        <f t="shared" si="2"/>
        <v>14497900</v>
      </c>
      <c r="I201" s="35"/>
      <c r="J201" s="19"/>
      <c r="K201" s="19"/>
      <c r="L201" s="19"/>
      <c r="M201" s="19"/>
      <c r="N201" s="36"/>
      <c r="O201" s="22"/>
      <c r="P201" s="11"/>
      <c r="Q201" s="11"/>
      <c r="R201" s="11"/>
      <c r="S201" s="11"/>
      <c r="T201" s="11"/>
      <c r="U201" s="11"/>
      <c r="V201" s="11"/>
      <c r="W201" s="11"/>
      <c r="X201" s="11"/>
      <c r="Y201" s="14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79"/>
      <c r="AL201" s="45"/>
    </row>
    <row r="202" spans="2:38" x14ac:dyDescent="0.25">
      <c r="B202" s="88"/>
      <c r="C202" s="89"/>
      <c r="D202" s="89"/>
      <c r="E202" s="90"/>
      <c r="F202" s="72"/>
      <c r="G202" s="9"/>
      <c r="H202" s="74">
        <f t="shared" si="2"/>
        <v>14497900</v>
      </c>
      <c r="I202" s="35"/>
      <c r="J202" s="19"/>
      <c r="K202" s="19"/>
      <c r="L202" s="19"/>
      <c r="M202" s="19"/>
      <c r="N202" s="36"/>
      <c r="O202" s="22"/>
      <c r="P202" s="11"/>
      <c r="Q202" s="11"/>
      <c r="R202" s="11"/>
      <c r="S202" s="11"/>
      <c r="T202" s="11"/>
      <c r="U202" s="11"/>
      <c r="V202" s="11"/>
      <c r="W202" s="11"/>
      <c r="X202" s="11"/>
      <c r="Y202" s="14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79"/>
      <c r="AL202" s="45"/>
    </row>
    <row r="203" spans="2:38" x14ac:dyDescent="0.25">
      <c r="B203" s="88"/>
      <c r="C203" s="89"/>
      <c r="D203" s="89"/>
      <c r="E203" s="90"/>
      <c r="F203" s="72"/>
      <c r="G203" s="9"/>
      <c r="H203" s="74">
        <f t="shared" si="2"/>
        <v>14497900</v>
      </c>
      <c r="I203" s="35"/>
      <c r="J203" s="19"/>
      <c r="K203" s="19"/>
      <c r="L203" s="19"/>
      <c r="M203" s="19"/>
      <c r="N203" s="36"/>
      <c r="O203" s="22"/>
      <c r="P203" s="11"/>
      <c r="Q203" s="11"/>
      <c r="R203" s="11"/>
      <c r="S203" s="11"/>
      <c r="T203" s="11"/>
      <c r="U203" s="11"/>
      <c r="V203" s="14"/>
      <c r="W203" s="14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79"/>
      <c r="AL203" s="45"/>
    </row>
    <row r="204" spans="2:38" x14ac:dyDescent="0.25">
      <c r="B204" s="88"/>
      <c r="C204" s="89"/>
      <c r="D204" s="89"/>
      <c r="E204" s="90"/>
      <c r="F204" s="72"/>
      <c r="G204" s="9"/>
      <c r="H204" s="74">
        <f t="shared" si="2"/>
        <v>14497900</v>
      </c>
      <c r="I204" s="35"/>
      <c r="J204" s="19"/>
      <c r="K204" s="19"/>
      <c r="L204" s="19"/>
      <c r="M204" s="19"/>
      <c r="N204" s="36"/>
      <c r="O204" s="2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79"/>
      <c r="AL204" s="45"/>
    </row>
    <row r="205" spans="2:38" x14ac:dyDescent="0.25">
      <c r="B205" s="88"/>
      <c r="C205" s="89"/>
      <c r="D205" s="89"/>
      <c r="E205" s="90"/>
      <c r="F205" s="72"/>
      <c r="G205" s="9"/>
      <c r="H205" s="74">
        <f t="shared" si="2"/>
        <v>14497900</v>
      </c>
      <c r="I205" s="35"/>
      <c r="J205" s="19"/>
      <c r="K205" s="19"/>
      <c r="L205" s="19"/>
      <c r="M205" s="19"/>
      <c r="N205" s="36"/>
      <c r="O205" s="22"/>
      <c r="P205" s="11"/>
      <c r="Q205" s="11"/>
      <c r="R205" s="11"/>
      <c r="S205" s="11"/>
      <c r="T205" s="14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79"/>
      <c r="AL205" s="45"/>
    </row>
    <row r="206" spans="2:38" x14ac:dyDescent="0.25">
      <c r="B206" s="88"/>
      <c r="C206" s="89"/>
      <c r="D206" s="89"/>
      <c r="E206" s="90"/>
      <c r="F206" s="72"/>
      <c r="G206" s="9"/>
      <c r="H206" s="74">
        <f t="shared" si="2"/>
        <v>14497900</v>
      </c>
      <c r="I206" s="35"/>
      <c r="J206" s="19"/>
      <c r="K206" s="19"/>
      <c r="L206" s="19"/>
      <c r="M206" s="19"/>
      <c r="N206" s="36"/>
      <c r="O206" s="22"/>
      <c r="P206" s="11"/>
      <c r="Q206" s="11"/>
      <c r="R206" s="11"/>
      <c r="S206" s="11"/>
      <c r="T206" s="11"/>
      <c r="U206" s="11"/>
      <c r="V206" s="11"/>
      <c r="W206" s="16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79"/>
      <c r="AL206" s="45"/>
    </row>
    <row r="207" spans="2:38" x14ac:dyDescent="0.25">
      <c r="B207" s="88"/>
      <c r="C207" s="89"/>
      <c r="D207" s="89"/>
      <c r="E207" s="90"/>
      <c r="F207" s="72"/>
      <c r="G207" s="9"/>
      <c r="H207" s="74">
        <f t="shared" si="2"/>
        <v>14497900</v>
      </c>
      <c r="I207" s="35"/>
      <c r="J207" s="19"/>
      <c r="K207" s="19"/>
      <c r="L207" s="19"/>
      <c r="M207" s="19"/>
      <c r="N207" s="36"/>
      <c r="O207" s="22"/>
      <c r="P207" s="11"/>
      <c r="Q207" s="11"/>
      <c r="R207" s="11"/>
      <c r="S207" s="11"/>
      <c r="T207" s="11"/>
      <c r="U207" s="11"/>
      <c r="V207" s="11"/>
      <c r="W207" s="16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79"/>
      <c r="AL207" s="45"/>
    </row>
    <row r="208" spans="2:38" x14ac:dyDescent="0.25">
      <c r="B208" s="88"/>
      <c r="C208" s="89"/>
      <c r="D208" s="89"/>
      <c r="E208" s="90"/>
      <c r="F208" s="72"/>
      <c r="G208" s="9"/>
      <c r="H208" s="74">
        <f t="shared" si="2"/>
        <v>14497900</v>
      </c>
      <c r="I208" s="35"/>
      <c r="J208" s="19"/>
      <c r="K208" s="19"/>
      <c r="L208" s="19"/>
      <c r="M208" s="19"/>
      <c r="N208" s="36"/>
      <c r="O208" s="22"/>
      <c r="P208" s="11"/>
      <c r="Q208" s="11"/>
      <c r="R208" s="11"/>
      <c r="S208" s="11"/>
      <c r="T208" s="11"/>
      <c r="U208" s="11"/>
      <c r="V208" s="11"/>
      <c r="W208" s="16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79"/>
      <c r="AL208" s="45"/>
    </row>
    <row r="209" spans="2:38" x14ac:dyDescent="0.25">
      <c r="B209" s="88"/>
      <c r="C209" s="89"/>
      <c r="D209" s="89"/>
      <c r="E209" s="90"/>
      <c r="F209" s="72"/>
      <c r="G209" s="9"/>
      <c r="H209" s="74">
        <f t="shared" si="2"/>
        <v>14497900</v>
      </c>
      <c r="I209" s="35"/>
      <c r="J209" s="19"/>
      <c r="K209" s="19"/>
      <c r="L209" s="19"/>
      <c r="M209" s="19"/>
      <c r="N209" s="36"/>
      <c r="O209" s="22"/>
      <c r="P209" s="11"/>
      <c r="Q209" s="11"/>
      <c r="R209" s="11"/>
      <c r="S209" s="11"/>
      <c r="T209" s="11"/>
      <c r="U209" s="11"/>
      <c r="V209" s="11"/>
      <c r="W209" s="16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79"/>
      <c r="AL209" s="45"/>
    </row>
    <row r="210" spans="2:38" x14ac:dyDescent="0.25">
      <c r="B210" s="88"/>
      <c r="C210" s="89"/>
      <c r="D210" s="89"/>
      <c r="E210" s="90"/>
      <c r="F210" s="72"/>
      <c r="G210" s="9"/>
      <c r="H210" s="74">
        <f t="shared" ref="H210:H273" si="3">H209+F210-G210</f>
        <v>14497900</v>
      </c>
      <c r="I210" s="35"/>
      <c r="J210" s="19"/>
      <c r="K210" s="19"/>
      <c r="L210" s="19"/>
      <c r="M210" s="19"/>
      <c r="N210" s="36"/>
      <c r="O210" s="22"/>
      <c r="P210" s="11"/>
      <c r="Q210" s="11"/>
      <c r="R210" s="11"/>
      <c r="S210" s="11"/>
      <c r="T210" s="11"/>
      <c r="U210" s="11"/>
      <c r="V210" s="11"/>
      <c r="W210" s="16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79"/>
      <c r="AL210" s="45"/>
    </row>
    <row r="211" spans="2:38" x14ac:dyDescent="0.25">
      <c r="B211" s="88"/>
      <c r="C211" s="89"/>
      <c r="D211" s="89"/>
      <c r="E211" s="90"/>
      <c r="F211" s="72"/>
      <c r="G211" s="9"/>
      <c r="H211" s="74">
        <f t="shared" si="3"/>
        <v>14497900</v>
      </c>
      <c r="I211" s="35"/>
      <c r="J211" s="19"/>
      <c r="K211" s="19"/>
      <c r="L211" s="19"/>
      <c r="M211" s="19"/>
      <c r="N211" s="36"/>
      <c r="O211" s="22"/>
      <c r="P211" s="11"/>
      <c r="Q211" s="11"/>
      <c r="R211" s="11"/>
      <c r="S211" s="11"/>
      <c r="T211" s="11"/>
      <c r="U211" s="11"/>
      <c r="V211" s="11"/>
      <c r="W211" s="16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79"/>
      <c r="AL211" s="45"/>
    </row>
    <row r="212" spans="2:38" x14ac:dyDescent="0.25">
      <c r="B212" s="88"/>
      <c r="C212" s="89"/>
      <c r="D212" s="89"/>
      <c r="E212" s="90"/>
      <c r="F212" s="72"/>
      <c r="G212" s="9"/>
      <c r="H212" s="74">
        <f t="shared" si="3"/>
        <v>14497900</v>
      </c>
      <c r="I212" s="35"/>
      <c r="J212" s="19"/>
      <c r="K212" s="19"/>
      <c r="L212" s="19"/>
      <c r="M212" s="19"/>
      <c r="N212" s="36"/>
      <c r="O212" s="22"/>
      <c r="P212" s="11"/>
      <c r="Q212" s="11"/>
      <c r="R212" s="11"/>
      <c r="S212" s="11"/>
      <c r="T212" s="11"/>
      <c r="U212" s="11"/>
      <c r="V212" s="11"/>
      <c r="W212" s="16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79"/>
      <c r="AL212" s="45"/>
    </row>
    <row r="213" spans="2:38" x14ac:dyDescent="0.25">
      <c r="B213" s="88"/>
      <c r="C213" s="89"/>
      <c r="D213" s="89"/>
      <c r="E213" s="90"/>
      <c r="F213" s="72"/>
      <c r="G213" s="9"/>
      <c r="H213" s="74">
        <f t="shared" si="3"/>
        <v>14497900</v>
      </c>
      <c r="I213" s="35"/>
      <c r="J213" s="19"/>
      <c r="K213" s="19"/>
      <c r="L213" s="19"/>
      <c r="M213" s="19"/>
      <c r="N213" s="36"/>
      <c r="O213" s="22"/>
      <c r="P213" s="11"/>
      <c r="Q213" s="11"/>
      <c r="R213" s="11"/>
      <c r="S213" s="11"/>
      <c r="T213" s="11"/>
      <c r="U213" s="11"/>
      <c r="V213" s="11"/>
      <c r="W213" s="16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79"/>
      <c r="AL213" s="45"/>
    </row>
    <row r="214" spans="2:38" x14ac:dyDescent="0.25">
      <c r="B214" s="88"/>
      <c r="C214" s="89"/>
      <c r="D214" s="89"/>
      <c r="E214" s="90"/>
      <c r="F214" s="72"/>
      <c r="G214" s="9"/>
      <c r="H214" s="74">
        <f t="shared" si="3"/>
        <v>14497900</v>
      </c>
      <c r="I214" s="35"/>
      <c r="J214" s="19"/>
      <c r="K214" s="19"/>
      <c r="L214" s="19"/>
      <c r="M214" s="19"/>
      <c r="N214" s="36"/>
      <c r="O214" s="22"/>
      <c r="P214" s="11"/>
      <c r="Q214" s="11"/>
      <c r="R214" s="11"/>
      <c r="S214" s="11"/>
      <c r="T214" s="11"/>
      <c r="U214" s="11"/>
      <c r="V214" s="11"/>
      <c r="W214" s="16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79"/>
      <c r="AL214" s="45"/>
    </row>
    <row r="215" spans="2:38" x14ac:dyDescent="0.25">
      <c r="B215" s="88"/>
      <c r="C215" s="89"/>
      <c r="D215" s="89"/>
      <c r="E215" s="90"/>
      <c r="F215" s="72"/>
      <c r="G215" s="9"/>
      <c r="H215" s="74">
        <f t="shared" si="3"/>
        <v>14497900</v>
      </c>
      <c r="I215" s="35"/>
      <c r="J215" s="19"/>
      <c r="K215" s="19"/>
      <c r="L215" s="19"/>
      <c r="M215" s="19"/>
      <c r="N215" s="36"/>
      <c r="O215" s="22"/>
      <c r="P215" s="11"/>
      <c r="Q215" s="11"/>
      <c r="R215" s="11"/>
      <c r="S215" s="11"/>
      <c r="T215" s="11"/>
      <c r="U215" s="14"/>
      <c r="V215" s="14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79"/>
      <c r="AL215" s="45"/>
    </row>
    <row r="216" spans="2:38" x14ac:dyDescent="0.25">
      <c r="B216" s="88"/>
      <c r="C216" s="89"/>
      <c r="D216" s="89"/>
      <c r="E216" s="90"/>
      <c r="F216" s="72"/>
      <c r="G216" s="9"/>
      <c r="H216" s="74">
        <f t="shared" si="3"/>
        <v>14497900</v>
      </c>
      <c r="I216" s="35"/>
      <c r="J216" s="19"/>
      <c r="K216" s="19"/>
      <c r="L216" s="19"/>
      <c r="M216" s="19"/>
      <c r="N216" s="36"/>
      <c r="O216" s="2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4"/>
      <c r="AF216" s="11"/>
      <c r="AG216" s="11"/>
      <c r="AH216" s="11"/>
      <c r="AI216" s="11"/>
      <c r="AJ216" s="11"/>
      <c r="AK216" s="79"/>
      <c r="AL216" s="45"/>
    </row>
    <row r="217" spans="2:38" x14ac:dyDescent="0.25">
      <c r="B217" s="88"/>
      <c r="C217" s="89"/>
      <c r="D217" s="89"/>
      <c r="E217" s="90"/>
      <c r="F217" s="72"/>
      <c r="G217" s="9"/>
      <c r="H217" s="74">
        <f t="shared" si="3"/>
        <v>14497900</v>
      </c>
      <c r="I217" s="35"/>
      <c r="J217" s="19"/>
      <c r="K217" s="19"/>
      <c r="L217" s="19"/>
      <c r="M217" s="19"/>
      <c r="N217" s="36"/>
      <c r="O217" s="22"/>
      <c r="P217" s="11"/>
      <c r="Q217" s="11"/>
      <c r="R217" s="11"/>
      <c r="S217" s="11"/>
      <c r="T217" s="11"/>
      <c r="U217" s="11"/>
      <c r="V217" s="11"/>
      <c r="W217" s="16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79"/>
      <c r="AL217" s="45"/>
    </row>
    <row r="218" spans="2:38" x14ac:dyDescent="0.25">
      <c r="B218" s="88"/>
      <c r="C218" s="89"/>
      <c r="D218" s="89"/>
      <c r="E218" s="90"/>
      <c r="F218" s="72"/>
      <c r="G218" s="9"/>
      <c r="H218" s="74">
        <f t="shared" si="3"/>
        <v>14497900</v>
      </c>
      <c r="I218" s="35"/>
      <c r="J218" s="19"/>
      <c r="K218" s="19"/>
      <c r="L218" s="19"/>
      <c r="M218" s="19"/>
      <c r="N218" s="36"/>
      <c r="O218" s="22"/>
      <c r="P218" s="11"/>
      <c r="Q218" s="11"/>
      <c r="R218" s="11"/>
      <c r="S218" s="11"/>
      <c r="T218" s="11"/>
      <c r="U218" s="11"/>
      <c r="V218" s="11"/>
      <c r="W218" s="16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79"/>
      <c r="AL218" s="45"/>
    </row>
    <row r="219" spans="2:38" x14ac:dyDescent="0.25">
      <c r="B219" s="88"/>
      <c r="C219" s="89"/>
      <c r="D219" s="89"/>
      <c r="E219" s="90"/>
      <c r="F219" s="72"/>
      <c r="G219" s="9"/>
      <c r="H219" s="74">
        <f t="shared" si="3"/>
        <v>14497900</v>
      </c>
      <c r="I219" s="35"/>
      <c r="J219" s="19"/>
      <c r="K219" s="19"/>
      <c r="L219" s="19"/>
      <c r="M219" s="19"/>
      <c r="N219" s="36"/>
      <c r="O219" s="22"/>
      <c r="P219" s="11"/>
      <c r="Q219" s="11"/>
      <c r="R219" s="11"/>
      <c r="S219" s="11"/>
      <c r="T219" s="11"/>
      <c r="U219" s="11"/>
      <c r="V219" s="11"/>
      <c r="W219" s="16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79"/>
      <c r="AL219" s="45"/>
    </row>
    <row r="220" spans="2:38" x14ac:dyDescent="0.25">
      <c r="B220" s="88"/>
      <c r="C220" s="89"/>
      <c r="D220" s="89"/>
      <c r="E220" s="90"/>
      <c r="F220" s="72"/>
      <c r="G220" s="9"/>
      <c r="H220" s="74">
        <f t="shared" si="3"/>
        <v>14497900</v>
      </c>
      <c r="I220" s="35"/>
      <c r="J220" s="19"/>
      <c r="K220" s="19"/>
      <c r="L220" s="19"/>
      <c r="M220" s="19"/>
      <c r="N220" s="36"/>
      <c r="O220" s="22"/>
      <c r="P220" s="11"/>
      <c r="Q220" s="11"/>
      <c r="R220" s="11"/>
      <c r="S220" s="11"/>
      <c r="T220" s="11"/>
      <c r="U220" s="11"/>
      <c r="V220" s="11"/>
      <c r="W220" s="16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79"/>
      <c r="AL220" s="45"/>
    </row>
    <row r="221" spans="2:38" x14ac:dyDescent="0.25">
      <c r="B221" s="88"/>
      <c r="C221" s="89"/>
      <c r="D221" s="89"/>
      <c r="E221" s="90"/>
      <c r="F221" s="72"/>
      <c r="G221" s="9"/>
      <c r="H221" s="74">
        <f t="shared" si="3"/>
        <v>14497900</v>
      </c>
      <c r="I221" s="35"/>
      <c r="J221" s="19"/>
      <c r="K221" s="19"/>
      <c r="L221" s="19"/>
      <c r="M221" s="19"/>
      <c r="N221" s="36"/>
      <c r="O221" s="22"/>
      <c r="P221" s="11"/>
      <c r="Q221" s="11"/>
      <c r="R221" s="11"/>
      <c r="S221" s="11"/>
      <c r="T221" s="11"/>
      <c r="U221" s="11"/>
      <c r="V221" s="11"/>
      <c r="W221" s="16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79"/>
      <c r="AL221" s="45"/>
    </row>
    <row r="222" spans="2:38" x14ac:dyDescent="0.25">
      <c r="B222" s="88"/>
      <c r="C222" s="89"/>
      <c r="D222" s="89"/>
      <c r="E222" s="90"/>
      <c r="F222" s="72"/>
      <c r="G222" s="9"/>
      <c r="H222" s="74">
        <f t="shared" si="3"/>
        <v>14497900</v>
      </c>
      <c r="I222" s="35"/>
      <c r="J222" s="19"/>
      <c r="K222" s="19"/>
      <c r="L222" s="19"/>
      <c r="M222" s="19"/>
      <c r="N222" s="36"/>
      <c r="O222" s="22"/>
      <c r="P222" s="11"/>
      <c r="Q222" s="11"/>
      <c r="R222" s="11"/>
      <c r="S222" s="11"/>
      <c r="T222" s="11"/>
      <c r="U222" s="11"/>
      <c r="V222" s="11"/>
      <c r="W222" s="16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79"/>
      <c r="AL222" s="45"/>
    </row>
    <row r="223" spans="2:38" x14ac:dyDescent="0.25">
      <c r="B223" s="88"/>
      <c r="C223" s="89"/>
      <c r="D223" s="89"/>
      <c r="E223" s="90"/>
      <c r="F223" s="72"/>
      <c r="G223" s="9"/>
      <c r="H223" s="74">
        <f t="shared" si="3"/>
        <v>14497900</v>
      </c>
      <c r="I223" s="35"/>
      <c r="J223" s="19"/>
      <c r="K223" s="19"/>
      <c r="L223" s="19"/>
      <c r="M223" s="19"/>
      <c r="N223" s="36"/>
      <c r="O223" s="22"/>
      <c r="P223" s="11"/>
      <c r="Q223" s="11"/>
      <c r="R223" s="11"/>
      <c r="S223" s="11"/>
      <c r="T223" s="11"/>
      <c r="U223" s="11"/>
      <c r="V223" s="11"/>
      <c r="W223" s="16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79"/>
      <c r="AL223" s="45"/>
    </row>
    <row r="224" spans="2:38" x14ac:dyDescent="0.25">
      <c r="B224" s="88"/>
      <c r="C224" s="89"/>
      <c r="D224" s="89"/>
      <c r="E224" s="90"/>
      <c r="F224" s="72"/>
      <c r="G224" s="9"/>
      <c r="H224" s="74">
        <f t="shared" si="3"/>
        <v>14497900</v>
      </c>
      <c r="I224" s="35"/>
      <c r="J224" s="19"/>
      <c r="K224" s="19"/>
      <c r="L224" s="19"/>
      <c r="M224" s="19"/>
      <c r="N224" s="36"/>
      <c r="O224" s="22"/>
      <c r="P224" s="11"/>
      <c r="Q224" s="11"/>
      <c r="R224" s="11"/>
      <c r="S224" s="11"/>
      <c r="T224" s="11"/>
      <c r="U224" s="11"/>
      <c r="V224" s="11"/>
      <c r="W224" s="16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79"/>
      <c r="AL224" s="45"/>
    </row>
    <row r="225" spans="2:38" x14ac:dyDescent="0.25">
      <c r="B225" s="88"/>
      <c r="C225" s="89"/>
      <c r="D225" s="89"/>
      <c r="E225" s="90"/>
      <c r="F225" s="72"/>
      <c r="G225" s="9"/>
      <c r="H225" s="74">
        <f t="shared" si="3"/>
        <v>14497900</v>
      </c>
      <c r="I225" s="35"/>
      <c r="J225" s="19"/>
      <c r="K225" s="19"/>
      <c r="L225" s="19"/>
      <c r="M225" s="19"/>
      <c r="N225" s="36"/>
      <c r="O225" s="22"/>
      <c r="P225" s="11"/>
      <c r="Q225" s="11"/>
      <c r="R225" s="11"/>
      <c r="S225" s="11"/>
      <c r="T225" s="11"/>
      <c r="U225" s="11"/>
      <c r="V225" s="11"/>
      <c r="W225" s="11"/>
      <c r="X225" s="11"/>
      <c r="Y225" s="14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79"/>
      <c r="AL225" s="45"/>
    </row>
    <row r="226" spans="2:38" x14ac:dyDescent="0.25">
      <c r="B226" s="88"/>
      <c r="C226" s="89"/>
      <c r="D226" s="89"/>
      <c r="E226" s="90"/>
      <c r="F226" s="72"/>
      <c r="G226" s="9"/>
      <c r="H226" s="74">
        <f t="shared" si="3"/>
        <v>14497900</v>
      </c>
      <c r="I226" s="35"/>
      <c r="J226" s="19"/>
      <c r="K226" s="19"/>
      <c r="L226" s="19"/>
      <c r="M226" s="19"/>
      <c r="N226" s="36"/>
      <c r="O226" s="22"/>
      <c r="P226" s="11"/>
      <c r="Q226" s="11"/>
      <c r="R226" s="11"/>
      <c r="S226" s="11"/>
      <c r="T226" s="11"/>
      <c r="U226" s="11"/>
      <c r="V226" s="11"/>
      <c r="W226" s="11"/>
      <c r="X226" s="11"/>
      <c r="Y226" s="14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79"/>
      <c r="AL226" s="45"/>
    </row>
    <row r="227" spans="2:38" x14ac:dyDescent="0.25">
      <c r="B227" s="88"/>
      <c r="C227" s="89"/>
      <c r="D227" s="89"/>
      <c r="E227" s="90"/>
      <c r="F227" s="72"/>
      <c r="G227" s="9"/>
      <c r="H227" s="74">
        <f t="shared" si="3"/>
        <v>14497900</v>
      </c>
      <c r="I227" s="35"/>
      <c r="J227" s="19"/>
      <c r="K227" s="19"/>
      <c r="L227" s="19"/>
      <c r="M227" s="19"/>
      <c r="N227" s="36"/>
      <c r="O227" s="2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79"/>
      <c r="AL227" s="45"/>
    </row>
    <row r="228" spans="2:38" x14ac:dyDescent="0.25">
      <c r="B228" s="88"/>
      <c r="C228" s="89"/>
      <c r="D228" s="89"/>
      <c r="E228" s="90"/>
      <c r="F228" s="72"/>
      <c r="G228" s="9"/>
      <c r="H228" s="74">
        <f t="shared" si="3"/>
        <v>14497900</v>
      </c>
      <c r="I228" s="35"/>
      <c r="J228" s="19"/>
      <c r="K228" s="19"/>
      <c r="L228" s="19"/>
      <c r="M228" s="19"/>
      <c r="N228" s="36"/>
      <c r="O228" s="2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79"/>
      <c r="AL228" s="45"/>
    </row>
    <row r="229" spans="2:38" x14ac:dyDescent="0.25">
      <c r="B229" s="88"/>
      <c r="C229" s="89"/>
      <c r="D229" s="89"/>
      <c r="E229" s="90"/>
      <c r="F229" s="72"/>
      <c r="G229" s="9"/>
      <c r="H229" s="74">
        <f t="shared" si="3"/>
        <v>14497900</v>
      </c>
      <c r="I229" s="35"/>
      <c r="J229" s="19"/>
      <c r="K229" s="19"/>
      <c r="L229" s="19"/>
      <c r="M229" s="19"/>
      <c r="N229" s="36"/>
      <c r="O229" s="2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79"/>
      <c r="AL229" s="45"/>
    </row>
    <row r="230" spans="2:38" x14ac:dyDescent="0.25">
      <c r="B230" s="88"/>
      <c r="C230" s="89"/>
      <c r="D230" s="89"/>
      <c r="E230" s="90"/>
      <c r="F230" s="72"/>
      <c r="G230" s="9"/>
      <c r="H230" s="74">
        <f t="shared" si="3"/>
        <v>14497900</v>
      </c>
      <c r="I230" s="35"/>
      <c r="J230" s="19"/>
      <c r="K230" s="19"/>
      <c r="L230" s="19"/>
      <c r="M230" s="19"/>
      <c r="N230" s="36"/>
      <c r="O230" s="2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79"/>
      <c r="AL230" s="45"/>
    </row>
    <row r="231" spans="2:38" x14ac:dyDescent="0.25">
      <c r="B231" s="88"/>
      <c r="C231" s="89"/>
      <c r="D231" s="89"/>
      <c r="E231" s="90"/>
      <c r="F231" s="72"/>
      <c r="G231" s="9"/>
      <c r="H231" s="74">
        <f t="shared" si="3"/>
        <v>14497900</v>
      </c>
      <c r="I231" s="35"/>
      <c r="J231" s="19"/>
      <c r="K231" s="19"/>
      <c r="L231" s="19"/>
      <c r="M231" s="19"/>
      <c r="N231" s="36"/>
      <c r="O231" s="22"/>
      <c r="P231" s="11"/>
      <c r="Q231" s="11"/>
      <c r="R231" s="11"/>
      <c r="S231" s="11"/>
      <c r="T231" s="14"/>
      <c r="U231" s="11"/>
      <c r="V231" s="11"/>
      <c r="W231" s="11"/>
      <c r="X231" s="11"/>
      <c r="Y231" s="14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79"/>
      <c r="AL231" s="45"/>
    </row>
    <row r="232" spans="2:38" x14ac:dyDescent="0.25">
      <c r="B232" s="88"/>
      <c r="C232" s="89"/>
      <c r="D232" s="89"/>
      <c r="E232" s="90"/>
      <c r="F232" s="72"/>
      <c r="G232" s="9"/>
      <c r="H232" s="74">
        <f t="shared" si="3"/>
        <v>14497900</v>
      </c>
      <c r="I232" s="35"/>
      <c r="J232" s="19"/>
      <c r="K232" s="19"/>
      <c r="L232" s="19"/>
      <c r="M232" s="19"/>
      <c r="N232" s="36"/>
      <c r="O232" s="2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79"/>
      <c r="AL232" s="45"/>
    </row>
    <row r="233" spans="2:38" x14ac:dyDescent="0.25">
      <c r="B233" s="88"/>
      <c r="C233" s="89"/>
      <c r="D233" s="89"/>
      <c r="E233" s="90"/>
      <c r="F233" s="72"/>
      <c r="G233" s="9"/>
      <c r="H233" s="74">
        <f t="shared" si="3"/>
        <v>14497900</v>
      </c>
      <c r="I233" s="35"/>
      <c r="J233" s="19"/>
      <c r="K233" s="19"/>
      <c r="L233" s="19"/>
      <c r="M233" s="19"/>
      <c r="N233" s="36"/>
      <c r="O233" s="2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79"/>
      <c r="AL233" s="45"/>
    </row>
    <row r="234" spans="2:38" x14ac:dyDescent="0.25">
      <c r="B234" s="88"/>
      <c r="C234" s="89"/>
      <c r="D234" s="89"/>
      <c r="E234" s="90"/>
      <c r="F234" s="72"/>
      <c r="G234" s="9"/>
      <c r="H234" s="74">
        <f t="shared" si="3"/>
        <v>14497900</v>
      </c>
      <c r="I234" s="35"/>
      <c r="J234" s="19"/>
      <c r="K234" s="19"/>
      <c r="L234" s="19"/>
      <c r="M234" s="19"/>
      <c r="N234" s="36"/>
      <c r="O234" s="2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79"/>
      <c r="AL234" s="45"/>
    </row>
    <row r="235" spans="2:38" x14ac:dyDescent="0.25">
      <c r="B235" s="88"/>
      <c r="C235" s="89"/>
      <c r="D235" s="89"/>
      <c r="E235" s="90"/>
      <c r="F235" s="72"/>
      <c r="G235" s="9"/>
      <c r="H235" s="74">
        <f t="shared" si="3"/>
        <v>14497900</v>
      </c>
      <c r="I235" s="35"/>
      <c r="J235" s="19"/>
      <c r="K235" s="19"/>
      <c r="L235" s="19"/>
      <c r="M235" s="19"/>
      <c r="N235" s="36"/>
      <c r="O235" s="2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79"/>
      <c r="AL235" s="45"/>
    </row>
    <row r="236" spans="2:38" x14ac:dyDescent="0.25">
      <c r="B236" s="88"/>
      <c r="C236" s="89"/>
      <c r="D236" s="89"/>
      <c r="E236" s="90"/>
      <c r="F236" s="72"/>
      <c r="G236" s="9"/>
      <c r="H236" s="74">
        <f t="shared" si="3"/>
        <v>14497900</v>
      </c>
      <c r="I236" s="35"/>
      <c r="J236" s="19"/>
      <c r="K236" s="19"/>
      <c r="L236" s="19"/>
      <c r="M236" s="19"/>
      <c r="N236" s="36"/>
      <c r="O236" s="2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79"/>
      <c r="AL236" s="45"/>
    </row>
    <row r="237" spans="2:38" x14ac:dyDescent="0.25">
      <c r="B237" s="88"/>
      <c r="C237" s="89"/>
      <c r="D237" s="89"/>
      <c r="E237" s="90"/>
      <c r="F237" s="72"/>
      <c r="G237" s="9"/>
      <c r="H237" s="74">
        <f t="shared" si="3"/>
        <v>14497900</v>
      </c>
      <c r="I237" s="35"/>
      <c r="J237" s="19"/>
      <c r="K237" s="19"/>
      <c r="L237" s="19"/>
      <c r="M237" s="19"/>
      <c r="N237" s="36"/>
      <c r="O237" s="2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79"/>
      <c r="AL237" s="45"/>
    </row>
    <row r="238" spans="2:38" x14ac:dyDescent="0.25">
      <c r="B238" s="88"/>
      <c r="C238" s="89"/>
      <c r="D238" s="89"/>
      <c r="E238" s="90"/>
      <c r="F238" s="72"/>
      <c r="G238" s="9"/>
      <c r="H238" s="74">
        <f t="shared" si="3"/>
        <v>14497900</v>
      </c>
      <c r="I238" s="35"/>
      <c r="J238" s="19"/>
      <c r="K238" s="19"/>
      <c r="L238" s="19"/>
      <c r="M238" s="19"/>
      <c r="N238" s="36"/>
      <c r="O238" s="2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79"/>
      <c r="AL238" s="45"/>
    </row>
    <row r="239" spans="2:38" x14ac:dyDescent="0.25">
      <c r="B239" s="88"/>
      <c r="C239" s="89"/>
      <c r="D239" s="89"/>
      <c r="E239" s="90"/>
      <c r="F239" s="72"/>
      <c r="G239" s="9"/>
      <c r="H239" s="74">
        <f t="shared" si="3"/>
        <v>14497900</v>
      </c>
      <c r="I239" s="35"/>
      <c r="J239" s="19"/>
      <c r="K239" s="19"/>
      <c r="L239" s="19"/>
      <c r="M239" s="19"/>
      <c r="N239" s="36"/>
      <c r="O239" s="2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79"/>
      <c r="AL239" s="45"/>
    </row>
    <row r="240" spans="2:38" x14ac:dyDescent="0.25">
      <c r="B240" s="88"/>
      <c r="C240" s="89"/>
      <c r="D240" s="89"/>
      <c r="E240" s="90"/>
      <c r="F240" s="72"/>
      <c r="G240" s="9"/>
      <c r="H240" s="74">
        <f t="shared" si="3"/>
        <v>14497900</v>
      </c>
      <c r="I240" s="35"/>
      <c r="J240" s="19"/>
      <c r="K240" s="19"/>
      <c r="L240" s="19"/>
      <c r="M240" s="19"/>
      <c r="N240" s="36"/>
      <c r="O240" s="2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4"/>
      <c r="AI240" s="14"/>
      <c r="AJ240" s="14"/>
      <c r="AK240" s="80"/>
      <c r="AL240" s="45"/>
    </row>
    <row r="241" spans="2:38" x14ac:dyDescent="0.25">
      <c r="B241" s="88"/>
      <c r="C241" s="89"/>
      <c r="D241" s="89"/>
      <c r="E241" s="90"/>
      <c r="F241" s="72"/>
      <c r="G241" s="9"/>
      <c r="H241" s="74">
        <f t="shared" si="3"/>
        <v>14497900</v>
      </c>
      <c r="I241" s="35"/>
      <c r="J241" s="19"/>
      <c r="K241" s="19"/>
      <c r="L241" s="19"/>
      <c r="M241" s="19"/>
      <c r="N241" s="36"/>
      <c r="O241" s="2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79"/>
      <c r="AL241" s="45"/>
    </row>
    <row r="242" spans="2:38" x14ac:dyDescent="0.25">
      <c r="B242" s="88"/>
      <c r="C242" s="89"/>
      <c r="D242" s="89"/>
      <c r="E242" s="90"/>
      <c r="F242" s="72"/>
      <c r="G242" s="9"/>
      <c r="H242" s="74">
        <f t="shared" si="3"/>
        <v>14497900</v>
      </c>
      <c r="I242" s="35"/>
      <c r="J242" s="19"/>
      <c r="K242" s="19"/>
      <c r="L242" s="19"/>
      <c r="M242" s="19"/>
      <c r="N242" s="36"/>
      <c r="O242" s="2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6"/>
      <c r="AI242" s="16"/>
      <c r="AJ242" s="16"/>
      <c r="AK242" s="81"/>
      <c r="AL242" s="45"/>
    </row>
    <row r="243" spans="2:38" x14ac:dyDescent="0.25">
      <c r="B243" s="88"/>
      <c r="C243" s="89"/>
      <c r="D243" s="89"/>
      <c r="E243" s="90"/>
      <c r="F243" s="72"/>
      <c r="G243" s="9"/>
      <c r="H243" s="74">
        <f t="shared" si="3"/>
        <v>14497900</v>
      </c>
      <c r="I243" s="35"/>
      <c r="J243" s="19"/>
      <c r="K243" s="19"/>
      <c r="L243" s="19"/>
      <c r="M243" s="19"/>
      <c r="N243" s="36"/>
      <c r="O243" s="2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79"/>
      <c r="AL243" s="45"/>
    </row>
    <row r="244" spans="2:38" x14ac:dyDescent="0.25">
      <c r="B244" s="88"/>
      <c r="C244" s="89"/>
      <c r="D244" s="89"/>
      <c r="E244" s="90"/>
      <c r="F244" s="72"/>
      <c r="G244" s="9"/>
      <c r="H244" s="74">
        <f t="shared" si="3"/>
        <v>14497900</v>
      </c>
      <c r="I244" s="35"/>
      <c r="J244" s="19"/>
      <c r="K244" s="19"/>
      <c r="L244" s="19"/>
      <c r="M244" s="19"/>
      <c r="N244" s="36"/>
      <c r="O244" s="2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79"/>
      <c r="AL244" s="45"/>
    </row>
    <row r="245" spans="2:38" x14ac:dyDescent="0.25">
      <c r="B245" s="88"/>
      <c r="C245" s="89"/>
      <c r="D245" s="89"/>
      <c r="E245" s="90"/>
      <c r="F245" s="72"/>
      <c r="G245" s="9"/>
      <c r="H245" s="74">
        <f t="shared" si="3"/>
        <v>14497900</v>
      </c>
      <c r="I245" s="35"/>
      <c r="J245" s="19"/>
      <c r="K245" s="19"/>
      <c r="L245" s="19"/>
      <c r="M245" s="19"/>
      <c r="N245" s="36"/>
      <c r="O245" s="2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79"/>
      <c r="AL245" s="45"/>
    </row>
    <row r="246" spans="2:38" x14ac:dyDescent="0.25">
      <c r="B246" s="88"/>
      <c r="C246" s="89"/>
      <c r="D246" s="89"/>
      <c r="E246" s="90"/>
      <c r="F246" s="72"/>
      <c r="G246" s="9"/>
      <c r="H246" s="74">
        <f t="shared" si="3"/>
        <v>14497900</v>
      </c>
      <c r="I246" s="35"/>
      <c r="J246" s="19"/>
      <c r="K246" s="19"/>
      <c r="L246" s="19"/>
      <c r="M246" s="19"/>
      <c r="N246" s="36"/>
      <c r="O246" s="2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79"/>
      <c r="AL246" s="45"/>
    </row>
    <row r="247" spans="2:38" x14ac:dyDescent="0.25">
      <c r="B247" s="88"/>
      <c r="C247" s="89"/>
      <c r="D247" s="89"/>
      <c r="E247" s="90"/>
      <c r="F247" s="72"/>
      <c r="G247" s="9"/>
      <c r="H247" s="74">
        <f t="shared" si="3"/>
        <v>14497900</v>
      </c>
      <c r="I247" s="35"/>
      <c r="J247" s="19"/>
      <c r="K247" s="19"/>
      <c r="L247" s="19"/>
      <c r="M247" s="19"/>
      <c r="N247" s="36"/>
      <c r="O247" s="2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4"/>
      <c r="AH247" s="11"/>
      <c r="AI247" s="11"/>
      <c r="AJ247" s="11"/>
      <c r="AK247" s="79"/>
      <c r="AL247" s="45"/>
    </row>
    <row r="248" spans="2:38" x14ac:dyDescent="0.25">
      <c r="B248" s="88"/>
      <c r="C248" s="89"/>
      <c r="D248" s="89"/>
      <c r="E248" s="90"/>
      <c r="F248" s="72"/>
      <c r="G248" s="9"/>
      <c r="H248" s="74">
        <f t="shared" si="3"/>
        <v>14497900</v>
      </c>
      <c r="I248" s="35"/>
      <c r="J248" s="19"/>
      <c r="K248" s="19"/>
      <c r="L248" s="19"/>
      <c r="M248" s="19"/>
      <c r="N248" s="36"/>
      <c r="O248" s="2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79"/>
      <c r="AL248" s="45"/>
    </row>
    <row r="249" spans="2:38" x14ac:dyDescent="0.25">
      <c r="B249" s="88"/>
      <c r="C249" s="89"/>
      <c r="D249" s="89"/>
      <c r="E249" s="90"/>
      <c r="F249" s="72"/>
      <c r="G249" s="9"/>
      <c r="H249" s="74">
        <f t="shared" si="3"/>
        <v>14497900</v>
      </c>
      <c r="I249" s="35"/>
      <c r="J249" s="19"/>
      <c r="K249" s="19"/>
      <c r="L249" s="19"/>
      <c r="M249" s="19"/>
      <c r="N249" s="36"/>
      <c r="O249" s="2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6"/>
      <c r="AH249" s="11"/>
      <c r="AI249" s="11"/>
      <c r="AJ249" s="11"/>
      <c r="AK249" s="79"/>
      <c r="AL249" s="45"/>
    </row>
    <row r="250" spans="2:38" x14ac:dyDescent="0.25">
      <c r="B250" s="88"/>
      <c r="C250" s="89"/>
      <c r="D250" s="89"/>
      <c r="E250" s="90"/>
      <c r="F250" s="72"/>
      <c r="G250" s="9"/>
      <c r="H250" s="74">
        <f t="shared" si="3"/>
        <v>14497900</v>
      </c>
      <c r="I250" s="35"/>
      <c r="J250" s="19"/>
      <c r="K250" s="19"/>
      <c r="L250" s="19"/>
      <c r="M250" s="19"/>
      <c r="N250" s="36"/>
      <c r="O250" s="2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79"/>
      <c r="AL250" s="45"/>
    </row>
    <row r="251" spans="2:38" x14ac:dyDescent="0.25">
      <c r="B251" s="88"/>
      <c r="C251" s="89"/>
      <c r="D251" s="89"/>
      <c r="E251" s="90"/>
      <c r="F251" s="72"/>
      <c r="G251" s="9"/>
      <c r="H251" s="74">
        <f t="shared" si="3"/>
        <v>14497900</v>
      </c>
      <c r="I251" s="35"/>
      <c r="J251" s="19"/>
      <c r="K251" s="19"/>
      <c r="L251" s="19"/>
      <c r="M251" s="19"/>
      <c r="N251" s="36"/>
      <c r="O251" s="2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79"/>
      <c r="AL251" s="45"/>
    </row>
    <row r="252" spans="2:38" x14ac:dyDescent="0.25">
      <c r="B252" s="88"/>
      <c r="C252" s="89"/>
      <c r="D252" s="89"/>
      <c r="E252" s="90"/>
      <c r="F252" s="72"/>
      <c r="G252" s="9"/>
      <c r="H252" s="74">
        <f t="shared" si="3"/>
        <v>14497900</v>
      </c>
      <c r="I252" s="35"/>
      <c r="J252" s="19"/>
      <c r="K252" s="19"/>
      <c r="L252" s="19"/>
      <c r="M252" s="19"/>
      <c r="N252" s="36"/>
      <c r="O252" s="2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79"/>
      <c r="AL252" s="45"/>
    </row>
    <row r="253" spans="2:38" x14ac:dyDescent="0.25">
      <c r="B253" s="88"/>
      <c r="C253" s="89"/>
      <c r="D253" s="89"/>
      <c r="E253" s="90"/>
      <c r="F253" s="72"/>
      <c r="G253" s="9"/>
      <c r="H253" s="74">
        <f t="shared" si="3"/>
        <v>14497900</v>
      </c>
      <c r="I253" s="35"/>
      <c r="J253" s="19"/>
      <c r="K253" s="19"/>
      <c r="L253" s="19"/>
      <c r="M253" s="19"/>
      <c r="N253" s="36"/>
      <c r="O253" s="2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79"/>
      <c r="AL253" s="45"/>
    </row>
    <row r="254" spans="2:38" x14ac:dyDescent="0.25">
      <c r="B254" s="88"/>
      <c r="C254" s="89"/>
      <c r="D254" s="89"/>
      <c r="E254" s="90"/>
      <c r="F254" s="72"/>
      <c r="G254" s="9"/>
      <c r="H254" s="74">
        <f t="shared" si="3"/>
        <v>14497900</v>
      </c>
      <c r="I254" s="35"/>
      <c r="J254" s="19"/>
      <c r="K254" s="19"/>
      <c r="L254" s="19"/>
      <c r="M254" s="19"/>
      <c r="N254" s="36"/>
      <c r="O254" s="2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79"/>
      <c r="AL254" s="45"/>
    </row>
    <row r="255" spans="2:38" x14ac:dyDescent="0.25">
      <c r="B255" s="88"/>
      <c r="C255" s="89"/>
      <c r="D255" s="89"/>
      <c r="E255" s="90"/>
      <c r="F255" s="72"/>
      <c r="G255" s="9"/>
      <c r="H255" s="74">
        <f t="shared" si="3"/>
        <v>14497900</v>
      </c>
      <c r="I255" s="35"/>
      <c r="J255" s="19"/>
      <c r="K255" s="19"/>
      <c r="L255" s="19"/>
      <c r="M255" s="19"/>
      <c r="N255" s="36"/>
      <c r="O255" s="2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79"/>
      <c r="AL255" s="45"/>
    </row>
    <row r="256" spans="2:38" x14ac:dyDescent="0.25">
      <c r="B256" s="88"/>
      <c r="C256" s="89"/>
      <c r="D256" s="89"/>
      <c r="E256" s="90"/>
      <c r="F256" s="72"/>
      <c r="G256" s="9"/>
      <c r="H256" s="74">
        <f t="shared" si="3"/>
        <v>14497900</v>
      </c>
      <c r="I256" s="35"/>
      <c r="J256" s="19"/>
      <c r="K256" s="19"/>
      <c r="L256" s="19"/>
      <c r="M256" s="19"/>
      <c r="N256" s="36"/>
      <c r="O256" s="2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79"/>
      <c r="AL256" s="45"/>
    </row>
    <row r="257" spans="2:38" x14ac:dyDescent="0.25">
      <c r="B257" s="88"/>
      <c r="C257" s="89"/>
      <c r="D257" s="89"/>
      <c r="E257" s="90"/>
      <c r="F257" s="72"/>
      <c r="G257" s="9"/>
      <c r="H257" s="74">
        <f t="shared" si="3"/>
        <v>14497900</v>
      </c>
      <c r="I257" s="35"/>
      <c r="J257" s="19"/>
      <c r="K257" s="19"/>
      <c r="L257" s="19"/>
      <c r="M257" s="19"/>
      <c r="N257" s="36"/>
      <c r="O257" s="2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79"/>
      <c r="AL257" s="45"/>
    </row>
    <row r="258" spans="2:38" x14ac:dyDescent="0.25">
      <c r="B258" s="88"/>
      <c r="C258" s="89"/>
      <c r="D258" s="89"/>
      <c r="E258" s="90"/>
      <c r="F258" s="72"/>
      <c r="G258" s="9"/>
      <c r="H258" s="74">
        <f t="shared" si="3"/>
        <v>14497900</v>
      </c>
      <c r="I258" s="35"/>
      <c r="J258" s="19"/>
      <c r="K258" s="19"/>
      <c r="L258" s="19"/>
      <c r="M258" s="19"/>
      <c r="N258" s="36"/>
      <c r="O258" s="2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79"/>
      <c r="AL258" s="45"/>
    </row>
    <row r="259" spans="2:38" x14ac:dyDescent="0.25">
      <c r="B259" s="88"/>
      <c r="C259" s="89"/>
      <c r="D259" s="89"/>
      <c r="E259" s="90"/>
      <c r="F259" s="72"/>
      <c r="G259" s="9"/>
      <c r="H259" s="74">
        <f t="shared" si="3"/>
        <v>14497900</v>
      </c>
      <c r="I259" s="35"/>
      <c r="J259" s="19"/>
      <c r="K259" s="19"/>
      <c r="L259" s="19"/>
      <c r="M259" s="19"/>
      <c r="N259" s="36"/>
      <c r="O259" s="2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79"/>
      <c r="AL259" s="45"/>
    </row>
    <row r="260" spans="2:38" x14ac:dyDescent="0.25">
      <c r="B260" s="88"/>
      <c r="C260" s="89"/>
      <c r="D260" s="89"/>
      <c r="E260" s="90"/>
      <c r="F260" s="72"/>
      <c r="G260" s="9"/>
      <c r="H260" s="74">
        <f t="shared" si="3"/>
        <v>14497900</v>
      </c>
      <c r="I260" s="35"/>
      <c r="J260" s="19"/>
      <c r="K260" s="19"/>
      <c r="L260" s="19"/>
      <c r="M260" s="19"/>
      <c r="N260" s="36"/>
      <c r="O260" s="2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79"/>
      <c r="AL260" s="45"/>
    </row>
    <row r="261" spans="2:38" x14ac:dyDescent="0.25">
      <c r="B261" s="88"/>
      <c r="C261" s="89"/>
      <c r="D261" s="89"/>
      <c r="E261" s="90"/>
      <c r="F261" s="72"/>
      <c r="G261" s="9"/>
      <c r="H261" s="74">
        <f t="shared" si="3"/>
        <v>14497900</v>
      </c>
      <c r="I261" s="35"/>
      <c r="J261" s="19"/>
      <c r="K261" s="19"/>
      <c r="L261" s="19"/>
      <c r="M261" s="19"/>
      <c r="N261" s="36"/>
      <c r="O261" s="2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79"/>
      <c r="AL261" s="45"/>
    </row>
    <row r="262" spans="2:38" x14ac:dyDescent="0.25">
      <c r="B262" s="88"/>
      <c r="C262" s="89"/>
      <c r="D262" s="89"/>
      <c r="E262" s="90"/>
      <c r="F262" s="72"/>
      <c r="G262" s="9"/>
      <c r="H262" s="74">
        <f t="shared" si="3"/>
        <v>14497900</v>
      </c>
      <c r="I262" s="35"/>
      <c r="J262" s="19"/>
      <c r="K262" s="19"/>
      <c r="L262" s="19"/>
      <c r="M262" s="19"/>
      <c r="N262" s="36"/>
      <c r="O262" s="2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79"/>
      <c r="AL262" s="45"/>
    </row>
    <row r="263" spans="2:38" x14ac:dyDescent="0.25">
      <c r="B263" s="88"/>
      <c r="C263" s="89"/>
      <c r="D263" s="89"/>
      <c r="E263" s="90"/>
      <c r="F263" s="72"/>
      <c r="G263" s="9"/>
      <c r="H263" s="74">
        <f t="shared" si="3"/>
        <v>14497900</v>
      </c>
      <c r="I263" s="35"/>
      <c r="J263" s="19"/>
      <c r="K263" s="19"/>
      <c r="L263" s="19"/>
      <c r="M263" s="19"/>
      <c r="N263" s="36"/>
      <c r="O263" s="2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79"/>
      <c r="AL263" s="45"/>
    </row>
    <row r="264" spans="2:38" x14ac:dyDescent="0.25">
      <c r="B264" s="88"/>
      <c r="C264" s="89"/>
      <c r="D264" s="89"/>
      <c r="E264" s="90"/>
      <c r="F264" s="72"/>
      <c r="G264" s="9"/>
      <c r="H264" s="74">
        <f t="shared" si="3"/>
        <v>14497900</v>
      </c>
      <c r="I264" s="35"/>
      <c r="J264" s="19"/>
      <c r="K264" s="19"/>
      <c r="L264" s="19"/>
      <c r="M264" s="19"/>
      <c r="N264" s="36"/>
      <c r="O264" s="2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79"/>
      <c r="AL264" s="45"/>
    </row>
    <row r="265" spans="2:38" x14ac:dyDescent="0.25">
      <c r="B265" s="88"/>
      <c r="C265" s="89"/>
      <c r="D265" s="89"/>
      <c r="E265" s="90"/>
      <c r="F265" s="72"/>
      <c r="G265" s="9"/>
      <c r="H265" s="74">
        <f t="shared" si="3"/>
        <v>14497900</v>
      </c>
      <c r="I265" s="35"/>
      <c r="J265" s="19"/>
      <c r="K265" s="19"/>
      <c r="L265" s="19"/>
      <c r="M265" s="19"/>
      <c r="N265" s="36"/>
      <c r="O265" s="2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79"/>
      <c r="AL265" s="45"/>
    </row>
    <row r="266" spans="2:38" x14ac:dyDescent="0.25">
      <c r="B266" s="88"/>
      <c r="C266" s="89"/>
      <c r="D266" s="89"/>
      <c r="E266" s="90"/>
      <c r="F266" s="72"/>
      <c r="G266" s="9"/>
      <c r="H266" s="74">
        <f t="shared" si="3"/>
        <v>14497900</v>
      </c>
      <c r="I266" s="35"/>
      <c r="J266" s="19"/>
      <c r="K266" s="19"/>
      <c r="L266" s="19"/>
      <c r="M266" s="19"/>
      <c r="N266" s="36"/>
      <c r="O266" s="2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79"/>
      <c r="AL266" s="45"/>
    </row>
    <row r="267" spans="2:38" x14ac:dyDescent="0.25">
      <c r="B267" s="88"/>
      <c r="C267" s="89"/>
      <c r="D267" s="89"/>
      <c r="E267" s="90"/>
      <c r="F267" s="72"/>
      <c r="G267" s="9"/>
      <c r="H267" s="74">
        <f t="shared" si="3"/>
        <v>14497900</v>
      </c>
      <c r="I267" s="35"/>
      <c r="J267" s="19"/>
      <c r="K267" s="19"/>
      <c r="L267" s="19"/>
      <c r="M267" s="19"/>
      <c r="N267" s="36"/>
      <c r="O267" s="2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79"/>
      <c r="AL267" s="45"/>
    </row>
    <row r="268" spans="2:38" x14ac:dyDescent="0.25">
      <c r="B268" s="88"/>
      <c r="C268" s="89"/>
      <c r="D268" s="89"/>
      <c r="E268" s="90"/>
      <c r="F268" s="72"/>
      <c r="G268" s="9"/>
      <c r="H268" s="74">
        <f t="shared" si="3"/>
        <v>14497900</v>
      </c>
      <c r="I268" s="35"/>
      <c r="J268" s="19"/>
      <c r="K268" s="19"/>
      <c r="L268" s="19"/>
      <c r="M268" s="19"/>
      <c r="N268" s="36"/>
      <c r="O268" s="2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79"/>
      <c r="AL268" s="45"/>
    </row>
    <row r="269" spans="2:38" x14ac:dyDescent="0.25">
      <c r="B269" s="88"/>
      <c r="C269" s="89"/>
      <c r="D269" s="89"/>
      <c r="E269" s="90"/>
      <c r="F269" s="72"/>
      <c r="G269" s="9"/>
      <c r="H269" s="74">
        <f t="shared" si="3"/>
        <v>14497900</v>
      </c>
      <c r="I269" s="35"/>
      <c r="J269" s="19"/>
      <c r="K269" s="19"/>
      <c r="L269" s="19"/>
      <c r="M269" s="19"/>
      <c r="N269" s="36"/>
      <c r="O269" s="2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79"/>
      <c r="AL269" s="45"/>
    </row>
    <row r="270" spans="2:38" x14ac:dyDescent="0.25">
      <c r="B270" s="88"/>
      <c r="C270" s="89"/>
      <c r="D270" s="89"/>
      <c r="E270" s="90"/>
      <c r="F270" s="72"/>
      <c r="G270" s="9"/>
      <c r="H270" s="74">
        <f t="shared" si="3"/>
        <v>14497900</v>
      </c>
      <c r="I270" s="35"/>
      <c r="J270" s="19"/>
      <c r="K270" s="19"/>
      <c r="L270" s="19"/>
      <c r="M270" s="19"/>
      <c r="N270" s="36"/>
      <c r="O270" s="2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79"/>
      <c r="AL270" s="45"/>
    </row>
    <row r="271" spans="2:38" x14ac:dyDescent="0.25">
      <c r="B271" s="88"/>
      <c r="C271" s="89"/>
      <c r="D271" s="89"/>
      <c r="E271" s="90"/>
      <c r="F271" s="72"/>
      <c r="G271" s="9"/>
      <c r="H271" s="74">
        <f t="shared" si="3"/>
        <v>14497900</v>
      </c>
      <c r="I271" s="35"/>
      <c r="J271" s="19"/>
      <c r="K271" s="19"/>
      <c r="L271" s="19"/>
      <c r="M271" s="19"/>
      <c r="N271" s="36"/>
      <c r="O271" s="2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79"/>
      <c r="AL271" s="45"/>
    </row>
    <row r="272" spans="2:38" x14ac:dyDescent="0.25">
      <c r="B272" s="88"/>
      <c r="C272" s="89"/>
      <c r="D272" s="89"/>
      <c r="E272" s="90"/>
      <c r="F272" s="72"/>
      <c r="G272" s="9"/>
      <c r="H272" s="74">
        <f t="shared" si="3"/>
        <v>14497900</v>
      </c>
      <c r="I272" s="35"/>
      <c r="J272" s="19"/>
      <c r="K272" s="19"/>
      <c r="L272" s="19"/>
      <c r="M272" s="19"/>
      <c r="N272" s="36"/>
      <c r="O272" s="2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79"/>
      <c r="AL272" s="45"/>
    </row>
    <row r="273" spans="2:38" x14ac:dyDescent="0.25">
      <c r="B273" s="88"/>
      <c r="C273" s="89"/>
      <c r="D273" s="89"/>
      <c r="E273" s="90"/>
      <c r="F273" s="72"/>
      <c r="G273" s="9"/>
      <c r="H273" s="74">
        <f t="shared" si="3"/>
        <v>14497900</v>
      </c>
      <c r="I273" s="35"/>
      <c r="J273" s="19"/>
      <c r="K273" s="19"/>
      <c r="L273" s="19"/>
      <c r="M273" s="19"/>
      <c r="N273" s="36"/>
      <c r="O273" s="2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79"/>
      <c r="AL273" s="45"/>
    </row>
    <row r="274" spans="2:38" x14ac:dyDescent="0.25">
      <c r="B274" s="88"/>
      <c r="C274" s="89"/>
      <c r="D274" s="89"/>
      <c r="E274" s="90"/>
      <c r="F274" s="72"/>
      <c r="G274" s="9"/>
      <c r="H274" s="74">
        <f t="shared" ref="H274:H337" si="4">H273+F274-G274</f>
        <v>14497900</v>
      </c>
      <c r="I274" s="35"/>
      <c r="J274" s="19"/>
      <c r="K274" s="19"/>
      <c r="L274" s="19"/>
      <c r="M274" s="19"/>
      <c r="N274" s="36"/>
      <c r="O274" s="2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79"/>
      <c r="AL274" s="45"/>
    </row>
    <row r="275" spans="2:38" x14ac:dyDescent="0.25">
      <c r="B275" s="88"/>
      <c r="C275" s="89"/>
      <c r="D275" s="89"/>
      <c r="E275" s="90"/>
      <c r="F275" s="72"/>
      <c r="G275" s="9"/>
      <c r="H275" s="74">
        <f t="shared" si="4"/>
        <v>14497900</v>
      </c>
      <c r="I275" s="35"/>
      <c r="J275" s="19"/>
      <c r="K275" s="19"/>
      <c r="L275" s="19"/>
      <c r="M275" s="19"/>
      <c r="N275" s="36"/>
      <c r="O275" s="2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79"/>
      <c r="AL275" s="45"/>
    </row>
    <row r="276" spans="2:38" x14ac:dyDescent="0.25">
      <c r="B276" s="88"/>
      <c r="C276" s="89"/>
      <c r="D276" s="89"/>
      <c r="E276" s="90"/>
      <c r="F276" s="72"/>
      <c r="G276" s="9"/>
      <c r="H276" s="74">
        <f t="shared" si="4"/>
        <v>14497900</v>
      </c>
      <c r="I276" s="35"/>
      <c r="J276" s="19"/>
      <c r="K276" s="19"/>
      <c r="L276" s="19"/>
      <c r="M276" s="19"/>
      <c r="N276" s="36"/>
      <c r="O276" s="2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79"/>
      <c r="AL276" s="45"/>
    </row>
    <row r="277" spans="2:38" x14ac:dyDescent="0.25">
      <c r="B277" s="88"/>
      <c r="C277" s="89"/>
      <c r="D277" s="89"/>
      <c r="E277" s="90"/>
      <c r="F277" s="72"/>
      <c r="G277" s="9"/>
      <c r="H277" s="74">
        <f t="shared" si="4"/>
        <v>14497900</v>
      </c>
      <c r="I277" s="35"/>
      <c r="J277" s="19"/>
      <c r="K277" s="19"/>
      <c r="L277" s="19"/>
      <c r="M277" s="19"/>
      <c r="N277" s="36"/>
      <c r="O277" s="2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79"/>
      <c r="AL277" s="45"/>
    </row>
    <row r="278" spans="2:38" x14ac:dyDescent="0.25">
      <c r="B278" s="88"/>
      <c r="C278" s="89"/>
      <c r="D278" s="89"/>
      <c r="E278" s="90"/>
      <c r="F278" s="72"/>
      <c r="G278" s="9"/>
      <c r="H278" s="74">
        <f t="shared" si="4"/>
        <v>14497900</v>
      </c>
      <c r="I278" s="35"/>
      <c r="J278" s="19"/>
      <c r="K278" s="19"/>
      <c r="L278" s="19"/>
      <c r="M278" s="19"/>
      <c r="N278" s="36"/>
      <c r="O278" s="2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79"/>
      <c r="AL278" s="45"/>
    </row>
    <row r="279" spans="2:38" x14ac:dyDescent="0.25">
      <c r="B279" s="88"/>
      <c r="C279" s="89"/>
      <c r="D279" s="89"/>
      <c r="E279" s="90"/>
      <c r="F279" s="72"/>
      <c r="G279" s="9"/>
      <c r="H279" s="74">
        <f t="shared" si="4"/>
        <v>14497900</v>
      </c>
      <c r="I279" s="35"/>
      <c r="J279" s="19"/>
      <c r="K279" s="19"/>
      <c r="L279" s="19"/>
      <c r="M279" s="19"/>
      <c r="N279" s="36"/>
      <c r="O279" s="2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79"/>
      <c r="AL279" s="45"/>
    </row>
    <row r="280" spans="2:38" x14ac:dyDescent="0.25">
      <c r="B280" s="88"/>
      <c r="C280" s="89"/>
      <c r="D280" s="89"/>
      <c r="E280" s="90"/>
      <c r="F280" s="72"/>
      <c r="G280" s="9"/>
      <c r="H280" s="74">
        <f t="shared" si="4"/>
        <v>14497900</v>
      </c>
      <c r="I280" s="35"/>
      <c r="J280" s="19"/>
      <c r="K280" s="19"/>
      <c r="L280" s="19"/>
      <c r="M280" s="19"/>
      <c r="N280" s="36"/>
      <c r="O280" s="2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79"/>
      <c r="AL280" s="45"/>
    </row>
    <row r="281" spans="2:38" x14ac:dyDescent="0.25">
      <c r="B281" s="88"/>
      <c r="C281" s="89"/>
      <c r="D281" s="89"/>
      <c r="E281" s="90"/>
      <c r="F281" s="72"/>
      <c r="G281" s="9"/>
      <c r="H281" s="74">
        <f t="shared" si="4"/>
        <v>14497900</v>
      </c>
      <c r="I281" s="35"/>
      <c r="J281" s="19"/>
      <c r="K281" s="19"/>
      <c r="L281" s="19"/>
      <c r="M281" s="19"/>
      <c r="N281" s="36"/>
      <c r="O281" s="2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79"/>
      <c r="AL281" s="45"/>
    </row>
    <row r="282" spans="2:38" x14ac:dyDescent="0.25">
      <c r="B282" s="88"/>
      <c r="C282" s="89"/>
      <c r="D282" s="89"/>
      <c r="E282" s="90"/>
      <c r="F282" s="72"/>
      <c r="G282" s="9"/>
      <c r="H282" s="74">
        <f t="shared" si="4"/>
        <v>14497900</v>
      </c>
      <c r="I282" s="35"/>
      <c r="J282" s="19"/>
      <c r="K282" s="19"/>
      <c r="L282" s="19"/>
      <c r="M282" s="19"/>
      <c r="N282" s="36"/>
      <c r="O282" s="2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79"/>
      <c r="AL282" s="45"/>
    </row>
    <row r="283" spans="2:38" x14ac:dyDescent="0.25">
      <c r="B283" s="88"/>
      <c r="C283" s="89"/>
      <c r="D283" s="89"/>
      <c r="E283" s="90"/>
      <c r="F283" s="72"/>
      <c r="G283" s="9"/>
      <c r="H283" s="74">
        <f t="shared" si="4"/>
        <v>14497900</v>
      </c>
      <c r="I283" s="35"/>
      <c r="J283" s="19"/>
      <c r="K283" s="19"/>
      <c r="L283" s="19"/>
      <c r="M283" s="19"/>
      <c r="N283" s="36"/>
      <c r="O283" s="2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79"/>
      <c r="AL283" s="45"/>
    </row>
    <row r="284" spans="2:38" x14ac:dyDescent="0.25">
      <c r="B284" s="88"/>
      <c r="C284" s="89"/>
      <c r="D284" s="89"/>
      <c r="E284" s="90"/>
      <c r="F284" s="72"/>
      <c r="G284" s="9"/>
      <c r="H284" s="74">
        <f t="shared" si="4"/>
        <v>14497900</v>
      </c>
      <c r="I284" s="35"/>
      <c r="J284" s="19"/>
      <c r="K284" s="19"/>
      <c r="L284" s="19"/>
      <c r="M284" s="19"/>
      <c r="N284" s="36"/>
      <c r="O284" s="2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79"/>
      <c r="AL284" s="45"/>
    </row>
    <row r="285" spans="2:38" x14ac:dyDescent="0.25">
      <c r="B285" s="88"/>
      <c r="C285" s="89"/>
      <c r="D285" s="89"/>
      <c r="E285" s="90"/>
      <c r="F285" s="72"/>
      <c r="G285" s="9"/>
      <c r="H285" s="74">
        <f t="shared" si="4"/>
        <v>14497900</v>
      </c>
      <c r="I285" s="35"/>
      <c r="J285" s="19"/>
      <c r="K285" s="19"/>
      <c r="L285" s="19"/>
      <c r="M285" s="19"/>
      <c r="N285" s="36"/>
      <c r="O285" s="22"/>
      <c r="P285" s="11"/>
      <c r="Q285" s="11"/>
      <c r="R285" s="11"/>
      <c r="S285" s="11"/>
      <c r="T285" s="11"/>
      <c r="U285" s="11"/>
      <c r="V285" s="11"/>
      <c r="W285" s="11"/>
      <c r="X285" s="11"/>
      <c r="Y285" s="14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79"/>
      <c r="AL285" s="45"/>
    </row>
    <row r="286" spans="2:38" x14ac:dyDescent="0.25">
      <c r="B286" s="88"/>
      <c r="C286" s="89"/>
      <c r="D286" s="89"/>
      <c r="E286" s="90"/>
      <c r="F286" s="72"/>
      <c r="G286" s="9"/>
      <c r="H286" s="74">
        <f t="shared" si="4"/>
        <v>14497900</v>
      </c>
      <c r="I286" s="35"/>
      <c r="J286" s="19"/>
      <c r="K286" s="19"/>
      <c r="L286" s="19"/>
      <c r="M286" s="19"/>
      <c r="N286" s="36"/>
      <c r="O286" s="2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79"/>
      <c r="AL286" s="45"/>
    </row>
    <row r="287" spans="2:38" x14ac:dyDescent="0.25">
      <c r="B287" s="88"/>
      <c r="C287" s="89"/>
      <c r="D287" s="89"/>
      <c r="E287" s="90"/>
      <c r="F287" s="72"/>
      <c r="G287" s="9"/>
      <c r="H287" s="74">
        <f t="shared" si="4"/>
        <v>14497900</v>
      </c>
      <c r="I287" s="35"/>
      <c r="J287" s="19"/>
      <c r="K287" s="19"/>
      <c r="L287" s="19"/>
      <c r="M287" s="19"/>
      <c r="N287" s="36"/>
      <c r="O287" s="2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79"/>
      <c r="AL287" s="45"/>
    </row>
    <row r="288" spans="2:38" x14ac:dyDescent="0.25">
      <c r="B288" s="88"/>
      <c r="C288" s="89"/>
      <c r="D288" s="89"/>
      <c r="E288" s="90"/>
      <c r="F288" s="72"/>
      <c r="G288" s="9"/>
      <c r="H288" s="74">
        <f t="shared" si="4"/>
        <v>14497900</v>
      </c>
      <c r="I288" s="35"/>
      <c r="J288" s="19"/>
      <c r="K288" s="19"/>
      <c r="L288" s="19"/>
      <c r="M288" s="19"/>
      <c r="N288" s="36"/>
      <c r="O288" s="2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79"/>
      <c r="AL288" s="45"/>
    </row>
    <row r="289" spans="2:38" x14ac:dyDescent="0.25">
      <c r="B289" s="88"/>
      <c r="C289" s="89"/>
      <c r="D289" s="89"/>
      <c r="E289" s="90"/>
      <c r="F289" s="72"/>
      <c r="G289" s="9"/>
      <c r="H289" s="74">
        <f t="shared" si="4"/>
        <v>14497900</v>
      </c>
      <c r="I289" s="35"/>
      <c r="J289" s="19"/>
      <c r="K289" s="19"/>
      <c r="L289" s="19"/>
      <c r="M289" s="19"/>
      <c r="N289" s="36"/>
      <c r="O289" s="2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79"/>
      <c r="AL289" s="45"/>
    </row>
    <row r="290" spans="2:38" x14ac:dyDescent="0.25">
      <c r="B290" s="88"/>
      <c r="C290" s="89"/>
      <c r="D290" s="89"/>
      <c r="E290" s="90"/>
      <c r="F290" s="72"/>
      <c r="G290" s="9"/>
      <c r="H290" s="74">
        <f t="shared" si="4"/>
        <v>14497900</v>
      </c>
      <c r="I290" s="35"/>
      <c r="J290" s="19"/>
      <c r="K290" s="19"/>
      <c r="L290" s="19"/>
      <c r="M290" s="19"/>
      <c r="N290" s="36"/>
      <c r="O290" s="2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79"/>
      <c r="AL290" s="45"/>
    </row>
    <row r="291" spans="2:38" x14ac:dyDescent="0.25">
      <c r="B291" s="88"/>
      <c r="C291" s="89"/>
      <c r="D291" s="89"/>
      <c r="E291" s="90"/>
      <c r="F291" s="72"/>
      <c r="G291" s="9"/>
      <c r="H291" s="74">
        <f t="shared" si="4"/>
        <v>14497900</v>
      </c>
      <c r="I291" s="35"/>
      <c r="J291" s="19"/>
      <c r="K291" s="19"/>
      <c r="L291" s="19"/>
      <c r="M291" s="19"/>
      <c r="N291" s="36"/>
      <c r="O291" s="2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79"/>
      <c r="AL291" s="45"/>
    </row>
    <row r="292" spans="2:38" x14ac:dyDescent="0.25">
      <c r="B292" s="88"/>
      <c r="C292" s="89"/>
      <c r="D292" s="89"/>
      <c r="E292" s="90"/>
      <c r="F292" s="72"/>
      <c r="G292" s="9"/>
      <c r="H292" s="74">
        <f t="shared" si="4"/>
        <v>14497900</v>
      </c>
      <c r="I292" s="35"/>
      <c r="J292" s="19"/>
      <c r="K292" s="19"/>
      <c r="L292" s="19"/>
      <c r="M292" s="19"/>
      <c r="N292" s="36"/>
      <c r="O292" s="2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79"/>
      <c r="AL292" s="45"/>
    </row>
    <row r="293" spans="2:38" x14ac:dyDescent="0.25">
      <c r="B293" s="88"/>
      <c r="C293" s="89"/>
      <c r="D293" s="89"/>
      <c r="E293" s="90"/>
      <c r="F293" s="72"/>
      <c r="G293" s="9"/>
      <c r="H293" s="74">
        <f t="shared" si="4"/>
        <v>14497900</v>
      </c>
      <c r="I293" s="35"/>
      <c r="J293" s="19"/>
      <c r="K293" s="19"/>
      <c r="L293" s="19"/>
      <c r="M293" s="19"/>
      <c r="N293" s="36"/>
      <c r="O293" s="2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79"/>
      <c r="AL293" s="45"/>
    </row>
    <row r="294" spans="2:38" x14ac:dyDescent="0.25">
      <c r="B294" s="88"/>
      <c r="C294" s="89"/>
      <c r="D294" s="89"/>
      <c r="E294" s="90"/>
      <c r="F294" s="72"/>
      <c r="G294" s="9"/>
      <c r="H294" s="74">
        <f t="shared" si="4"/>
        <v>14497900</v>
      </c>
      <c r="I294" s="35"/>
      <c r="J294" s="19"/>
      <c r="K294" s="19"/>
      <c r="L294" s="19"/>
      <c r="M294" s="19"/>
      <c r="N294" s="36"/>
      <c r="O294" s="2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79"/>
      <c r="AL294" s="45"/>
    </row>
    <row r="295" spans="2:38" x14ac:dyDescent="0.25">
      <c r="B295" s="88"/>
      <c r="C295" s="89"/>
      <c r="D295" s="89"/>
      <c r="E295" s="90"/>
      <c r="F295" s="72"/>
      <c r="G295" s="9"/>
      <c r="H295" s="74">
        <f t="shared" si="4"/>
        <v>14497900</v>
      </c>
      <c r="I295" s="35"/>
      <c r="J295" s="19"/>
      <c r="K295" s="19"/>
      <c r="L295" s="19"/>
      <c r="M295" s="19"/>
      <c r="N295" s="36"/>
      <c r="O295" s="2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79"/>
      <c r="AL295" s="45"/>
    </row>
    <row r="296" spans="2:38" x14ac:dyDescent="0.25">
      <c r="B296" s="88"/>
      <c r="C296" s="89"/>
      <c r="D296" s="89"/>
      <c r="E296" s="90"/>
      <c r="F296" s="72"/>
      <c r="G296" s="9"/>
      <c r="H296" s="74">
        <f t="shared" si="4"/>
        <v>14497900</v>
      </c>
      <c r="I296" s="35"/>
      <c r="J296" s="19"/>
      <c r="K296" s="19"/>
      <c r="L296" s="19"/>
      <c r="M296" s="19"/>
      <c r="N296" s="36"/>
      <c r="O296" s="2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79"/>
      <c r="AL296" s="45"/>
    </row>
    <row r="297" spans="2:38" x14ac:dyDescent="0.25">
      <c r="B297" s="88"/>
      <c r="C297" s="89"/>
      <c r="D297" s="89"/>
      <c r="E297" s="90"/>
      <c r="F297" s="72"/>
      <c r="G297" s="9"/>
      <c r="H297" s="74">
        <f t="shared" si="4"/>
        <v>14497900</v>
      </c>
      <c r="I297" s="35"/>
      <c r="J297" s="19"/>
      <c r="K297" s="19"/>
      <c r="L297" s="19"/>
      <c r="M297" s="19"/>
      <c r="N297" s="36"/>
      <c r="O297" s="2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79"/>
      <c r="AL297" s="45"/>
    </row>
    <row r="298" spans="2:38" x14ac:dyDescent="0.25">
      <c r="B298" s="88"/>
      <c r="C298" s="89"/>
      <c r="D298" s="89"/>
      <c r="E298" s="90"/>
      <c r="F298" s="72"/>
      <c r="G298" s="9"/>
      <c r="H298" s="74">
        <f t="shared" si="4"/>
        <v>14497900</v>
      </c>
      <c r="I298" s="35"/>
      <c r="J298" s="19"/>
      <c r="K298" s="19"/>
      <c r="L298" s="19"/>
      <c r="M298" s="19"/>
      <c r="N298" s="36"/>
      <c r="O298" s="2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79"/>
      <c r="AL298" s="45"/>
    </row>
    <row r="299" spans="2:38" x14ac:dyDescent="0.25">
      <c r="B299" s="88"/>
      <c r="C299" s="89"/>
      <c r="D299" s="89"/>
      <c r="E299" s="90"/>
      <c r="F299" s="72"/>
      <c r="G299" s="9"/>
      <c r="H299" s="74">
        <f t="shared" si="4"/>
        <v>14497900</v>
      </c>
      <c r="I299" s="35"/>
      <c r="J299" s="19"/>
      <c r="K299" s="19"/>
      <c r="L299" s="19"/>
      <c r="M299" s="19"/>
      <c r="N299" s="36"/>
      <c r="O299" s="2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79"/>
      <c r="AL299" s="45"/>
    </row>
    <row r="300" spans="2:38" x14ac:dyDescent="0.25">
      <c r="B300" s="88"/>
      <c r="C300" s="89"/>
      <c r="D300" s="89"/>
      <c r="E300" s="90"/>
      <c r="F300" s="72"/>
      <c r="G300" s="9"/>
      <c r="H300" s="74">
        <f t="shared" si="4"/>
        <v>14497900</v>
      </c>
      <c r="I300" s="35"/>
      <c r="J300" s="19"/>
      <c r="K300" s="19"/>
      <c r="L300" s="19"/>
      <c r="M300" s="19"/>
      <c r="N300" s="36"/>
      <c r="O300" s="2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79"/>
      <c r="AL300" s="45"/>
    </row>
    <row r="301" spans="2:38" x14ac:dyDescent="0.25">
      <c r="B301" s="88"/>
      <c r="C301" s="89"/>
      <c r="D301" s="89"/>
      <c r="E301" s="90"/>
      <c r="F301" s="72"/>
      <c r="G301" s="9"/>
      <c r="H301" s="74">
        <f t="shared" si="4"/>
        <v>14497900</v>
      </c>
      <c r="I301" s="35"/>
      <c r="J301" s="19"/>
      <c r="K301" s="19"/>
      <c r="L301" s="19"/>
      <c r="M301" s="19"/>
      <c r="N301" s="36"/>
      <c r="O301" s="2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79"/>
      <c r="AL301" s="45"/>
    </row>
    <row r="302" spans="2:38" x14ac:dyDescent="0.25">
      <c r="B302" s="88"/>
      <c r="C302" s="89"/>
      <c r="D302" s="89"/>
      <c r="E302" s="90"/>
      <c r="F302" s="72"/>
      <c r="G302" s="9"/>
      <c r="H302" s="74">
        <f t="shared" si="4"/>
        <v>14497900</v>
      </c>
      <c r="I302" s="35"/>
      <c r="J302" s="19"/>
      <c r="K302" s="19"/>
      <c r="L302" s="19"/>
      <c r="M302" s="19"/>
      <c r="N302" s="36"/>
      <c r="O302" s="2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79"/>
      <c r="AL302" s="45"/>
    </row>
    <row r="303" spans="2:38" x14ac:dyDescent="0.25">
      <c r="B303" s="88"/>
      <c r="C303" s="89"/>
      <c r="D303" s="89"/>
      <c r="E303" s="90"/>
      <c r="F303" s="72"/>
      <c r="G303" s="9"/>
      <c r="H303" s="74">
        <f t="shared" si="4"/>
        <v>14497900</v>
      </c>
      <c r="I303" s="35"/>
      <c r="J303" s="19"/>
      <c r="K303" s="19"/>
      <c r="L303" s="19"/>
      <c r="M303" s="19"/>
      <c r="N303" s="36"/>
      <c r="O303" s="2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79"/>
      <c r="AL303" s="45"/>
    </row>
    <row r="304" spans="2:38" x14ac:dyDescent="0.25">
      <c r="B304" s="88"/>
      <c r="C304" s="89"/>
      <c r="D304" s="89"/>
      <c r="E304" s="90"/>
      <c r="F304" s="72"/>
      <c r="G304" s="9"/>
      <c r="H304" s="74">
        <f t="shared" si="4"/>
        <v>14497900</v>
      </c>
      <c r="I304" s="35"/>
      <c r="J304" s="19"/>
      <c r="K304" s="19"/>
      <c r="L304" s="19"/>
      <c r="M304" s="19"/>
      <c r="N304" s="36"/>
      <c r="O304" s="2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79"/>
      <c r="AL304" s="45"/>
    </row>
    <row r="305" spans="2:38" x14ac:dyDescent="0.25">
      <c r="B305" s="88"/>
      <c r="C305" s="89"/>
      <c r="D305" s="89"/>
      <c r="E305" s="90"/>
      <c r="F305" s="72"/>
      <c r="G305" s="9"/>
      <c r="H305" s="74">
        <f t="shared" si="4"/>
        <v>14497900</v>
      </c>
      <c r="I305" s="35"/>
      <c r="J305" s="19"/>
      <c r="K305" s="19"/>
      <c r="L305" s="19"/>
      <c r="M305" s="19"/>
      <c r="N305" s="36"/>
      <c r="O305" s="2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79"/>
      <c r="AL305" s="45"/>
    </row>
    <row r="306" spans="2:38" x14ac:dyDescent="0.25">
      <c r="B306" s="88"/>
      <c r="C306" s="89"/>
      <c r="D306" s="89"/>
      <c r="E306" s="90"/>
      <c r="F306" s="72"/>
      <c r="G306" s="9"/>
      <c r="H306" s="74">
        <f t="shared" si="4"/>
        <v>14497900</v>
      </c>
      <c r="I306" s="35"/>
      <c r="J306" s="19"/>
      <c r="K306" s="19"/>
      <c r="L306" s="19"/>
      <c r="M306" s="19"/>
      <c r="N306" s="36"/>
      <c r="O306" s="2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79"/>
      <c r="AL306" s="45"/>
    </row>
    <row r="307" spans="2:38" x14ac:dyDescent="0.25">
      <c r="B307" s="88"/>
      <c r="C307" s="89"/>
      <c r="D307" s="89"/>
      <c r="E307" s="90"/>
      <c r="F307" s="72"/>
      <c r="G307" s="9"/>
      <c r="H307" s="74">
        <f t="shared" si="4"/>
        <v>14497900</v>
      </c>
      <c r="I307" s="35"/>
      <c r="J307" s="19"/>
      <c r="K307" s="19"/>
      <c r="L307" s="19"/>
      <c r="M307" s="19"/>
      <c r="N307" s="36"/>
      <c r="O307" s="2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79"/>
      <c r="AL307" s="45"/>
    </row>
    <row r="308" spans="2:38" x14ac:dyDescent="0.25">
      <c r="B308" s="88"/>
      <c r="C308" s="89"/>
      <c r="D308" s="89"/>
      <c r="E308" s="90"/>
      <c r="F308" s="72"/>
      <c r="G308" s="9"/>
      <c r="H308" s="74">
        <f t="shared" si="4"/>
        <v>14497900</v>
      </c>
      <c r="I308" s="35"/>
      <c r="J308" s="19"/>
      <c r="K308" s="19"/>
      <c r="L308" s="19"/>
      <c r="M308" s="19"/>
      <c r="N308" s="36"/>
      <c r="O308" s="2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79"/>
      <c r="AL308" s="45"/>
    </row>
    <row r="309" spans="2:38" x14ac:dyDescent="0.25">
      <c r="B309" s="88"/>
      <c r="C309" s="89"/>
      <c r="D309" s="89"/>
      <c r="E309" s="90"/>
      <c r="F309" s="72"/>
      <c r="G309" s="9"/>
      <c r="H309" s="74">
        <f t="shared" si="4"/>
        <v>14497900</v>
      </c>
      <c r="I309" s="35"/>
      <c r="J309" s="19"/>
      <c r="K309" s="19"/>
      <c r="L309" s="19"/>
      <c r="M309" s="19"/>
      <c r="N309" s="36"/>
      <c r="O309" s="22"/>
      <c r="P309" s="14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79"/>
      <c r="AL309" s="45"/>
    </row>
    <row r="310" spans="2:38" x14ac:dyDescent="0.25">
      <c r="B310" s="88"/>
      <c r="C310" s="89"/>
      <c r="D310" s="89"/>
      <c r="E310" s="90"/>
      <c r="F310" s="72"/>
      <c r="G310" s="9"/>
      <c r="H310" s="74">
        <f t="shared" si="4"/>
        <v>14497900</v>
      </c>
      <c r="I310" s="35"/>
      <c r="J310" s="19"/>
      <c r="K310" s="19"/>
      <c r="L310" s="19"/>
      <c r="M310" s="19"/>
      <c r="N310" s="36"/>
      <c r="O310" s="2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79"/>
      <c r="AL310" s="45"/>
    </row>
    <row r="311" spans="2:38" x14ac:dyDescent="0.25">
      <c r="B311" s="88"/>
      <c r="C311" s="89"/>
      <c r="D311" s="89"/>
      <c r="E311" s="90"/>
      <c r="F311" s="72"/>
      <c r="G311" s="9"/>
      <c r="H311" s="74">
        <f t="shared" si="4"/>
        <v>14497900</v>
      </c>
      <c r="I311" s="35"/>
      <c r="J311" s="19"/>
      <c r="K311" s="19"/>
      <c r="L311" s="19"/>
      <c r="M311" s="19"/>
      <c r="N311" s="36"/>
      <c r="O311" s="22"/>
      <c r="P311" s="14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79"/>
      <c r="AL311" s="45"/>
    </row>
    <row r="312" spans="2:38" x14ac:dyDescent="0.25">
      <c r="B312" s="88"/>
      <c r="C312" s="89"/>
      <c r="D312" s="89"/>
      <c r="E312" s="90"/>
      <c r="F312" s="72"/>
      <c r="G312" s="9"/>
      <c r="H312" s="74">
        <f t="shared" si="4"/>
        <v>14497900</v>
      </c>
      <c r="I312" s="35"/>
      <c r="J312" s="19"/>
      <c r="K312" s="19"/>
      <c r="L312" s="19"/>
      <c r="M312" s="19"/>
      <c r="N312" s="36"/>
      <c r="O312" s="2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79"/>
      <c r="AL312" s="45"/>
    </row>
    <row r="313" spans="2:38" x14ac:dyDescent="0.25">
      <c r="B313" s="88"/>
      <c r="C313" s="89"/>
      <c r="D313" s="89"/>
      <c r="E313" s="90"/>
      <c r="F313" s="72"/>
      <c r="G313" s="9"/>
      <c r="H313" s="74">
        <f t="shared" si="4"/>
        <v>14497900</v>
      </c>
      <c r="I313" s="35"/>
      <c r="J313" s="19"/>
      <c r="K313" s="19"/>
      <c r="L313" s="19"/>
      <c r="M313" s="19"/>
      <c r="N313" s="36"/>
      <c r="O313" s="22"/>
      <c r="P313" s="17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79"/>
      <c r="AL313" s="45"/>
    </row>
    <row r="314" spans="2:38" x14ac:dyDescent="0.25">
      <c r="B314" s="88"/>
      <c r="C314" s="89"/>
      <c r="D314" s="89"/>
      <c r="E314" s="90"/>
      <c r="F314" s="72"/>
      <c r="G314" s="9"/>
      <c r="H314" s="74">
        <f t="shared" si="4"/>
        <v>14497900</v>
      </c>
      <c r="I314" s="35"/>
      <c r="J314" s="19"/>
      <c r="K314" s="19"/>
      <c r="L314" s="19"/>
      <c r="M314" s="19"/>
      <c r="N314" s="36"/>
      <c r="O314" s="22"/>
      <c r="P314" s="17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79"/>
      <c r="AL314" s="45"/>
    </row>
    <row r="315" spans="2:38" x14ac:dyDescent="0.25">
      <c r="B315" s="88"/>
      <c r="C315" s="89"/>
      <c r="D315" s="89"/>
      <c r="E315" s="90"/>
      <c r="F315" s="72"/>
      <c r="G315" s="9"/>
      <c r="H315" s="74">
        <f t="shared" si="4"/>
        <v>14497900</v>
      </c>
      <c r="I315" s="35"/>
      <c r="J315" s="19"/>
      <c r="K315" s="19"/>
      <c r="L315" s="19"/>
      <c r="M315" s="19"/>
      <c r="N315" s="36"/>
      <c r="O315" s="2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79"/>
      <c r="AL315" s="45"/>
    </row>
    <row r="316" spans="2:38" x14ac:dyDescent="0.25">
      <c r="B316" s="88"/>
      <c r="C316" s="89"/>
      <c r="D316" s="89"/>
      <c r="E316" s="90"/>
      <c r="F316" s="72"/>
      <c r="G316" s="9"/>
      <c r="H316" s="74">
        <f t="shared" si="4"/>
        <v>14497900</v>
      </c>
      <c r="I316" s="35"/>
      <c r="J316" s="19"/>
      <c r="K316" s="19"/>
      <c r="L316" s="19"/>
      <c r="M316" s="19"/>
      <c r="N316" s="36"/>
      <c r="O316" s="2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4"/>
      <c r="AA316" s="14"/>
      <c r="AB316" s="14"/>
      <c r="AC316" s="14"/>
      <c r="AD316" s="11"/>
      <c r="AE316" s="11"/>
      <c r="AF316" s="11"/>
      <c r="AG316" s="11"/>
      <c r="AH316" s="11"/>
      <c r="AI316" s="11"/>
      <c r="AJ316" s="11"/>
      <c r="AK316" s="79"/>
      <c r="AL316" s="45"/>
    </row>
    <row r="317" spans="2:38" x14ac:dyDescent="0.25">
      <c r="B317" s="88"/>
      <c r="C317" s="89"/>
      <c r="D317" s="89"/>
      <c r="E317" s="90"/>
      <c r="F317" s="72"/>
      <c r="G317" s="9"/>
      <c r="H317" s="74">
        <f t="shared" si="4"/>
        <v>14497900</v>
      </c>
      <c r="I317" s="35"/>
      <c r="J317" s="19"/>
      <c r="K317" s="19"/>
      <c r="L317" s="19"/>
      <c r="M317" s="19"/>
      <c r="N317" s="36"/>
      <c r="O317" s="2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79"/>
      <c r="AL317" s="45"/>
    </row>
    <row r="318" spans="2:38" x14ac:dyDescent="0.25">
      <c r="B318" s="88"/>
      <c r="C318" s="89"/>
      <c r="D318" s="89"/>
      <c r="E318" s="90"/>
      <c r="F318" s="72"/>
      <c r="G318" s="9"/>
      <c r="H318" s="74">
        <f t="shared" si="4"/>
        <v>14497900</v>
      </c>
      <c r="I318" s="35"/>
      <c r="J318" s="19"/>
      <c r="K318" s="19"/>
      <c r="L318" s="19"/>
      <c r="M318" s="19"/>
      <c r="N318" s="36"/>
      <c r="O318" s="2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79"/>
      <c r="AL318" s="45"/>
    </row>
    <row r="319" spans="2:38" x14ac:dyDescent="0.25">
      <c r="B319" s="88"/>
      <c r="C319" s="89"/>
      <c r="D319" s="89"/>
      <c r="E319" s="90"/>
      <c r="F319" s="72"/>
      <c r="G319" s="9"/>
      <c r="H319" s="74">
        <f t="shared" si="4"/>
        <v>14497900</v>
      </c>
      <c r="I319" s="35"/>
      <c r="J319" s="19"/>
      <c r="K319" s="19"/>
      <c r="L319" s="19"/>
      <c r="M319" s="19"/>
      <c r="N319" s="36"/>
      <c r="O319" s="22"/>
      <c r="P319" s="14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79"/>
      <c r="AL319" s="45"/>
    </row>
    <row r="320" spans="2:38" x14ac:dyDescent="0.25">
      <c r="B320" s="88"/>
      <c r="C320" s="89"/>
      <c r="D320" s="89"/>
      <c r="E320" s="90"/>
      <c r="F320" s="72"/>
      <c r="G320" s="9"/>
      <c r="H320" s="74">
        <f t="shared" si="4"/>
        <v>14497900</v>
      </c>
      <c r="I320" s="35"/>
      <c r="J320" s="19"/>
      <c r="K320" s="19"/>
      <c r="L320" s="19"/>
      <c r="M320" s="19"/>
      <c r="N320" s="36"/>
      <c r="O320" s="2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79"/>
      <c r="AL320" s="45"/>
    </row>
    <row r="321" spans="2:38" x14ac:dyDescent="0.25">
      <c r="B321" s="88"/>
      <c r="C321" s="89"/>
      <c r="D321" s="89"/>
      <c r="E321" s="90"/>
      <c r="F321" s="72"/>
      <c r="G321" s="9"/>
      <c r="H321" s="74">
        <f t="shared" si="4"/>
        <v>14497900</v>
      </c>
      <c r="I321" s="35"/>
      <c r="J321" s="19"/>
      <c r="K321" s="19"/>
      <c r="L321" s="19"/>
      <c r="M321" s="19"/>
      <c r="N321" s="36"/>
      <c r="O321" s="22"/>
      <c r="P321" s="11"/>
      <c r="Q321" s="11"/>
      <c r="R321" s="11"/>
      <c r="S321" s="11"/>
      <c r="T321" s="16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79"/>
      <c r="AL321" s="45"/>
    </row>
    <row r="322" spans="2:38" x14ac:dyDescent="0.25">
      <c r="B322" s="88"/>
      <c r="C322" s="89"/>
      <c r="D322" s="89"/>
      <c r="E322" s="90"/>
      <c r="F322" s="72"/>
      <c r="G322" s="9"/>
      <c r="H322" s="74">
        <f t="shared" si="4"/>
        <v>14497900</v>
      </c>
      <c r="I322" s="35"/>
      <c r="J322" s="19"/>
      <c r="K322" s="19"/>
      <c r="L322" s="19"/>
      <c r="M322" s="19"/>
      <c r="N322" s="36"/>
      <c r="O322" s="2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79"/>
      <c r="AL322" s="45"/>
    </row>
    <row r="323" spans="2:38" x14ac:dyDescent="0.25">
      <c r="B323" s="88"/>
      <c r="C323" s="89"/>
      <c r="D323" s="89"/>
      <c r="E323" s="90"/>
      <c r="F323" s="72"/>
      <c r="G323" s="9"/>
      <c r="H323" s="74">
        <f t="shared" si="4"/>
        <v>14497900</v>
      </c>
      <c r="I323" s="35"/>
      <c r="J323" s="19"/>
      <c r="K323" s="19"/>
      <c r="L323" s="19"/>
      <c r="M323" s="19"/>
      <c r="N323" s="36"/>
      <c r="O323" s="2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79"/>
      <c r="AL323" s="45"/>
    </row>
    <row r="324" spans="2:38" x14ac:dyDescent="0.25">
      <c r="B324" s="88"/>
      <c r="C324" s="89"/>
      <c r="D324" s="89"/>
      <c r="E324" s="90"/>
      <c r="F324" s="72"/>
      <c r="G324" s="9"/>
      <c r="H324" s="74">
        <f t="shared" si="4"/>
        <v>14497900</v>
      </c>
      <c r="I324" s="35"/>
      <c r="J324" s="19"/>
      <c r="K324" s="19"/>
      <c r="L324" s="19"/>
      <c r="M324" s="19"/>
      <c r="N324" s="36"/>
      <c r="O324" s="2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79"/>
      <c r="AL324" s="45"/>
    </row>
    <row r="325" spans="2:38" x14ac:dyDescent="0.25">
      <c r="B325" s="88"/>
      <c r="C325" s="89"/>
      <c r="D325" s="89"/>
      <c r="E325" s="90"/>
      <c r="F325" s="72"/>
      <c r="G325" s="9"/>
      <c r="H325" s="74">
        <f t="shared" si="4"/>
        <v>14497900</v>
      </c>
      <c r="I325" s="35"/>
      <c r="J325" s="19"/>
      <c r="K325" s="19"/>
      <c r="L325" s="19"/>
      <c r="M325" s="19"/>
      <c r="N325" s="36"/>
      <c r="O325" s="22"/>
      <c r="P325" s="11"/>
      <c r="Q325" s="14"/>
      <c r="R325" s="14"/>
      <c r="S325" s="14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4"/>
      <c r="AI325" s="14"/>
      <c r="AJ325" s="14"/>
      <c r="AK325" s="80"/>
      <c r="AL325" s="45"/>
    </row>
    <row r="326" spans="2:38" x14ac:dyDescent="0.25">
      <c r="B326" s="88"/>
      <c r="C326" s="89"/>
      <c r="D326" s="89"/>
      <c r="E326" s="90"/>
      <c r="F326" s="72"/>
      <c r="G326" s="9"/>
      <c r="H326" s="74">
        <f t="shared" si="4"/>
        <v>14497900</v>
      </c>
      <c r="I326" s="35"/>
      <c r="J326" s="19"/>
      <c r="K326" s="19"/>
      <c r="L326" s="19"/>
      <c r="M326" s="19"/>
      <c r="N326" s="36"/>
      <c r="O326" s="22"/>
      <c r="P326" s="11"/>
      <c r="Q326" s="14"/>
      <c r="R326" s="14"/>
      <c r="S326" s="14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79"/>
      <c r="AL326" s="45"/>
    </row>
    <row r="327" spans="2:38" x14ac:dyDescent="0.25">
      <c r="B327" s="88"/>
      <c r="C327" s="89"/>
      <c r="D327" s="89"/>
      <c r="E327" s="90"/>
      <c r="F327" s="72"/>
      <c r="G327" s="9"/>
      <c r="H327" s="74">
        <f t="shared" si="4"/>
        <v>14497900</v>
      </c>
      <c r="I327" s="35"/>
      <c r="J327" s="19"/>
      <c r="K327" s="19"/>
      <c r="L327" s="19"/>
      <c r="M327" s="19"/>
      <c r="N327" s="36"/>
      <c r="O327" s="22"/>
      <c r="P327" s="11"/>
      <c r="Q327" s="14"/>
      <c r="R327" s="14"/>
      <c r="S327" s="14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79"/>
      <c r="AL327" s="45"/>
    </row>
    <row r="328" spans="2:38" x14ac:dyDescent="0.25">
      <c r="B328" s="88"/>
      <c r="C328" s="89"/>
      <c r="D328" s="89"/>
      <c r="E328" s="90"/>
      <c r="F328" s="72"/>
      <c r="G328" s="9"/>
      <c r="H328" s="74">
        <f t="shared" si="4"/>
        <v>14497900</v>
      </c>
      <c r="I328" s="35"/>
      <c r="J328" s="19"/>
      <c r="K328" s="19"/>
      <c r="L328" s="19"/>
      <c r="M328" s="19"/>
      <c r="N328" s="36"/>
      <c r="O328" s="22"/>
      <c r="P328" s="11"/>
      <c r="Q328" s="14"/>
      <c r="R328" s="14"/>
      <c r="S328" s="14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79"/>
      <c r="AL328" s="45"/>
    </row>
    <row r="329" spans="2:38" x14ac:dyDescent="0.25">
      <c r="B329" s="88"/>
      <c r="C329" s="89"/>
      <c r="D329" s="89"/>
      <c r="E329" s="90"/>
      <c r="F329" s="72"/>
      <c r="G329" s="9"/>
      <c r="H329" s="74">
        <f t="shared" si="4"/>
        <v>14497900</v>
      </c>
      <c r="I329" s="35"/>
      <c r="J329" s="19"/>
      <c r="K329" s="19"/>
      <c r="L329" s="19"/>
      <c r="M329" s="19"/>
      <c r="N329" s="36"/>
      <c r="O329" s="22"/>
      <c r="P329" s="17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79"/>
      <c r="AL329" s="45"/>
    </row>
    <row r="330" spans="2:38" x14ac:dyDescent="0.25">
      <c r="B330" s="88"/>
      <c r="C330" s="89"/>
      <c r="D330" s="89"/>
      <c r="E330" s="90"/>
      <c r="F330" s="72"/>
      <c r="G330" s="9"/>
      <c r="H330" s="74">
        <f t="shared" si="4"/>
        <v>14497900</v>
      </c>
      <c r="I330" s="35"/>
      <c r="J330" s="19"/>
      <c r="K330" s="19"/>
      <c r="L330" s="19"/>
      <c r="M330" s="19"/>
      <c r="N330" s="36"/>
      <c r="O330" s="2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79"/>
      <c r="AL330" s="45"/>
    </row>
    <row r="331" spans="2:38" x14ac:dyDescent="0.25">
      <c r="B331" s="88"/>
      <c r="C331" s="89"/>
      <c r="D331" s="89"/>
      <c r="E331" s="90"/>
      <c r="F331" s="72"/>
      <c r="G331" s="9"/>
      <c r="H331" s="74">
        <f t="shared" si="4"/>
        <v>14497900</v>
      </c>
      <c r="I331" s="35"/>
      <c r="J331" s="19"/>
      <c r="K331" s="19"/>
      <c r="L331" s="19"/>
      <c r="M331" s="19"/>
      <c r="N331" s="36"/>
      <c r="O331" s="2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79"/>
      <c r="AL331" s="45"/>
    </row>
    <row r="332" spans="2:38" x14ac:dyDescent="0.25">
      <c r="B332" s="88"/>
      <c r="C332" s="89"/>
      <c r="D332" s="89"/>
      <c r="E332" s="90"/>
      <c r="F332" s="72"/>
      <c r="G332" s="9"/>
      <c r="H332" s="74">
        <f t="shared" si="4"/>
        <v>14497900</v>
      </c>
      <c r="I332" s="35"/>
      <c r="J332" s="19"/>
      <c r="K332" s="19"/>
      <c r="L332" s="19"/>
      <c r="M332" s="19"/>
      <c r="N332" s="36"/>
      <c r="O332" s="2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4"/>
      <c r="AH332" s="11"/>
      <c r="AI332" s="11"/>
      <c r="AJ332" s="11"/>
      <c r="AK332" s="79"/>
      <c r="AL332" s="45"/>
    </row>
    <row r="333" spans="2:38" x14ac:dyDescent="0.25">
      <c r="B333" s="88"/>
      <c r="C333" s="89"/>
      <c r="D333" s="89"/>
      <c r="E333" s="90"/>
      <c r="F333" s="72"/>
      <c r="G333" s="9"/>
      <c r="H333" s="74">
        <f t="shared" si="4"/>
        <v>14497900</v>
      </c>
      <c r="I333" s="35"/>
      <c r="J333" s="19"/>
      <c r="K333" s="19"/>
      <c r="L333" s="19"/>
      <c r="M333" s="19"/>
      <c r="N333" s="36"/>
      <c r="O333" s="2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79"/>
      <c r="AL333" s="45"/>
    </row>
    <row r="334" spans="2:38" x14ac:dyDescent="0.25">
      <c r="B334" s="88"/>
      <c r="C334" s="89"/>
      <c r="D334" s="89"/>
      <c r="E334" s="90"/>
      <c r="F334" s="72"/>
      <c r="G334" s="9"/>
      <c r="H334" s="74">
        <f t="shared" si="4"/>
        <v>14497900</v>
      </c>
      <c r="I334" s="35"/>
      <c r="J334" s="19"/>
      <c r="K334" s="19"/>
      <c r="L334" s="19"/>
      <c r="M334" s="19"/>
      <c r="N334" s="36"/>
      <c r="O334" s="2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79"/>
      <c r="AL334" s="45"/>
    </row>
    <row r="335" spans="2:38" x14ac:dyDescent="0.25">
      <c r="B335" s="88"/>
      <c r="C335" s="89"/>
      <c r="D335" s="89"/>
      <c r="E335" s="90"/>
      <c r="F335" s="72"/>
      <c r="G335" s="9"/>
      <c r="H335" s="74">
        <f t="shared" si="4"/>
        <v>14497900</v>
      </c>
      <c r="I335" s="35"/>
      <c r="J335" s="19"/>
      <c r="K335" s="19"/>
      <c r="L335" s="19"/>
      <c r="M335" s="19"/>
      <c r="N335" s="36"/>
      <c r="O335" s="2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79"/>
      <c r="AL335" s="45"/>
    </row>
    <row r="336" spans="2:38" x14ac:dyDescent="0.25">
      <c r="B336" s="88"/>
      <c r="C336" s="89"/>
      <c r="D336" s="89"/>
      <c r="E336" s="90"/>
      <c r="F336" s="72"/>
      <c r="G336" s="9"/>
      <c r="H336" s="74">
        <f t="shared" si="4"/>
        <v>14497900</v>
      </c>
      <c r="I336" s="35"/>
      <c r="J336" s="19"/>
      <c r="K336" s="19"/>
      <c r="L336" s="19"/>
      <c r="M336" s="19"/>
      <c r="N336" s="36"/>
      <c r="O336" s="2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79"/>
      <c r="AL336" s="45"/>
    </row>
    <row r="337" spans="2:38" x14ac:dyDescent="0.25">
      <c r="B337" s="88"/>
      <c r="C337" s="89"/>
      <c r="D337" s="89"/>
      <c r="E337" s="90"/>
      <c r="F337" s="72"/>
      <c r="G337" s="9"/>
      <c r="H337" s="74">
        <f t="shared" si="4"/>
        <v>14497900</v>
      </c>
      <c r="I337" s="35"/>
      <c r="J337" s="19"/>
      <c r="K337" s="19"/>
      <c r="L337" s="19"/>
      <c r="M337" s="19"/>
      <c r="N337" s="36"/>
      <c r="O337" s="2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79"/>
      <c r="AL337" s="45"/>
    </row>
    <row r="338" spans="2:38" x14ac:dyDescent="0.25">
      <c r="B338" s="88"/>
      <c r="C338" s="89"/>
      <c r="D338" s="89"/>
      <c r="E338" s="90"/>
      <c r="F338" s="72"/>
      <c r="G338" s="9"/>
      <c r="H338" s="74">
        <f t="shared" ref="H338:H401" si="5">H337+F338-G338</f>
        <v>14497900</v>
      </c>
      <c r="I338" s="35"/>
      <c r="J338" s="19"/>
      <c r="K338" s="19"/>
      <c r="L338" s="19"/>
      <c r="M338" s="19"/>
      <c r="N338" s="36"/>
      <c r="O338" s="2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4"/>
      <c r="AA338" s="14"/>
      <c r="AB338" s="14"/>
      <c r="AC338" s="14"/>
      <c r="AD338" s="11"/>
      <c r="AE338" s="11"/>
      <c r="AF338" s="11"/>
      <c r="AG338" s="11"/>
      <c r="AH338" s="11"/>
      <c r="AI338" s="11"/>
      <c r="AJ338" s="11"/>
      <c r="AK338" s="79"/>
      <c r="AL338" s="45"/>
    </row>
    <row r="339" spans="2:38" x14ac:dyDescent="0.25">
      <c r="B339" s="88"/>
      <c r="C339" s="89"/>
      <c r="D339" s="89"/>
      <c r="E339" s="90"/>
      <c r="F339" s="72"/>
      <c r="G339" s="9"/>
      <c r="H339" s="74">
        <f t="shared" si="5"/>
        <v>14497900</v>
      </c>
      <c r="I339" s="35"/>
      <c r="J339" s="19"/>
      <c r="K339" s="19"/>
      <c r="L339" s="19"/>
      <c r="M339" s="19"/>
      <c r="N339" s="36"/>
      <c r="O339" s="2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79"/>
      <c r="AL339" s="45"/>
    </row>
    <row r="340" spans="2:38" x14ac:dyDescent="0.25">
      <c r="B340" s="88"/>
      <c r="C340" s="89"/>
      <c r="D340" s="89"/>
      <c r="E340" s="90"/>
      <c r="F340" s="72"/>
      <c r="G340" s="9"/>
      <c r="H340" s="74">
        <f t="shared" si="5"/>
        <v>14497900</v>
      </c>
      <c r="I340" s="35"/>
      <c r="J340" s="19"/>
      <c r="K340" s="19"/>
      <c r="L340" s="19"/>
      <c r="M340" s="19"/>
      <c r="N340" s="36"/>
      <c r="O340" s="2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79"/>
      <c r="AL340" s="45"/>
    </row>
    <row r="341" spans="2:38" x14ac:dyDescent="0.25">
      <c r="B341" s="88"/>
      <c r="C341" s="89"/>
      <c r="D341" s="89"/>
      <c r="E341" s="90"/>
      <c r="F341" s="72"/>
      <c r="G341" s="9"/>
      <c r="H341" s="74">
        <f t="shared" si="5"/>
        <v>14497900</v>
      </c>
      <c r="I341" s="35"/>
      <c r="J341" s="19"/>
      <c r="K341" s="19"/>
      <c r="L341" s="19"/>
      <c r="M341" s="19"/>
      <c r="N341" s="36"/>
      <c r="O341" s="22"/>
      <c r="P341" s="11"/>
      <c r="Q341" s="11"/>
      <c r="R341" s="15"/>
      <c r="S341" s="15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79"/>
      <c r="AL341" s="45"/>
    </row>
    <row r="342" spans="2:38" x14ac:dyDescent="0.25">
      <c r="B342" s="88"/>
      <c r="C342" s="89"/>
      <c r="D342" s="89"/>
      <c r="E342" s="90"/>
      <c r="F342" s="72"/>
      <c r="G342" s="9"/>
      <c r="H342" s="74">
        <f t="shared" si="5"/>
        <v>14497900</v>
      </c>
      <c r="I342" s="35"/>
      <c r="J342" s="19"/>
      <c r="K342" s="19"/>
      <c r="L342" s="19"/>
      <c r="M342" s="19"/>
      <c r="N342" s="36"/>
      <c r="O342" s="22"/>
      <c r="P342" s="11"/>
      <c r="Q342" s="11"/>
      <c r="R342" s="11"/>
      <c r="S342" s="11"/>
      <c r="T342" s="11"/>
      <c r="U342" s="11"/>
      <c r="V342" s="11"/>
      <c r="W342" s="11"/>
      <c r="X342" s="11"/>
      <c r="Y342" s="14"/>
      <c r="Z342" s="14"/>
      <c r="AA342" s="14"/>
      <c r="AB342" s="14"/>
      <c r="AC342" s="14"/>
      <c r="AD342" s="11"/>
      <c r="AE342" s="11"/>
      <c r="AF342" s="11"/>
      <c r="AG342" s="11"/>
      <c r="AH342" s="11"/>
      <c r="AI342" s="11"/>
      <c r="AJ342" s="11"/>
      <c r="AK342" s="79"/>
      <c r="AL342" s="45"/>
    </row>
    <row r="343" spans="2:38" x14ac:dyDescent="0.25">
      <c r="B343" s="88"/>
      <c r="C343" s="89"/>
      <c r="D343" s="89"/>
      <c r="E343" s="90"/>
      <c r="F343" s="72"/>
      <c r="G343" s="9"/>
      <c r="H343" s="74">
        <f t="shared" si="5"/>
        <v>14497900</v>
      </c>
      <c r="I343" s="35"/>
      <c r="J343" s="19"/>
      <c r="K343" s="19"/>
      <c r="L343" s="19"/>
      <c r="M343" s="19"/>
      <c r="N343" s="36"/>
      <c r="O343" s="22"/>
      <c r="P343" s="11"/>
      <c r="Q343" s="11"/>
      <c r="R343" s="11"/>
      <c r="S343" s="11"/>
      <c r="T343" s="14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79"/>
      <c r="AL343" s="45"/>
    </row>
    <row r="344" spans="2:38" x14ac:dyDescent="0.25">
      <c r="B344" s="88"/>
      <c r="C344" s="89"/>
      <c r="D344" s="89"/>
      <c r="E344" s="90"/>
      <c r="F344" s="72"/>
      <c r="G344" s="9"/>
      <c r="H344" s="74">
        <f t="shared" si="5"/>
        <v>14497900</v>
      </c>
      <c r="I344" s="35"/>
      <c r="J344" s="19"/>
      <c r="K344" s="19"/>
      <c r="L344" s="19"/>
      <c r="M344" s="19"/>
      <c r="N344" s="36"/>
      <c r="O344" s="2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4"/>
      <c r="AA344" s="14"/>
      <c r="AB344" s="14"/>
      <c r="AC344" s="14"/>
      <c r="AD344" s="11"/>
      <c r="AE344" s="11"/>
      <c r="AF344" s="11"/>
      <c r="AG344" s="11"/>
      <c r="AH344" s="11"/>
      <c r="AI344" s="11"/>
      <c r="AJ344" s="11"/>
      <c r="AK344" s="79"/>
      <c r="AL344" s="45"/>
    </row>
    <row r="345" spans="2:38" x14ac:dyDescent="0.25">
      <c r="B345" s="88"/>
      <c r="C345" s="89"/>
      <c r="D345" s="89"/>
      <c r="E345" s="90"/>
      <c r="F345" s="72"/>
      <c r="G345" s="9"/>
      <c r="H345" s="74">
        <f t="shared" si="5"/>
        <v>14497900</v>
      </c>
      <c r="I345" s="35"/>
      <c r="J345" s="19"/>
      <c r="K345" s="19"/>
      <c r="L345" s="19"/>
      <c r="M345" s="19"/>
      <c r="N345" s="36"/>
      <c r="O345" s="2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79"/>
      <c r="AL345" s="45"/>
    </row>
    <row r="346" spans="2:38" x14ac:dyDescent="0.25">
      <c r="B346" s="88"/>
      <c r="C346" s="89"/>
      <c r="D346" s="89"/>
      <c r="E346" s="90"/>
      <c r="F346" s="72"/>
      <c r="G346" s="9"/>
      <c r="H346" s="74">
        <f t="shared" si="5"/>
        <v>14497900</v>
      </c>
      <c r="I346" s="35"/>
      <c r="J346" s="19"/>
      <c r="K346" s="19"/>
      <c r="L346" s="19"/>
      <c r="M346" s="19"/>
      <c r="N346" s="36"/>
      <c r="O346" s="22"/>
      <c r="P346" s="14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4"/>
      <c r="AC346" s="11"/>
      <c r="AD346" s="11"/>
      <c r="AE346" s="11"/>
      <c r="AF346" s="11"/>
      <c r="AG346" s="11"/>
      <c r="AH346" s="11"/>
      <c r="AI346" s="11"/>
      <c r="AJ346" s="11"/>
      <c r="AK346" s="79"/>
      <c r="AL346" s="45"/>
    </row>
    <row r="347" spans="2:38" x14ac:dyDescent="0.25">
      <c r="B347" s="88"/>
      <c r="C347" s="89"/>
      <c r="D347" s="89"/>
      <c r="E347" s="90"/>
      <c r="F347" s="72"/>
      <c r="G347" s="9"/>
      <c r="H347" s="74">
        <f t="shared" si="5"/>
        <v>14497900</v>
      </c>
      <c r="I347" s="35"/>
      <c r="J347" s="19"/>
      <c r="K347" s="19"/>
      <c r="L347" s="19"/>
      <c r="M347" s="19"/>
      <c r="N347" s="36"/>
      <c r="O347" s="22"/>
      <c r="P347" s="14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4"/>
      <c r="AC347" s="11"/>
      <c r="AD347" s="11"/>
      <c r="AE347" s="11"/>
      <c r="AF347" s="11"/>
      <c r="AG347" s="11"/>
      <c r="AH347" s="11"/>
      <c r="AI347" s="11"/>
      <c r="AJ347" s="11"/>
      <c r="AK347" s="79"/>
      <c r="AL347" s="45"/>
    </row>
    <row r="348" spans="2:38" x14ac:dyDescent="0.25">
      <c r="B348" s="88"/>
      <c r="C348" s="89"/>
      <c r="D348" s="89"/>
      <c r="E348" s="90"/>
      <c r="F348" s="72"/>
      <c r="G348" s="9"/>
      <c r="H348" s="74">
        <f t="shared" si="5"/>
        <v>14497900</v>
      </c>
      <c r="I348" s="35"/>
      <c r="J348" s="19"/>
      <c r="K348" s="19"/>
      <c r="L348" s="19"/>
      <c r="M348" s="19"/>
      <c r="N348" s="36"/>
      <c r="O348" s="22"/>
      <c r="P348" s="14"/>
      <c r="Q348" s="11"/>
      <c r="R348" s="11"/>
      <c r="S348" s="11"/>
      <c r="T348" s="11"/>
      <c r="U348" s="11"/>
      <c r="V348" s="11"/>
      <c r="W348" s="11"/>
      <c r="X348" s="11"/>
      <c r="Y348" s="14"/>
      <c r="Z348" s="11"/>
      <c r="AA348" s="11"/>
      <c r="AB348" s="14"/>
      <c r="AC348" s="11"/>
      <c r="AD348" s="11"/>
      <c r="AE348" s="11"/>
      <c r="AF348" s="11"/>
      <c r="AG348" s="11"/>
      <c r="AH348" s="14"/>
      <c r="AI348" s="14"/>
      <c r="AJ348" s="14"/>
      <c r="AK348" s="80"/>
      <c r="AL348" s="45"/>
    </row>
    <row r="349" spans="2:38" x14ac:dyDescent="0.25">
      <c r="B349" s="88"/>
      <c r="C349" s="89"/>
      <c r="D349" s="89"/>
      <c r="E349" s="90"/>
      <c r="F349" s="72"/>
      <c r="G349" s="9"/>
      <c r="H349" s="74">
        <f t="shared" si="5"/>
        <v>14497900</v>
      </c>
      <c r="I349" s="35"/>
      <c r="J349" s="19"/>
      <c r="K349" s="19"/>
      <c r="L349" s="19"/>
      <c r="M349" s="19"/>
      <c r="N349" s="36"/>
      <c r="O349" s="2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79"/>
      <c r="AL349" s="45"/>
    </row>
    <row r="350" spans="2:38" x14ac:dyDescent="0.25">
      <c r="B350" s="88"/>
      <c r="C350" s="89"/>
      <c r="D350" s="89"/>
      <c r="E350" s="90"/>
      <c r="F350" s="72"/>
      <c r="G350" s="9"/>
      <c r="H350" s="74">
        <f t="shared" si="5"/>
        <v>14497900</v>
      </c>
      <c r="I350" s="35"/>
      <c r="J350" s="19"/>
      <c r="K350" s="19"/>
      <c r="L350" s="19"/>
      <c r="M350" s="19"/>
      <c r="N350" s="36"/>
      <c r="O350" s="2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4"/>
      <c r="AA350" s="14"/>
      <c r="AB350" s="14"/>
      <c r="AC350" s="14"/>
      <c r="AD350" s="11"/>
      <c r="AE350" s="11"/>
      <c r="AF350" s="11"/>
      <c r="AG350" s="11"/>
      <c r="AH350" s="11"/>
      <c r="AI350" s="11"/>
      <c r="AJ350" s="11"/>
      <c r="AK350" s="79"/>
      <c r="AL350" s="45"/>
    </row>
    <row r="351" spans="2:38" x14ac:dyDescent="0.25">
      <c r="B351" s="88"/>
      <c r="C351" s="89"/>
      <c r="D351" s="89"/>
      <c r="E351" s="90"/>
      <c r="F351" s="72"/>
      <c r="G351" s="9"/>
      <c r="H351" s="74">
        <f t="shared" si="5"/>
        <v>14497900</v>
      </c>
      <c r="I351" s="35"/>
      <c r="J351" s="19"/>
      <c r="K351" s="19"/>
      <c r="L351" s="19"/>
      <c r="M351" s="19"/>
      <c r="N351" s="36"/>
      <c r="O351" s="2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79"/>
      <c r="AL351" s="45"/>
    </row>
    <row r="352" spans="2:38" x14ac:dyDescent="0.25">
      <c r="B352" s="88"/>
      <c r="C352" s="89"/>
      <c r="D352" s="89"/>
      <c r="E352" s="90"/>
      <c r="F352" s="72"/>
      <c r="G352" s="9"/>
      <c r="H352" s="74">
        <f t="shared" si="5"/>
        <v>14497900</v>
      </c>
      <c r="I352" s="35"/>
      <c r="J352" s="19"/>
      <c r="K352" s="19"/>
      <c r="L352" s="19"/>
      <c r="M352" s="19"/>
      <c r="N352" s="36"/>
      <c r="O352" s="2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79"/>
      <c r="AL352" s="45"/>
    </row>
    <row r="353" spans="2:38" x14ac:dyDescent="0.25">
      <c r="B353" s="88"/>
      <c r="C353" s="89"/>
      <c r="D353" s="89"/>
      <c r="E353" s="90"/>
      <c r="F353" s="72"/>
      <c r="G353" s="9"/>
      <c r="H353" s="74">
        <f t="shared" si="5"/>
        <v>14497900</v>
      </c>
      <c r="I353" s="35"/>
      <c r="J353" s="19"/>
      <c r="K353" s="19"/>
      <c r="L353" s="19"/>
      <c r="M353" s="19"/>
      <c r="N353" s="36"/>
      <c r="O353" s="2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79"/>
      <c r="AL353" s="45"/>
    </row>
    <row r="354" spans="2:38" x14ac:dyDescent="0.25">
      <c r="B354" s="88"/>
      <c r="C354" s="89"/>
      <c r="D354" s="89"/>
      <c r="E354" s="90"/>
      <c r="F354" s="72"/>
      <c r="G354" s="9"/>
      <c r="H354" s="74">
        <f t="shared" si="5"/>
        <v>14497900</v>
      </c>
      <c r="I354" s="35"/>
      <c r="J354" s="19"/>
      <c r="K354" s="19"/>
      <c r="L354" s="19"/>
      <c r="M354" s="19"/>
      <c r="N354" s="36"/>
      <c r="O354" s="2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79"/>
      <c r="AL354" s="45"/>
    </row>
    <row r="355" spans="2:38" x14ac:dyDescent="0.25">
      <c r="B355" s="88"/>
      <c r="C355" s="89"/>
      <c r="D355" s="89"/>
      <c r="E355" s="90"/>
      <c r="F355" s="72"/>
      <c r="G355" s="9"/>
      <c r="H355" s="74">
        <f t="shared" si="5"/>
        <v>14497900</v>
      </c>
      <c r="I355" s="35"/>
      <c r="J355" s="19"/>
      <c r="K355" s="19"/>
      <c r="L355" s="19"/>
      <c r="M355" s="19"/>
      <c r="N355" s="36"/>
      <c r="O355" s="2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79"/>
      <c r="AL355" s="45"/>
    </row>
    <row r="356" spans="2:38" x14ac:dyDescent="0.25">
      <c r="B356" s="88"/>
      <c r="C356" s="89"/>
      <c r="D356" s="89"/>
      <c r="E356" s="90"/>
      <c r="F356" s="72"/>
      <c r="G356" s="9"/>
      <c r="H356" s="74">
        <f t="shared" si="5"/>
        <v>14497900</v>
      </c>
      <c r="I356" s="35"/>
      <c r="J356" s="19"/>
      <c r="K356" s="19"/>
      <c r="L356" s="19"/>
      <c r="M356" s="19"/>
      <c r="N356" s="36"/>
      <c r="O356" s="2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79"/>
      <c r="AL356" s="45"/>
    </row>
    <row r="357" spans="2:38" x14ac:dyDescent="0.25">
      <c r="B357" s="88"/>
      <c r="C357" s="89"/>
      <c r="D357" s="89"/>
      <c r="E357" s="90"/>
      <c r="F357" s="72"/>
      <c r="G357" s="9"/>
      <c r="H357" s="74">
        <f t="shared" si="5"/>
        <v>14497900</v>
      </c>
      <c r="I357" s="35"/>
      <c r="J357" s="19"/>
      <c r="K357" s="19"/>
      <c r="L357" s="19"/>
      <c r="M357" s="19"/>
      <c r="N357" s="36"/>
      <c r="O357" s="2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79"/>
      <c r="AL357" s="45"/>
    </row>
    <row r="358" spans="2:38" x14ac:dyDescent="0.25">
      <c r="B358" s="88"/>
      <c r="C358" s="89"/>
      <c r="D358" s="89"/>
      <c r="E358" s="90"/>
      <c r="F358" s="72"/>
      <c r="G358" s="9"/>
      <c r="H358" s="74">
        <f t="shared" si="5"/>
        <v>14497900</v>
      </c>
      <c r="I358" s="35"/>
      <c r="J358" s="19"/>
      <c r="K358" s="19"/>
      <c r="L358" s="19"/>
      <c r="M358" s="19"/>
      <c r="N358" s="36"/>
      <c r="O358" s="2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4"/>
      <c r="AA358" s="14"/>
      <c r="AB358" s="14"/>
      <c r="AC358" s="14"/>
      <c r="AD358" s="11"/>
      <c r="AE358" s="11"/>
      <c r="AF358" s="11"/>
      <c r="AG358" s="11"/>
      <c r="AH358" s="11"/>
      <c r="AI358" s="11"/>
      <c r="AJ358" s="11"/>
      <c r="AK358" s="79"/>
      <c r="AL358" s="45"/>
    </row>
    <row r="359" spans="2:38" x14ac:dyDescent="0.25">
      <c r="B359" s="88"/>
      <c r="C359" s="89"/>
      <c r="D359" s="89"/>
      <c r="E359" s="90"/>
      <c r="F359" s="72"/>
      <c r="G359" s="9"/>
      <c r="H359" s="74">
        <f t="shared" si="5"/>
        <v>14497900</v>
      </c>
      <c r="I359" s="35"/>
      <c r="J359" s="19"/>
      <c r="K359" s="19"/>
      <c r="L359" s="19"/>
      <c r="M359" s="19"/>
      <c r="N359" s="36"/>
      <c r="O359" s="22"/>
      <c r="P359" s="11"/>
      <c r="Q359" s="11"/>
      <c r="R359" s="15"/>
      <c r="S359" s="15"/>
      <c r="T359" s="11"/>
      <c r="U359" s="11"/>
      <c r="V359" s="11"/>
      <c r="W359" s="11"/>
      <c r="X359" s="11"/>
      <c r="Y359" s="14"/>
      <c r="Z359" s="14"/>
      <c r="AA359" s="14"/>
      <c r="AB359" s="14"/>
      <c r="AC359" s="14"/>
      <c r="AD359" s="11"/>
      <c r="AE359" s="11"/>
      <c r="AF359" s="11"/>
      <c r="AG359" s="11"/>
      <c r="AH359" s="11"/>
      <c r="AI359" s="11"/>
      <c r="AJ359" s="11"/>
      <c r="AK359" s="79"/>
      <c r="AL359" s="45"/>
    </row>
    <row r="360" spans="2:38" x14ac:dyDescent="0.25">
      <c r="B360" s="88"/>
      <c r="C360" s="89"/>
      <c r="D360" s="89"/>
      <c r="E360" s="90"/>
      <c r="F360" s="72"/>
      <c r="G360" s="9"/>
      <c r="H360" s="74">
        <f t="shared" si="5"/>
        <v>14497900</v>
      </c>
      <c r="I360" s="35"/>
      <c r="J360" s="19"/>
      <c r="K360" s="19"/>
      <c r="L360" s="19"/>
      <c r="M360" s="19"/>
      <c r="N360" s="36"/>
      <c r="O360" s="26"/>
      <c r="P360" s="11"/>
      <c r="Q360" s="11"/>
      <c r="R360" s="15"/>
      <c r="S360" s="15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79"/>
      <c r="AL360" s="45"/>
    </row>
    <row r="361" spans="2:38" x14ac:dyDescent="0.25">
      <c r="B361" s="88"/>
      <c r="C361" s="89"/>
      <c r="D361" s="89"/>
      <c r="E361" s="90"/>
      <c r="F361" s="72"/>
      <c r="G361" s="9"/>
      <c r="H361" s="74">
        <f t="shared" si="5"/>
        <v>14497900</v>
      </c>
      <c r="I361" s="35"/>
      <c r="J361" s="19"/>
      <c r="K361" s="19"/>
      <c r="L361" s="19"/>
      <c r="M361" s="19"/>
      <c r="N361" s="36"/>
      <c r="O361" s="26"/>
      <c r="P361" s="11"/>
      <c r="Q361" s="11"/>
      <c r="R361" s="15"/>
      <c r="S361" s="15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79"/>
      <c r="AL361" s="45"/>
    </row>
    <row r="362" spans="2:38" x14ac:dyDescent="0.25">
      <c r="B362" s="88"/>
      <c r="C362" s="89"/>
      <c r="D362" s="89"/>
      <c r="E362" s="90"/>
      <c r="F362" s="72"/>
      <c r="G362" s="9"/>
      <c r="H362" s="74">
        <f t="shared" si="5"/>
        <v>14497900</v>
      </c>
      <c r="I362" s="35"/>
      <c r="J362" s="19"/>
      <c r="K362" s="19"/>
      <c r="L362" s="19"/>
      <c r="M362" s="19"/>
      <c r="N362" s="36"/>
      <c r="O362" s="26"/>
      <c r="P362" s="11"/>
      <c r="Q362" s="11"/>
      <c r="R362" s="15"/>
      <c r="S362" s="15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79"/>
      <c r="AL362" s="45"/>
    </row>
    <row r="363" spans="2:38" x14ac:dyDescent="0.25">
      <c r="B363" s="88"/>
      <c r="C363" s="89"/>
      <c r="D363" s="89"/>
      <c r="E363" s="90"/>
      <c r="F363" s="72"/>
      <c r="G363" s="9"/>
      <c r="H363" s="74">
        <f t="shared" si="5"/>
        <v>14497900</v>
      </c>
      <c r="I363" s="35"/>
      <c r="J363" s="19"/>
      <c r="K363" s="19"/>
      <c r="L363" s="19"/>
      <c r="M363" s="19"/>
      <c r="N363" s="36"/>
      <c r="O363" s="22"/>
      <c r="P363" s="11"/>
      <c r="Q363" s="11"/>
      <c r="R363" s="15"/>
      <c r="S363" s="15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79"/>
      <c r="AL363" s="45"/>
    </row>
    <row r="364" spans="2:38" x14ac:dyDescent="0.25">
      <c r="B364" s="88"/>
      <c r="C364" s="89"/>
      <c r="D364" s="89"/>
      <c r="E364" s="90"/>
      <c r="F364" s="72"/>
      <c r="G364" s="9"/>
      <c r="H364" s="74">
        <f t="shared" si="5"/>
        <v>14497900</v>
      </c>
      <c r="I364" s="35"/>
      <c r="J364" s="19"/>
      <c r="K364" s="19"/>
      <c r="L364" s="19"/>
      <c r="M364" s="19"/>
      <c r="N364" s="36"/>
      <c r="O364" s="2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79"/>
      <c r="AL364" s="45"/>
    </row>
    <row r="365" spans="2:38" x14ac:dyDescent="0.25">
      <c r="B365" s="88"/>
      <c r="C365" s="89"/>
      <c r="D365" s="89"/>
      <c r="E365" s="90"/>
      <c r="F365" s="72"/>
      <c r="G365" s="9"/>
      <c r="H365" s="74">
        <f t="shared" si="5"/>
        <v>14497900</v>
      </c>
      <c r="I365" s="35"/>
      <c r="J365" s="19"/>
      <c r="K365" s="19"/>
      <c r="L365" s="19"/>
      <c r="M365" s="19"/>
      <c r="N365" s="36"/>
      <c r="O365" s="2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79"/>
      <c r="AL365" s="45"/>
    </row>
    <row r="366" spans="2:38" x14ac:dyDescent="0.25">
      <c r="B366" s="88"/>
      <c r="C366" s="89"/>
      <c r="D366" s="89"/>
      <c r="E366" s="90"/>
      <c r="F366" s="72"/>
      <c r="G366" s="9"/>
      <c r="H366" s="74">
        <f t="shared" si="5"/>
        <v>14497900</v>
      </c>
      <c r="I366" s="35"/>
      <c r="J366" s="19"/>
      <c r="K366" s="19"/>
      <c r="L366" s="19"/>
      <c r="M366" s="19"/>
      <c r="N366" s="36"/>
      <c r="O366" s="2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79"/>
      <c r="AL366" s="45"/>
    </row>
    <row r="367" spans="2:38" x14ac:dyDescent="0.25">
      <c r="B367" s="88"/>
      <c r="C367" s="89"/>
      <c r="D367" s="89"/>
      <c r="E367" s="90"/>
      <c r="F367" s="72"/>
      <c r="G367" s="9"/>
      <c r="H367" s="74">
        <f t="shared" si="5"/>
        <v>14497900</v>
      </c>
      <c r="I367" s="35"/>
      <c r="J367" s="19"/>
      <c r="K367" s="19"/>
      <c r="L367" s="19"/>
      <c r="M367" s="19"/>
      <c r="N367" s="36"/>
      <c r="O367" s="2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79"/>
      <c r="AL367" s="45"/>
    </row>
    <row r="368" spans="2:38" x14ac:dyDescent="0.25">
      <c r="B368" s="88"/>
      <c r="C368" s="89"/>
      <c r="D368" s="89"/>
      <c r="E368" s="90"/>
      <c r="F368" s="72"/>
      <c r="G368" s="9"/>
      <c r="H368" s="74">
        <f t="shared" si="5"/>
        <v>14497900</v>
      </c>
      <c r="I368" s="35"/>
      <c r="J368" s="19"/>
      <c r="K368" s="19"/>
      <c r="L368" s="19"/>
      <c r="M368" s="19"/>
      <c r="N368" s="36"/>
      <c r="O368" s="2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79"/>
      <c r="AL368" s="45"/>
    </row>
    <row r="369" spans="2:38" x14ac:dyDescent="0.25">
      <c r="B369" s="88"/>
      <c r="C369" s="89"/>
      <c r="D369" s="89"/>
      <c r="E369" s="90"/>
      <c r="F369" s="72"/>
      <c r="G369" s="9"/>
      <c r="H369" s="74">
        <f t="shared" si="5"/>
        <v>14497900</v>
      </c>
      <c r="I369" s="35"/>
      <c r="J369" s="19"/>
      <c r="K369" s="19"/>
      <c r="L369" s="19"/>
      <c r="M369" s="19"/>
      <c r="N369" s="36"/>
      <c r="O369" s="2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79"/>
      <c r="AL369" s="45"/>
    </row>
    <row r="370" spans="2:38" x14ac:dyDescent="0.25">
      <c r="B370" s="88"/>
      <c r="C370" s="89"/>
      <c r="D370" s="89"/>
      <c r="E370" s="90"/>
      <c r="F370" s="72"/>
      <c r="G370" s="9"/>
      <c r="H370" s="74">
        <f t="shared" si="5"/>
        <v>14497900</v>
      </c>
      <c r="I370" s="35"/>
      <c r="J370" s="19"/>
      <c r="K370" s="19"/>
      <c r="L370" s="19"/>
      <c r="M370" s="19"/>
      <c r="N370" s="36"/>
      <c r="O370" s="2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79"/>
      <c r="AL370" s="45"/>
    </row>
    <row r="371" spans="2:38" x14ac:dyDescent="0.25">
      <c r="B371" s="88"/>
      <c r="C371" s="89"/>
      <c r="D371" s="89"/>
      <c r="E371" s="90"/>
      <c r="F371" s="72"/>
      <c r="G371" s="9"/>
      <c r="H371" s="74">
        <f t="shared" si="5"/>
        <v>14497900</v>
      </c>
      <c r="I371" s="35"/>
      <c r="J371" s="19"/>
      <c r="K371" s="19"/>
      <c r="L371" s="19"/>
      <c r="M371" s="19"/>
      <c r="N371" s="36"/>
      <c r="O371" s="2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79"/>
      <c r="AL371" s="45"/>
    </row>
    <row r="372" spans="2:38" x14ac:dyDescent="0.25">
      <c r="B372" s="88"/>
      <c r="C372" s="89"/>
      <c r="D372" s="89"/>
      <c r="E372" s="90"/>
      <c r="F372" s="72"/>
      <c r="G372" s="9"/>
      <c r="H372" s="74">
        <f t="shared" si="5"/>
        <v>14497900</v>
      </c>
      <c r="I372" s="35"/>
      <c r="J372" s="19"/>
      <c r="K372" s="19"/>
      <c r="L372" s="19"/>
      <c r="M372" s="19"/>
      <c r="N372" s="36"/>
      <c r="O372" s="22"/>
      <c r="P372" s="14"/>
      <c r="Q372" s="14"/>
      <c r="R372" s="14"/>
      <c r="S372" s="14"/>
      <c r="T372" s="11"/>
      <c r="U372" s="11"/>
      <c r="V372" s="11"/>
      <c r="W372" s="11"/>
      <c r="X372" s="11"/>
      <c r="Y372" s="11"/>
      <c r="Z372" s="11"/>
      <c r="AA372" s="11"/>
      <c r="AB372" s="14"/>
      <c r="AC372" s="11"/>
      <c r="AD372" s="11"/>
      <c r="AE372" s="11"/>
      <c r="AF372" s="11"/>
      <c r="AG372" s="11"/>
      <c r="AH372" s="11"/>
      <c r="AI372" s="11"/>
      <c r="AJ372" s="11"/>
      <c r="AK372" s="79"/>
      <c r="AL372" s="45"/>
    </row>
    <row r="373" spans="2:38" x14ac:dyDescent="0.25">
      <c r="B373" s="88"/>
      <c r="C373" s="89"/>
      <c r="D373" s="89"/>
      <c r="E373" s="90"/>
      <c r="F373" s="72"/>
      <c r="G373" s="9"/>
      <c r="H373" s="74">
        <f t="shared" si="5"/>
        <v>14497900</v>
      </c>
      <c r="I373" s="35"/>
      <c r="J373" s="19"/>
      <c r="K373" s="19"/>
      <c r="L373" s="19"/>
      <c r="M373" s="19"/>
      <c r="N373" s="36"/>
      <c r="O373" s="27"/>
      <c r="P373" s="11"/>
      <c r="Q373" s="14"/>
      <c r="R373" s="14"/>
      <c r="S373" s="14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79"/>
      <c r="AL373" s="45"/>
    </row>
    <row r="374" spans="2:38" x14ac:dyDescent="0.25">
      <c r="B374" s="88"/>
      <c r="C374" s="89"/>
      <c r="D374" s="89"/>
      <c r="E374" s="90"/>
      <c r="F374" s="72"/>
      <c r="G374" s="9"/>
      <c r="H374" s="74">
        <f t="shared" si="5"/>
        <v>14497900</v>
      </c>
      <c r="I374" s="35"/>
      <c r="J374" s="19"/>
      <c r="K374" s="19"/>
      <c r="L374" s="19"/>
      <c r="M374" s="19"/>
      <c r="N374" s="36"/>
      <c r="O374" s="22"/>
      <c r="P374" s="11"/>
      <c r="Q374" s="14"/>
      <c r="R374" s="14"/>
      <c r="S374" s="14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79"/>
      <c r="AL374" s="45"/>
    </row>
    <row r="375" spans="2:38" x14ac:dyDescent="0.25">
      <c r="B375" s="88"/>
      <c r="C375" s="89"/>
      <c r="D375" s="89"/>
      <c r="E375" s="90"/>
      <c r="F375" s="72"/>
      <c r="G375" s="9"/>
      <c r="H375" s="74">
        <f t="shared" si="5"/>
        <v>14497900</v>
      </c>
      <c r="I375" s="35"/>
      <c r="J375" s="19"/>
      <c r="K375" s="19"/>
      <c r="L375" s="19"/>
      <c r="M375" s="19"/>
      <c r="N375" s="36"/>
      <c r="O375" s="22"/>
      <c r="P375" s="11"/>
      <c r="Q375" s="14"/>
      <c r="R375" s="14"/>
      <c r="S375" s="14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79"/>
      <c r="AL375" s="45"/>
    </row>
    <row r="376" spans="2:38" x14ac:dyDescent="0.25">
      <c r="B376" s="88"/>
      <c r="C376" s="89"/>
      <c r="D376" s="89"/>
      <c r="E376" s="90"/>
      <c r="F376" s="72"/>
      <c r="G376" s="9"/>
      <c r="H376" s="74">
        <f t="shared" si="5"/>
        <v>14497900</v>
      </c>
      <c r="I376" s="35"/>
      <c r="J376" s="19"/>
      <c r="K376" s="19"/>
      <c r="L376" s="19"/>
      <c r="M376" s="19"/>
      <c r="N376" s="36"/>
      <c r="O376" s="22"/>
      <c r="P376" s="11"/>
      <c r="Q376" s="14"/>
      <c r="R376" s="14"/>
      <c r="S376" s="14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79"/>
      <c r="AL376" s="45"/>
    </row>
    <row r="377" spans="2:38" x14ac:dyDescent="0.25">
      <c r="B377" s="88"/>
      <c r="C377" s="89"/>
      <c r="D377" s="89"/>
      <c r="E377" s="90"/>
      <c r="F377" s="72"/>
      <c r="G377" s="9"/>
      <c r="H377" s="74">
        <f t="shared" si="5"/>
        <v>14497900</v>
      </c>
      <c r="I377" s="35"/>
      <c r="J377" s="19"/>
      <c r="K377" s="19"/>
      <c r="L377" s="19"/>
      <c r="M377" s="19"/>
      <c r="N377" s="36"/>
      <c r="O377" s="22"/>
      <c r="P377" s="11"/>
      <c r="Q377" s="14"/>
      <c r="R377" s="14"/>
      <c r="S377" s="14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79"/>
      <c r="AL377" s="45"/>
    </row>
    <row r="378" spans="2:38" x14ac:dyDescent="0.25">
      <c r="B378" s="88"/>
      <c r="C378" s="89"/>
      <c r="D378" s="89"/>
      <c r="E378" s="90"/>
      <c r="F378" s="72"/>
      <c r="G378" s="9"/>
      <c r="H378" s="74">
        <f t="shared" si="5"/>
        <v>14497900</v>
      </c>
      <c r="I378" s="35"/>
      <c r="J378" s="19"/>
      <c r="K378" s="19"/>
      <c r="L378" s="19"/>
      <c r="M378" s="19"/>
      <c r="N378" s="36"/>
      <c r="O378" s="22"/>
      <c r="P378" s="11"/>
      <c r="Q378" s="14"/>
      <c r="R378" s="14"/>
      <c r="S378" s="14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79"/>
      <c r="AL378" s="45"/>
    </row>
    <row r="379" spans="2:38" x14ac:dyDescent="0.25">
      <c r="B379" s="88"/>
      <c r="C379" s="89"/>
      <c r="D379" s="89"/>
      <c r="E379" s="90"/>
      <c r="F379" s="72"/>
      <c r="G379" s="9"/>
      <c r="H379" s="74">
        <f t="shared" si="5"/>
        <v>14497900</v>
      </c>
      <c r="I379" s="35"/>
      <c r="J379" s="19"/>
      <c r="K379" s="19"/>
      <c r="L379" s="19"/>
      <c r="M379" s="19"/>
      <c r="N379" s="36"/>
      <c r="O379" s="22"/>
      <c r="P379" s="11"/>
      <c r="Q379" s="11"/>
      <c r="R379" s="11"/>
      <c r="S379" s="11"/>
      <c r="T379" s="11"/>
      <c r="U379" s="11"/>
      <c r="V379" s="14"/>
      <c r="W379" s="14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79"/>
      <c r="AL379" s="45"/>
    </row>
    <row r="380" spans="2:38" x14ac:dyDescent="0.25">
      <c r="B380" s="88"/>
      <c r="C380" s="89"/>
      <c r="D380" s="89"/>
      <c r="E380" s="90"/>
      <c r="F380" s="72"/>
      <c r="G380" s="9"/>
      <c r="H380" s="74">
        <f t="shared" si="5"/>
        <v>14497900</v>
      </c>
      <c r="I380" s="35"/>
      <c r="J380" s="19"/>
      <c r="K380" s="19"/>
      <c r="L380" s="19"/>
      <c r="M380" s="19"/>
      <c r="N380" s="36"/>
      <c r="O380" s="22"/>
      <c r="P380" s="11"/>
      <c r="Q380" s="11"/>
      <c r="R380" s="11"/>
      <c r="S380" s="11"/>
      <c r="T380" s="11"/>
      <c r="U380" s="11"/>
      <c r="V380" s="14"/>
      <c r="W380" s="14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79"/>
      <c r="AL380" s="45"/>
    </row>
    <row r="381" spans="2:38" x14ac:dyDescent="0.25">
      <c r="B381" s="88"/>
      <c r="C381" s="89"/>
      <c r="D381" s="89"/>
      <c r="E381" s="90"/>
      <c r="F381" s="72"/>
      <c r="G381" s="9"/>
      <c r="H381" s="74">
        <f t="shared" si="5"/>
        <v>14497900</v>
      </c>
      <c r="I381" s="35"/>
      <c r="J381" s="19"/>
      <c r="K381" s="19"/>
      <c r="L381" s="19"/>
      <c r="M381" s="19"/>
      <c r="N381" s="36"/>
      <c r="O381" s="2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79"/>
      <c r="AL381" s="45"/>
    </row>
    <row r="382" spans="2:38" x14ac:dyDescent="0.25">
      <c r="B382" s="88"/>
      <c r="C382" s="89"/>
      <c r="D382" s="89"/>
      <c r="E382" s="90"/>
      <c r="F382" s="72"/>
      <c r="G382" s="9"/>
      <c r="H382" s="74">
        <f t="shared" si="5"/>
        <v>14497900</v>
      </c>
      <c r="I382" s="35"/>
      <c r="J382" s="19"/>
      <c r="K382" s="19"/>
      <c r="L382" s="19"/>
      <c r="M382" s="19"/>
      <c r="N382" s="36"/>
      <c r="O382" s="2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79"/>
      <c r="AL382" s="45"/>
    </row>
    <row r="383" spans="2:38" x14ac:dyDescent="0.25">
      <c r="B383" s="88"/>
      <c r="C383" s="89"/>
      <c r="D383" s="89"/>
      <c r="E383" s="90"/>
      <c r="F383" s="72"/>
      <c r="G383" s="9"/>
      <c r="H383" s="74">
        <f t="shared" si="5"/>
        <v>14497900</v>
      </c>
      <c r="I383" s="35"/>
      <c r="J383" s="19"/>
      <c r="K383" s="19"/>
      <c r="L383" s="19"/>
      <c r="M383" s="19"/>
      <c r="N383" s="36"/>
      <c r="O383" s="2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79"/>
      <c r="AL383" s="45"/>
    </row>
    <row r="384" spans="2:38" x14ac:dyDescent="0.25">
      <c r="B384" s="88"/>
      <c r="C384" s="89"/>
      <c r="D384" s="89"/>
      <c r="E384" s="90"/>
      <c r="F384" s="72"/>
      <c r="G384" s="9"/>
      <c r="H384" s="74">
        <f t="shared" si="5"/>
        <v>14497900</v>
      </c>
      <c r="I384" s="35"/>
      <c r="J384" s="19"/>
      <c r="K384" s="19"/>
      <c r="L384" s="19"/>
      <c r="M384" s="19"/>
      <c r="N384" s="36"/>
      <c r="O384" s="2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79"/>
      <c r="AL384" s="45"/>
    </row>
    <row r="385" spans="2:38" x14ac:dyDescent="0.25">
      <c r="B385" s="88"/>
      <c r="C385" s="89"/>
      <c r="D385" s="89"/>
      <c r="E385" s="90"/>
      <c r="F385" s="72"/>
      <c r="G385" s="9"/>
      <c r="H385" s="74">
        <f t="shared" si="5"/>
        <v>14497900</v>
      </c>
      <c r="I385" s="35"/>
      <c r="J385" s="19"/>
      <c r="K385" s="19"/>
      <c r="L385" s="19"/>
      <c r="M385" s="19"/>
      <c r="N385" s="36"/>
      <c r="O385" s="2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79"/>
      <c r="AL385" s="45"/>
    </row>
    <row r="386" spans="2:38" x14ac:dyDescent="0.25">
      <c r="B386" s="88"/>
      <c r="C386" s="89"/>
      <c r="D386" s="89"/>
      <c r="E386" s="90"/>
      <c r="F386" s="72"/>
      <c r="G386" s="9"/>
      <c r="H386" s="74">
        <f t="shared" si="5"/>
        <v>14497900</v>
      </c>
      <c r="I386" s="35"/>
      <c r="J386" s="19"/>
      <c r="K386" s="19"/>
      <c r="L386" s="19"/>
      <c r="M386" s="19"/>
      <c r="N386" s="36"/>
      <c r="O386" s="28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79"/>
      <c r="AL386" s="45"/>
    </row>
    <row r="387" spans="2:38" x14ac:dyDescent="0.25">
      <c r="B387" s="88"/>
      <c r="C387" s="89"/>
      <c r="D387" s="89"/>
      <c r="E387" s="90"/>
      <c r="F387" s="72"/>
      <c r="G387" s="9"/>
      <c r="H387" s="74">
        <f t="shared" si="5"/>
        <v>14497900</v>
      </c>
      <c r="I387" s="35"/>
      <c r="J387" s="19"/>
      <c r="K387" s="19"/>
      <c r="L387" s="19"/>
      <c r="M387" s="19"/>
      <c r="N387" s="36"/>
      <c r="O387" s="28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79"/>
      <c r="AL387" s="45"/>
    </row>
    <row r="388" spans="2:38" x14ac:dyDescent="0.25">
      <c r="B388" s="88"/>
      <c r="C388" s="89"/>
      <c r="D388" s="89"/>
      <c r="E388" s="90"/>
      <c r="F388" s="72"/>
      <c r="G388" s="9"/>
      <c r="H388" s="74">
        <f t="shared" si="5"/>
        <v>14497900</v>
      </c>
      <c r="I388" s="35"/>
      <c r="J388" s="19"/>
      <c r="K388" s="19"/>
      <c r="L388" s="19"/>
      <c r="M388" s="19"/>
      <c r="N388" s="36"/>
      <c r="O388" s="28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4"/>
      <c r="AI388" s="14"/>
      <c r="AJ388" s="14"/>
      <c r="AK388" s="80"/>
      <c r="AL388" s="45"/>
    </row>
    <row r="389" spans="2:38" x14ac:dyDescent="0.25">
      <c r="B389" s="88"/>
      <c r="C389" s="89"/>
      <c r="D389" s="89"/>
      <c r="E389" s="90"/>
      <c r="F389" s="72"/>
      <c r="G389" s="9"/>
      <c r="H389" s="74">
        <f t="shared" si="5"/>
        <v>14497900</v>
      </c>
      <c r="I389" s="35"/>
      <c r="J389" s="19"/>
      <c r="K389" s="19"/>
      <c r="L389" s="19"/>
      <c r="M389" s="19"/>
      <c r="N389" s="36"/>
      <c r="O389" s="29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5"/>
      <c r="AG389" s="11"/>
      <c r="AH389" s="14"/>
      <c r="AI389" s="14"/>
      <c r="AJ389" s="14"/>
      <c r="AK389" s="80"/>
      <c r="AL389" s="45"/>
    </row>
    <row r="390" spans="2:38" x14ac:dyDescent="0.25">
      <c r="B390" s="88"/>
      <c r="C390" s="89"/>
      <c r="D390" s="89"/>
      <c r="E390" s="90"/>
      <c r="F390" s="72"/>
      <c r="G390" s="9"/>
      <c r="H390" s="74">
        <f t="shared" si="5"/>
        <v>14497900</v>
      </c>
      <c r="I390" s="35"/>
      <c r="J390" s="19"/>
      <c r="K390" s="19"/>
      <c r="L390" s="19"/>
      <c r="M390" s="19"/>
      <c r="N390" s="36"/>
      <c r="O390" s="29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5"/>
      <c r="AG390" s="11"/>
      <c r="AH390" s="14"/>
      <c r="AI390" s="14"/>
      <c r="AJ390" s="14"/>
      <c r="AK390" s="80"/>
      <c r="AL390" s="45"/>
    </row>
    <row r="391" spans="2:38" x14ac:dyDescent="0.25">
      <c r="B391" s="88"/>
      <c r="C391" s="89"/>
      <c r="D391" s="89"/>
      <c r="E391" s="90"/>
      <c r="F391" s="72"/>
      <c r="G391" s="9"/>
      <c r="H391" s="74">
        <f t="shared" si="5"/>
        <v>14497900</v>
      </c>
      <c r="I391" s="35"/>
      <c r="J391" s="19"/>
      <c r="K391" s="19"/>
      <c r="L391" s="19"/>
      <c r="M391" s="19"/>
      <c r="N391" s="36"/>
      <c r="O391" s="29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5"/>
      <c r="AG391" s="11"/>
      <c r="AH391" s="11"/>
      <c r="AI391" s="11"/>
      <c r="AJ391" s="11"/>
      <c r="AK391" s="79"/>
      <c r="AL391" s="45"/>
    </row>
    <row r="392" spans="2:38" x14ac:dyDescent="0.25">
      <c r="B392" s="88"/>
      <c r="C392" s="89"/>
      <c r="D392" s="89"/>
      <c r="E392" s="90"/>
      <c r="F392" s="72"/>
      <c r="G392" s="9"/>
      <c r="H392" s="74">
        <f t="shared" si="5"/>
        <v>14497900</v>
      </c>
      <c r="I392" s="35"/>
      <c r="J392" s="19"/>
      <c r="K392" s="19"/>
      <c r="L392" s="19"/>
      <c r="M392" s="19"/>
      <c r="N392" s="36"/>
      <c r="O392" s="29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5"/>
      <c r="AG392" s="11"/>
      <c r="AH392" s="11"/>
      <c r="AI392" s="11"/>
      <c r="AJ392" s="11"/>
      <c r="AK392" s="79"/>
      <c r="AL392" s="45"/>
    </row>
    <row r="393" spans="2:38" x14ac:dyDescent="0.25">
      <c r="B393" s="88"/>
      <c r="C393" s="89"/>
      <c r="D393" s="89"/>
      <c r="E393" s="90"/>
      <c r="F393" s="72"/>
      <c r="G393" s="9"/>
      <c r="H393" s="74">
        <f t="shared" si="5"/>
        <v>14497900</v>
      </c>
      <c r="I393" s="35"/>
      <c r="J393" s="19"/>
      <c r="K393" s="19"/>
      <c r="L393" s="19"/>
      <c r="M393" s="19"/>
      <c r="N393" s="36"/>
      <c r="O393" s="2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79"/>
      <c r="AL393" s="45"/>
    </row>
    <row r="394" spans="2:38" x14ac:dyDescent="0.25">
      <c r="B394" s="88"/>
      <c r="C394" s="89"/>
      <c r="D394" s="89"/>
      <c r="E394" s="90"/>
      <c r="F394" s="72"/>
      <c r="G394" s="9"/>
      <c r="H394" s="74">
        <f t="shared" si="5"/>
        <v>14497900</v>
      </c>
      <c r="I394" s="35"/>
      <c r="J394" s="19"/>
      <c r="K394" s="19"/>
      <c r="L394" s="19"/>
      <c r="M394" s="19"/>
      <c r="N394" s="36"/>
      <c r="O394" s="2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79"/>
      <c r="AL394" s="45"/>
    </row>
    <row r="395" spans="2:38" x14ac:dyDescent="0.25">
      <c r="B395" s="88"/>
      <c r="C395" s="89"/>
      <c r="D395" s="89"/>
      <c r="E395" s="90"/>
      <c r="F395" s="72"/>
      <c r="G395" s="9"/>
      <c r="H395" s="74">
        <f t="shared" si="5"/>
        <v>14497900</v>
      </c>
      <c r="I395" s="35"/>
      <c r="J395" s="19"/>
      <c r="K395" s="19"/>
      <c r="L395" s="19"/>
      <c r="M395" s="19"/>
      <c r="N395" s="36"/>
      <c r="O395" s="2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4"/>
      <c r="AH395" s="11"/>
      <c r="AI395" s="11"/>
      <c r="AJ395" s="11"/>
      <c r="AK395" s="79"/>
      <c r="AL395" s="45"/>
    </row>
    <row r="396" spans="2:38" x14ac:dyDescent="0.25">
      <c r="B396" s="88"/>
      <c r="C396" s="89"/>
      <c r="D396" s="89"/>
      <c r="E396" s="90"/>
      <c r="F396" s="72"/>
      <c r="G396" s="9"/>
      <c r="H396" s="74">
        <f t="shared" si="5"/>
        <v>14497900</v>
      </c>
      <c r="I396" s="35"/>
      <c r="J396" s="19"/>
      <c r="K396" s="19"/>
      <c r="L396" s="19"/>
      <c r="M396" s="19"/>
      <c r="N396" s="36"/>
      <c r="O396" s="2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4"/>
      <c r="AH396" s="11"/>
      <c r="AI396" s="11"/>
      <c r="AJ396" s="11"/>
      <c r="AK396" s="79"/>
      <c r="AL396" s="45"/>
    </row>
    <row r="397" spans="2:38" x14ac:dyDescent="0.25">
      <c r="B397" s="88"/>
      <c r="C397" s="89"/>
      <c r="D397" s="89"/>
      <c r="E397" s="90"/>
      <c r="F397" s="72"/>
      <c r="G397" s="9"/>
      <c r="H397" s="74">
        <f t="shared" si="5"/>
        <v>14497900</v>
      </c>
      <c r="I397" s="35"/>
      <c r="J397" s="19"/>
      <c r="K397" s="19"/>
      <c r="L397" s="19"/>
      <c r="M397" s="19"/>
      <c r="N397" s="36"/>
      <c r="O397" s="22"/>
      <c r="P397" s="14"/>
      <c r="Q397" s="14"/>
      <c r="R397" s="14"/>
      <c r="S397" s="14"/>
      <c r="T397" s="11"/>
      <c r="U397" s="11"/>
      <c r="V397" s="11"/>
      <c r="W397" s="11"/>
      <c r="X397" s="11"/>
      <c r="Y397" s="11"/>
      <c r="Z397" s="11"/>
      <c r="AA397" s="11"/>
      <c r="AB397" s="14"/>
      <c r="AC397" s="11"/>
      <c r="AD397" s="11"/>
      <c r="AE397" s="11"/>
      <c r="AF397" s="11"/>
      <c r="AG397" s="14"/>
      <c r="AH397" s="11"/>
      <c r="AI397" s="11"/>
      <c r="AJ397" s="11"/>
      <c r="AK397" s="79"/>
      <c r="AL397" s="45"/>
    </row>
    <row r="398" spans="2:38" x14ac:dyDescent="0.25">
      <c r="B398" s="88"/>
      <c r="C398" s="89"/>
      <c r="D398" s="89"/>
      <c r="E398" s="90"/>
      <c r="F398" s="72"/>
      <c r="G398" s="9"/>
      <c r="H398" s="74">
        <f t="shared" si="5"/>
        <v>14497900</v>
      </c>
      <c r="I398" s="35"/>
      <c r="J398" s="19"/>
      <c r="K398" s="19"/>
      <c r="L398" s="19"/>
      <c r="M398" s="19"/>
      <c r="N398" s="36"/>
      <c r="O398" s="22"/>
      <c r="P398" s="11"/>
      <c r="Q398" s="14"/>
      <c r="R398" s="14"/>
      <c r="S398" s="14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79"/>
      <c r="AL398" s="45"/>
    </row>
    <row r="399" spans="2:38" x14ac:dyDescent="0.25">
      <c r="B399" s="88"/>
      <c r="C399" s="89"/>
      <c r="D399" s="89"/>
      <c r="E399" s="90"/>
      <c r="F399" s="72"/>
      <c r="G399" s="9"/>
      <c r="H399" s="74">
        <f t="shared" si="5"/>
        <v>14497900</v>
      </c>
      <c r="I399" s="35"/>
      <c r="J399" s="19"/>
      <c r="K399" s="19"/>
      <c r="L399" s="19"/>
      <c r="M399" s="19"/>
      <c r="N399" s="36"/>
      <c r="O399" s="2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79"/>
      <c r="AL399" s="45"/>
    </row>
    <row r="400" spans="2:38" x14ac:dyDescent="0.25">
      <c r="B400" s="88"/>
      <c r="C400" s="89"/>
      <c r="D400" s="89"/>
      <c r="E400" s="90"/>
      <c r="F400" s="72"/>
      <c r="G400" s="9"/>
      <c r="H400" s="74">
        <f t="shared" si="5"/>
        <v>14497900</v>
      </c>
      <c r="I400" s="35"/>
      <c r="J400" s="19"/>
      <c r="K400" s="19"/>
      <c r="L400" s="19"/>
      <c r="M400" s="19"/>
      <c r="N400" s="36"/>
      <c r="O400" s="2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79"/>
      <c r="AL400" s="45"/>
    </row>
    <row r="401" spans="2:38" x14ac:dyDescent="0.25">
      <c r="B401" s="88"/>
      <c r="C401" s="89"/>
      <c r="D401" s="89"/>
      <c r="E401" s="90"/>
      <c r="F401" s="72"/>
      <c r="G401" s="9"/>
      <c r="H401" s="74">
        <f t="shared" si="5"/>
        <v>14497900</v>
      </c>
      <c r="I401" s="35"/>
      <c r="J401" s="19"/>
      <c r="K401" s="19"/>
      <c r="L401" s="19"/>
      <c r="M401" s="19"/>
      <c r="N401" s="36"/>
      <c r="O401" s="22"/>
      <c r="P401" s="11"/>
      <c r="Q401" s="11"/>
      <c r="R401" s="11"/>
      <c r="S401" s="11"/>
      <c r="T401" s="11"/>
      <c r="U401" s="11"/>
      <c r="V401" s="14"/>
      <c r="W401" s="14"/>
      <c r="X401" s="15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79"/>
      <c r="AL401" s="45"/>
    </row>
    <row r="402" spans="2:38" x14ac:dyDescent="0.25">
      <c r="B402" s="88"/>
      <c r="C402" s="89"/>
      <c r="D402" s="89"/>
      <c r="E402" s="90"/>
      <c r="F402" s="72"/>
      <c r="G402" s="9"/>
      <c r="H402" s="74">
        <f t="shared" ref="H402:H465" si="6">H401+F402-G402</f>
        <v>14497900</v>
      </c>
      <c r="I402" s="35"/>
      <c r="J402" s="19"/>
      <c r="K402" s="19"/>
      <c r="L402" s="19"/>
      <c r="M402" s="19"/>
      <c r="N402" s="36"/>
      <c r="O402" s="22"/>
      <c r="P402" s="11"/>
      <c r="Q402" s="11"/>
      <c r="R402" s="11"/>
      <c r="S402" s="11"/>
      <c r="T402" s="11"/>
      <c r="U402" s="11"/>
      <c r="V402" s="14"/>
      <c r="W402" s="14"/>
      <c r="X402" s="15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79"/>
      <c r="AL402" s="45"/>
    </row>
    <row r="403" spans="2:38" x14ac:dyDescent="0.25">
      <c r="B403" s="88"/>
      <c r="C403" s="89"/>
      <c r="D403" s="89"/>
      <c r="E403" s="90"/>
      <c r="F403" s="72"/>
      <c r="G403" s="9"/>
      <c r="H403" s="74">
        <f t="shared" si="6"/>
        <v>14497900</v>
      </c>
      <c r="I403" s="35"/>
      <c r="J403" s="19"/>
      <c r="K403" s="19"/>
      <c r="L403" s="19"/>
      <c r="M403" s="19"/>
      <c r="N403" s="36"/>
      <c r="O403" s="2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79"/>
      <c r="AL403" s="45"/>
    </row>
    <row r="404" spans="2:38" x14ac:dyDescent="0.25">
      <c r="B404" s="88"/>
      <c r="C404" s="89"/>
      <c r="D404" s="89"/>
      <c r="E404" s="90"/>
      <c r="F404" s="72"/>
      <c r="G404" s="9"/>
      <c r="H404" s="74">
        <f t="shared" si="6"/>
        <v>14497900</v>
      </c>
      <c r="I404" s="35"/>
      <c r="J404" s="19"/>
      <c r="K404" s="19"/>
      <c r="L404" s="19"/>
      <c r="M404" s="19"/>
      <c r="N404" s="36"/>
      <c r="O404" s="2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79"/>
      <c r="AL404" s="45"/>
    </row>
    <row r="405" spans="2:38" x14ac:dyDescent="0.25">
      <c r="B405" s="88"/>
      <c r="C405" s="89"/>
      <c r="D405" s="89"/>
      <c r="E405" s="90"/>
      <c r="F405" s="72"/>
      <c r="G405" s="9"/>
      <c r="H405" s="74">
        <f t="shared" si="6"/>
        <v>14497900</v>
      </c>
      <c r="I405" s="35"/>
      <c r="J405" s="19"/>
      <c r="K405" s="19"/>
      <c r="L405" s="19"/>
      <c r="M405" s="19"/>
      <c r="N405" s="36"/>
      <c r="O405" s="2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79"/>
      <c r="AL405" s="45"/>
    </row>
    <row r="406" spans="2:38" x14ac:dyDescent="0.25">
      <c r="B406" s="88"/>
      <c r="C406" s="89"/>
      <c r="D406" s="89"/>
      <c r="E406" s="90"/>
      <c r="F406" s="72"/>
      <c r="G406" s="9"/>
      <c r="H406" s="74">
        <f t="shared" si="6"/>
        <v>14497900</v>
      </c>
      <c r="I406" s="35"/>
      <c r="J406" s="19"/>
      <c r="K406" s="19"/>
      <c r="L406" s="19"/>
      <c r="M406" s="19"/>
      <c r="N406" s="36"/>
      <c r="O406" s="2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79"/>
      <c r="AL406" s="45"/>
    </row>
    <row r="407" spans="2:38" x14ac:dyDescent="0.25">
      <c r="B407" s="88"/>
      <c r="C407" s="89"/>
      <c r="D407" s="89"/>
      <c r="E407" s="90"/>
      <c r="F407" s="72"/>
      <c r="G407" s="9"/>
      <c r="H407" s="74">
        <f t="shared" si="6"/>
        <v>14497900</v>
      </c>
      <c r="I407" s="35"/>
      <c r="J407" s="19"/>
      <c r="K407" s="19"/>
      <c r="L407" s="19"/>
      <c r="M407" s="19"/>
      <c r="N407" s="36"/>
      <c r="O407" s="22"/>
      <c r="P407" s="11"/>
      <c r="Q407" s="14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79"/>
      <c r="AL407" s="45"/>
    </row>
    <row r="408" spans="2:38" x14ac:dyDescent="0.25">
      <c r="B408" s="88"/>
      <c r="C408" s="89"/>
      <c r="D408" s="89"/>
      <c r="E408" s="90"/>
      <c r="F408" s="72"/>
      <c r="G408" s="9"/>
      <c r="H408" s="74">
        <f t="shared" si="6"/>
        <v>14497900</v>
      </c>
      <c r="I408" s="35"/>
      <c r="J408" s="19"/>
      <c r="K408" s="19"/>
      <c r="L408" s="19"/>
      <c r="M408" s="19"/>
      <c r="N408" s="36"/>
      <c r="O408" s="22"/>
      <c r="P408" s="11"/>
      <c r="Q408" s="11"/>
      <c r="R408" s="11"/>
      <c r="S408" s="11"/>
      <c r="T408" s="11"/>
      <c r="U408" s="11"/>
      <c r="V408" s="14"/>
      <c r="W408" s="14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79"/>
      <c r="AL408" s="45"/>
    </row>
    <row r="409" spans="2:38" x14ac:dyDescent="0.25">
      <c r="B409" s="88"/>
      <c r="C409" s="89"/>
      <c r="D409" s="89"/>
      <c r="E409" s="90"/>
      <c r="F409" s="72"/>
      <c r="G409" s="9"/>
      <c r="H409" s="74">
        <f t="shared" si="6"/>
        <v>14497900</v>
      </c>
      <c r="I409" s="35"/>
      <c r="J409" s="19"/>
      <c r="K409" s="19"/>
      <c r="L409" s="19"/>
      <c r="M409" s="19"/>
      <c r="N409" s="36"/>
      <c r="O409" s="30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79"/>
      <c r="AL409" s="45"/>
    </row>
    <row r="410" spans="2:38" x14ac:dyDescent="0.25">
      <c r="B410" s="88"/>
      <c r="C410" s="89"/>
      <c r="D410" s="89"/>
      <c r="E410" s="90"/>
      <c r="F410" s="72"/>
      <c r="G410" s="9"/>
      <c r="H410" s="74">
        <f t="shared" si="6"/>
        <v>14497900</v>
      </c>
      <c r="I410" s="35"/>
      <c r="J410" s="19"/>
      <c r="K410" s="19"/>
      <c r="L410" s="19"/>
      <c r="M410" s="19"/>
      <c r="N410" s="36"/>
      <c r="O410" s="2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79"/>
      <c r="AL410" s="45"/>
    </row>
    <row r="411" spans="2:38" x14ac:dyDescent="0.25">
      <c r="B411" s="88"/>
      <c r="C411" s="89"/>
      <c r="D411" s="89"/>
      <c r="E411" s="90"/>
      <c r="F411" s="72"/>
      <c r="G411" s="9"/>
      <c r="H411" s="74">
        <f t="shared" si="6"/>
        <v>14497900</v>
      </c>
      <c r="I411" s="35"/>
      <c r="J411" s="19"/>
      <c r="K411" s="19"/>
      <c r="L411" s="19"/>
      <c r="M411" s="19"/>
      <c r="N411" s="36"/>
      <c r="O411" s="22"/>
      <c r="P411" s="11"/>
      <c r="Q411" s="11"/>
      <c r="R411" s="11"/>
      <c r="S411" s="11"/>
      <c r="T411" s="14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79"/>
      <c r="AL411" s="45"/>
    </row>
    <row r="412" spans="2:38" x14ac:dyDescent="0.25">
      <c r="B412" s="88"/>
      <c r="C412" s="89"/>
      <c r="D412" s="89"/>
      <c r="E412" s="90"/>
      <c r="F412" s="72"/>
      <c r="G412" s="9"/>
      <c r="H412" s="74">
        <f t="shared" si="6"/>
        <v>14497900</v>
      </c>
      <c r="I412" s="35"/>
      <c r="J412" s="19"/>
      <c r="K412" s="19"/>
      <c r="L412" s="19"/>
      <c r="M412" s="19"/>
      <c r="N412" s="36"/>
      <c r="O412" s="3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79"/>
      <c r="AL412" s="45"/>
    </row>
    <row r="413" spans="2:38" x14ac:dyDescent="0.25">
      <c r="B413" s="88"/>
      <c r="C413" s="89"/>
      <c r="D413" s="89"/>
      <c r="E413" s="90"/>
      <c r="F413" s="72"/>
      <c r="G413" s="9"/>
      <c r="H413" s="74">
        <f t="shared" si="6"/>
        <v>14497900</v>
      </c>
      <c r="I413" s="35"/>
      <c r="J413" s="19"/>
      <c r="K413" s="19"/>
      <c r="L413" s="19"/>
      <c r="M413" s="19"/>
      <c r="N413" s="36"/>
      <c r="O413" s="3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79"/>
      <c r="AL413" s="45"/>
    </row>
    <row r="414" spans="2:38" x14ac:dyDescent="0.25">
      <c r="B414" s="88"/>
      <c r="C414" s="89"/>
      <c r="D414" s="89"/>
      <c r="E414" s="90"/>
      <c r="F414" s="72"/>
      <c r="G414" s="9"/>
      <c r="H414" s="74">
        <f t="shared" si="6"/>
        <v>14497900</v>
      </c>
      <c r="I414" s="35"/>
      <c r="J414" s="19"/>
      <c r="K414" s="19"/>
      <c r="L414" s="19"/>
      <c r="M414" s="19"/>
      <c r="N414" s="36"/>
      <c r="O414" s="3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79"/>
      <c r="AL414" s="45"/>
    </row>
    <row r="415" spans="2:38" x14ac:dyDescent="0.25">
      <c r="B415" s="88"/>
      <c r="C415" s="89"/>
      <c r="D415" s="89"/>
      <c r="E415" s="90"/>
      <c r="F415" s="72"/>
      <c r="G415" s="9"/>
      <c r="H415" s="74">
        <f t="shared" si="6"/>
        <v>14497900</v>
      </c>
      <c r="I415" s="35"/>
      <c r="J415" s="19"/>
      <c r="K415" s="19"/>
      <c r="L415" s="19"/>
      <c r="M415" s="19"/>
      <c r="N415" s="36"/>
      <c r="O415" s="3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79"/>
      <c r="AL415" s="45"/>
    </row>
    <row r="416" spans="2:38" x14ac:dyDescent="0.25">
      <c r="B416" s="88"/>
      <c r="C416" s="89"/>
      <c r="D416" s="89"/>
      <c r="E416" s="90"/>
      <c r="F416" s="72"/>
      <c r="G416" s="9"/>
      <c r="H416" s="74">
        <f t="shared" si="6"/>
        <v>14497900</v>
      </c>
      <c r="I416" s="35"/>
      <c r="J416" s="19"/>
      <c r="K416" s="19"/>
      <c r="L416" s="19"/>
      <c r="M416" s="19"/>
      <c r="N416" s="36"/>
      <c r="O416" s="22"/>
      <c r="P416" s="11"/>
      <c r="Q416" s="11"/>
      <c r="R416" s="11"/>
      <c r="S416" s="11"/>
      <c r="T416" s="11"/>
      <c r="U416" s="11"/>
      <c r="V416" s="14"/>
      <c r="W416" s="14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79"/>
      <c r="AL416" s="45"/>
    </row>
    <row r="417" spans="2:38" x14ac:dyDescent="0.25">
      <c r="B417" s="88"/>
      <c r="C417" s="89"/>
      <c r="D417" s="89"/>
      <c r="E417" s="90"/>
      <c r="F417" s="72"/>
      <c r="G417" s="9"/>
      <c r="H417" s="74">
        <f t="shared" si="6"/>
        <v>14497900</v>
      </c>
      <c r="I417" s="35"/>
      <c r="J417" s="19"/>
      <c r="K417" s="19"/>
      <c r="L417" s="19"/>
      <c r="M417" s="19"/>
      <c r="N417" s="36"/>
      <c r="O417" s="2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79"/>
      <c r="AL417" s="45"/>
    </row>
    <row r="418" spans="2:38" x14ac:dyDescent="0.25">
      <c r="B418" s="88"/>
      <c r="C418" s="89"/>
      <c r="D418" s="89"/>
      <c r="E418" s="90"/>
      <c r="F418" s="72"/>
      <c r="G418" s="9"/>
      <c r="H418" s="74">
        <f t="shared" si="6"/>
        <v>14497900</v>
      </c>
      <c r="I418" s="35"/>
      <c r="J418" s="19"/>
      <c r="K418" s="19"/>
      <c r="L418" s="19"/>
      <c r="M418" s="19"/>
      <c r="N418" s="36"/>
      <c r="O418" s="22"/>
      <c r="P418" s="14"/>
      <c r="Q418" s="14"/>
      <c r="R418" s="11"/>
      <c r="S418" s="11"/>
      <c r="T418" s="11"/>
      <c r="U418" s="11"/>
      <c r="V418" s="11"/>
      <c r="W418" s="11"/>
      <c r="X418" s="11"/>
      <c r="Y418" s="11"/>
      <c r="Z418" s="15"/>
      <c r="AA418" s="15"/>
      <c r="AB418" s="15"/>
      <c r="AC418" s="15"/>
      <c r="AD418" s="11"/>
      <c r="AE418" s="11"/>
      <c r="AF418" s="11"/>
      <c r="AG418" s="11"/>
      <c r="AH418" s="11"/>
      <c r="AI418" s="11"/>
      <c r="AJ418" s="11"/>
      <c r="AK418" s="79"/>
      <c r="AL418" s="45"/>
    </row>
    <row r="419" spans="2:38" x14ac:dyDescent="0.25">
      <c r="B419" s="88"/>
      <c r="C419" s="89"/>
      <c r="D419" s="89"/>
      <c r="E419" s="90"/>
      <c r="F419" s="72"/>
      <c r="G419" s="9"/>
      <c r="H419" s="74">
        <f t="shared" si="6"/>
        <v>14497900</v>
      </c>
      <c r="I419" s="35"/>
      <c r="J419" s="19"/>
      <c r="K419" s="19"/>
      <c r="L419" s="19"/>
      <c r="M419" s="19"/>
      <c r="N419" s="36"/>
      <c r="O419" s="2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5"/>
      <c r="AA419" s="15"/>
      <c r="AB419" s="15"/>
      <c r="AC419" s="15"/>
      <c r="AD419" s="11"/>
      <c r="AE419" s="11"/>
      <c r="AF419" s="11"/>
      <c r="AG419" s="11"/>
      <c r="AH419" s="11"/>
      <c r="AI419" s="11"/>
      <c r="AJ419" s="11"/>
      <c r="AK419" s="79"/>
      <c r="AL419" s="45"/>
    </row>
    <row r="420" spans="2:38" x14ac:dyDescent="0.25">
      <c r="B420" s="88"/>
      <c r="C420" s="89"/>
      <c r="D420" s="89"/>
      <c r="E420" s="90"/>
      <c r="F420" s="72"/>
      <c r="G420" s="9"/>
      <c r="H420" s="74">
        <f t="shared" si="6"/>
        <v>14497900</v>
      </c>
      <c r="I420" s="35"/>
      <c r="J420" s="19"/>
      <c r="K420" s="19"/>
      <c r="L420" s="19"/>
      <c r="M420" s="19"/>
      <c r="N420" s="36"/>
      <c r="O420" s="2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5"/>
      <c r="AA420" s="15"/>
      <c r="AB420" s="15"/>
      <c r="AC420" s="15"/>
      <c r="AD420" s="11"/>
      <c r="AE420" s="11"/>
      <c r="AF420" s="11"/>
      <c r="AG420" s="11"/>
      <c r="AH420" s="11"/>
      <c r="AI420" s="11"/>
      <c r="AJ420" s="11"/>
      <c r="AK420" s="79"/>
      <c r="AL420" s="45"/>
    </row>
    <row r="421" spans="2:38" x14ac:dyDescent="0.25">
      <c r="B421" s="88"/>
      <c r="C421" s="89"/>
      <c r="D421" s="89"/>
      <c r="E421" s="90"/>
      <c r="F421" s="72"/>
      <c r="G421" s="9"/>
      <c r="H421" s="74">
        <f t="shared" si="6"/>
        <v>14497900</v>
      </c>
      <c r="I421" s="35"/>
      <c r="J421" s="19"/>
      <c r="K421" s="19"/>
      <c r="L421" s="19"/>
      <c r="M421" s="19"/>
      <c r="N421" s="36"/>
      <c r="O421" s="2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5"/>
      <c r="AA421" s="15"/>
      <c r="AB421" s="15"/>
      <c r="AC421" s="15"/>
      <c r="AD421" s="11"/>
      <c r="AE421" s="11"/>
      <c r="AF421" s="11"/>
      <c r="AG421" s="11"/>
      <c r="AH421" s="11"/>
      <c r="AI421" s="11"/>
      <c r="AJ421" s="11"/>
      <c r="AK421" s="79"/>
      <c r="AL421" s="45"/>
    </row>
    <row r="422" spans="2:38" x14ac:dyDescent="0.25">
      <c r="B422" s="88"/>
      <c r="C422" s="89"/>
      <c r="D422" s="89"/>
      <c r="E422" s="90"/>
      <c r="F422" s="72"/>
      <c r="G422" s="9"/>
      <c r="H422" s="74">
        <f t="shared" si="6"/>
        <v>14497900</v>
      </c>
      <c r="I422" s="35"/>
      <c r="J422" s="19"/>
      <c r="K422" s="19"/>
      <c r="L422" s="19"/>
      <c r="M422" s="19"/>
      <c r="N422" s="36"/>
      <c r="O422" s="2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5"/>
      <c r="AA422" s="15"/>
      <c r="AB422" s="15"/>
      <c r="AC422" s="15"/>
      <c r="AD422" s="11"/>
      <c r="AE422" s="11"/>
      <c r="AF422" s="11"/>
      <c r="AG422" s="11"/>
      <c r="AH422" s="11"/>
      <c r="AI422" s="11"/>
      <c r="AJ422" s="11"/>
      <c r="AK422" s="79"/>
      <c r="AL422" s="45"/>
    </row>
    <row r="423" spans="2:38" x14ac:dyDescent="0.25">
      <c r="B423" s="88"/>
      <c r="C423" s="89"/>
      <c r="D423" s="89"/>
      <c r="E423" s="90"/>
      <c r="F423" s="72"/>
      <c r="G423" s="9"/>
      <c r="H423" s="74">
        <f t="shared" si="6"/>
        <v>14497900</v>
      </c>
      <c r="I423" s="35"/>
      <c r="J423" s="19"/>
      <c r="K423" s="19"/>
      <c r="L423" s="19"/>
      <c r="M423" s="19"/>
      <c r="N423" s="36"/>
      <c r="O423" s="2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5"/>
      <c r="AA423" s="15"/>
      <c r="AB423" s="15"/>
      <c r="AC423" s="15"/>
      <c r="AD423" s="11"/>
      <c r="AE423" s="11"/>
      <c r="AF423" s="11"/>
      <c r="AG423" s="11"/>
      <c r="AH423" s="11"/>
      <c r="AI423" s="11"/>
      <c r="AJ423" s="11"/>
      <c r="AK423" s="79"/>
      <c r="AL423" s="45"/>
    </row>
    <row r="424" spans="2:38" x14ac:dyDescent="0.25">
      <c r="B424" s="88"/>
      <c r="C424" s="89"/>
      <c r="D424" s="89"/>
      <c r="E424" s="90"/>
      <c r="F424" s="72"/>
      <c r="G424" s="9"/>
      <c r="H424" s="74">
        <f t="shared" si="6"/>
        <v>14497900</v>
      </c>
      <c r="I424" s="35"/>
      <c r="J424" s="19"/>
      <c r="K424" s="19"/>
      <c r="L424" s="19"/>
      <c r="M424" s="19"/>
      <c r="N424" s="36"/>
      <c r="O424" s="22"/>
      <c r="P424" s="11"/>
      <c r="Q424" s="11"/>
      <c r="R424" s="11"/>
      <c r="S424" s="11"/>
      <c r="T424" s="14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79"/>
      <c r="AL424" s="45"/>
    </row>
    <row r="425" spans="2:38" x14ac:dyDescent="0.25">
      <c r="B425" s="88"/>
      <c r="C425" s="89"/>
      <c r="D425" s="89"/>
      <c r="E425" s="90"/>
      <c r="F425" s="72"/>
      <c r="G425" s="9"/>
      <c r="H425" s="74">
        <f t="shared" si="6"/>
        <v>14497900</v>
      </c>
      <c r="I425" s="35"/>
      <c r="J425" s="19"/>
      <c r="K425" s="19"/>
      <c r="L425" s="19"/>
      <c r="M425" s="19"/>
      <c r="N425" s="36"/>
      <c r="O425" s="2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79"/>
      <c r="AL425" s="45"/>
    </row>
    <row r="426" spans="2:38" x14ac:dyDescent="0.25">
      <c r="B426" s="88"/>
      <c r="C426" s="89"/>
      <c r="D426" s="89"/>
      <c r="E426" s="90"/>
      <c r="F426" s="72"/>
      <c r="G426" s="9"/>
      <c r="H426" s="74">
        <f t="shared" si="6"/>
        <v>14497900</v>
      </c>
      <c r="I426" s="35"/>
      <c r="J426" s="19"/>
      <c r="K426" s="19"/>
      <c r="L426" s="19"/>
      <c r="M426" s="19"/>
      <c r="N426" s="36"/>
      <c r="O426" s="2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79"/>
      <c r="AL426" s="45"/>
    </row>
    <row r="427" spans="2:38" x14ac:dyDescent="0.25">
      <c r="B427" s="88"/>
      <c r="C427" s="89"/>
      <c r="D427" s="89"/>
      <c r="E427" s="90"/>
      <c r="F427" s="72"/>
      <c r="G427" s="9"/>
      <c r="H427" s="74">
        <f t="shared" si="6"/>
        <v>14497900</v>
      </c>
      <c r="I427" s="35"/>
      <c r="J427" s="19"/>
      <c r="K427" s="19"/>
      <c r="L427" s="19"/>
      <c r="M427" s="19"/>
      <c r="N427" s="36"/>
      <c r="O427" s="2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79"/>
      <c r="AL427" s="45"/>
    </row>
    <row r="428" spans="2:38" x14ac:dyDescent="0.25">
      <c r="B428" s="88"/>
      <c r="C428" s="89"/>
      <c r="D428" s="89"/>
      <c r="E428" s="90"/>
      <c r="F428" s="72"/>
      <c r="G428" s="9"/>
      <c r="H428" s="74">
        <f t="shared" si="6"/>
        <v>14497900</v>
      </c>
      <c r="I428" s="35"/>
      <c r="J428" s="19"/>
      <c r="K428" s="19"/>
      <c r="L428" s="19"/>
      <c r="M428" s="19"/>
      <c r="N428" s="36"/>
      <c r="O428" s="2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79"/>
      <c r="AL428" s="45"/>
    </row>
    <row r="429" spans="2:38" x14ac:dyDescent="0.25">
      <c r="B429" s="88"/>
      <c r="C429" s="89"/>
      <c r="D429" s="89"/>
      <c r="E429" s="90"/>
      <c r="F429" s="72"/>
      <c r="G429" s="9"/>
      <c r="H429" s="74">
        <f t="shared" si="6"/>
        <v>14497900</v>
      </c>
      <c r="I429" s="35"/>
      <c r="J429" s="19"/>
      <c r="K429" s="19"/>
      <c r="L429" s="19"/>
      <c r="M429" s="19"/>
      <c r="N429" s="36"/>
      <c r="O429" s="2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79"/>
      <c r="AL429" s="45"/>
    </row>
    <row r="430" spans="2:38" x14ac:dyDescent="0.25">
      <c r="B430" s="88"/>
      <c r="C430" s="89"/>
      <c r="D430" s="89"/>
      <c r="E430" s="90"/>
      <c r="F430" s="72"/>
      <c r="G430" s="9"/>
      <c r="H430" s="74">
        <f t="shared" si="6"/>
        <v>14497900</v>
      </c>
      <c r="I430" s="35"/>
      <c r="J430" s="19"/>
      <c r="K430" s="19"/>
      <c r="L430" s="19"/>
      <c r="M430" s="19"/>
      <c r="N430" s="36"/>
      <c r="O430" s="2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79"/>
      <c r="AL430" s="45"/>
    </row>
    <row r="431" spans="2:38" x14ac:dyDescent="0.25">
      <c r="B431" s="88"/>
      <c r="C431" s="89"/>
      <c r="D431" s="89"/>
      <c r="E431" s="90"/>
      <c r="F431" s="72"/>
      <c r="G431" s="9"/>
      <c r="H431" s="74">
        <f t="shared" si="6"/>
        <v>14497900</v>
      </c>
      <c r="I431" s="35"/>
      <c r="J431" s="19"/>
      <c r="K431" s="19"/>
      <c r="L431" s="19"/>
      <c r="M431" s="19"/>
      <c r="N431" s="36"/>
      <c r="O431" s="2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79"/>
      <c r="AL431" s="45"/>
    </row>
    <row r="432" spans="2:38" x14ac:dyDescent="0.25">
      <c r="B432" s="88"/>
      <c r="C432" s="89"/>
      <c r="D432" s="89"/>
      <c r="E432" s="90"/>
      <c r="F432" s="72"/>
      <c r="G432" s="9"/>
      <c r="H432" s="74">
        <f t="shared" si="6"/>
        <v>14497900</v>
      </c>
      <c r="I432" s="35"/>
      <c r="J432" s="19"/>
      <c r="K432" s="19"/>
      <c r="L432" s="19"/>
      <c r="M432" s="19"/>
      <c r="N432" s="36"/>
      <c r="O432" s="2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79"/>
      <c r="AL432" s="45"/>
    </row>
    <row r="433" spans="2:38" x14ac:dyDescent="0.25">
      <c r="B433" s="88"/>
      <c r="C433" s="89"/>
      <c r="D433" s="89"/>
      <c r="E433" s="90"/>
      <c r="F433" s="72"/>
      <c r="G433" s="9"/>
      <c r="H433" s="74">
        <f t="shared" si="6"/>
        <v>14497900</v>
      </c>
      <c r="I433" s="35"/>
      <c r="J433" s="19"/>
      <c r="K433" s="19"/>
      <c r="L433" s="19"/>
      <c r="M433" s="19"/>
      <c r="N433" s="36"/>
      <c r="O433" s="22"/>
      <c r="P433" s="11"/>
      <c r="Q433" s="14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79"/>
      <c r="AL433" s="45"/>
    </row>
    <row r="434" spans="2:38" x14ac:dyDescent="0.25">
      <c r="B434" s="88"/>
      <c r="C434" s="89"/>
      <c r="D434" s="89"/>
      <c r="E434" s="90"/>
      <c r="F434" s="72"/>
      <c r="G434" s="9"/>
      <c r="H434" s="74">
        <f t="shared" si="6"/>
        <v>14497900</v>
      </c>
      <c r="I434" s="35"/>
      <c r="J434" s="19"/>
      <c r="K434" s="19"/>
      <c r="L434" s="19"/>
      <c r="M434" s="19"/>
      <c r="N434" s="36"/>
      <c r="O434" s="22"/>
      <c r="P434" s="14"/>
      <c r="Q434" s="14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79"/>
      <c r="AL434" s="45"/>
    </row>
    <row r="435" spans="2:38" x14ac:dyDescent="0.25">
      <c r="B435" s="88"/>
      <c r="C435" s="89"/>
      <c r="D435" s="89"/>
      <c r="E435" s="90"/>
      <c r="F435" s="72"/>
      <c r="G435" s="9"/>
      <c r="H435" s="74">
        <f t="shared" si="6"/>
        <v>14497900</v>
      </c>
      <c r="I435" s="35"/>
      <c r="J435" s="19"/>
      <c r="K435" s="19"/>
      <c r="L435" s="19"/>
      <c r="M435" s="19"/>
      <c r="N435" s="36"/>
      <c r="O435" s="2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79"/>
      <c r="AL435" s="45"/>
    </row>
    <row r="436" spans="2:38" x14ac:dyDescent="0.25">
      <c r="B436" s="88"/>
      <c r="C436" s="89"/>
      <c r="D436" s="89"/>
      <c r="E436" s="90"/>
      <c r="F436" s="72"/>
      <c r="G436" s="9"/>
      <c r="H436" s="74">
        <f t="shared" si="6"/>
        <v>14497900</v>
      </c>
      <c r="I436" s="35"/>
      <c r="J436" s="19"/>
      <c r="K436" s="19"/>
      <c r="L436" s="19"/>
      <c r="M436" s="19"/>
      <c r="N436" s="36"/>
      <c r="O436" s="22"/>
      <c r="P436" s="11"/>
      <c r="Q436" s="11"/>
      <c r="R436" s="11"/>
      <c r="S436" s="11"/>
      <c r="T436" s="11"/>
      <c r="U436" s="11"/>
      <c r="V436" s="14"/>
      <c r="W436" s="14"/>
      <c r="X436" s="15"/>
      <c r="Y436" s="11"/>
      <c r="Z436" s="11"/>
      <c r="AA436" s="11"/>
      <c r="AB436" s="11"/>
      <c r="AC436" s="11"/>
      <c r="AD436" s="11"/>
      <c r="AE436" s="11"/>
      <c r="AF436" s="15"/>
      <c r="AG436" s="11"/>
      <c r="AH436" s="11"/>
      <c r="AI436" s="11"/>
      <c r="AJ436" s="11"/>
      <c r="AK436" s="79"/>
      <c r="AL436" s="45"/>
    </row>
    <row r="437" spans="2:38" x14ac:dyDescent="0.25">
      <c r="B437" s="88"/>
      <c r="C437" s="89"/>
      <c r="D437" s="89"/>
      <c r="E437" s="90"/>
      <c r="F437" s="72"/>
      <c r="G437" s="9"/>
      <c r="H437" s="74">
        <f t="shared" si="6"/>
        <v>14497900</v>
      </c>
      <c r="I437" s="35"/>
      <c r="J437" s="19"/>
      <c r="K437" s="19"/>
      <c r="L437" s="19"/>
      <c r="M437" s="19"/>
      <c r="N437" s="36"/>
      <c r="O437" s="3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5"/>
      <c r="AG437" s="11"/>
      <c r="AH437" s="11"/>
      <c r="AI437" s="11"/>
      <c r="AJ437" s="11"/>
      <c r="AK437" s="79"/>
      <c r="AL437" s="45"/>
    </row>
    <row r="438" spans="2:38" x14ac:dyDescent="0.25">
      <c r="B438" s="88"/>
      <c r="C438" s="89"/>
      <c r="D438" s="89"/>
      <c r="E438" s="90"/>
      <c r="F438" s="72"/>
      <c r="G438" s="9"/>
      <c r="H438" s="74">
        <f t="shared" si="6"/>
        <v>14497900</v>
      </c>
      <c r="I438" s="35"/>
      <c r="J438" s="19"/>
      <c r="K438" s="19"/>
      <c r="L438" s="19"/>
      <c r="M438" s="19"/>
      <c r="N438" s="36"/>
      <c r="O438" s="3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5"/>
      <c r="AG438" s="11"/>
      <c r="AH438" s="11"/>
      <c r="AI438" s="11"/>
      <c r="AJ438" s="11"/>
      <c r="AK438" s="79"/>
      <c r="AL438" s="45"/>
    </row>
    <row r="439" spans="2:38" x14ac:dyDescent="0.25">
      <c r="B439" s="88"/>
      <c r="C439" s="89"/>
      <c r="D439" s="89"/>
      <c r="E439" s="90"/>
      <c r="F439" s="72"/>
      <c r="G439" s="9"/>
      <c r="H439" s="74">
        <f t="shared" si="6"/>
        <v>14497900</v>
      </c>
      <c r="I439" s="35"/>
      <c r="J439" s="19"/>
      <c r="K439" s="19"/>
      <c r="L439" s="19"/>
      <c r="M439" s="19"/>
      <c r="N439" s="36"/>
      <c r="O439" s="22"/>
      <c r="P439" s="11"/>
      <c r="Q439" s="14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5"/>
      <c r="AG439" s="11"/>
      <c r="AH439" s="11"/>
      <c r="AI439" s="11"/>
      <c r="AJ439" s="11"/>
      <c r="AK439" s="79"/>
      <c r="AL439" s="45"/>
    </row>
    <row r="440" spans="2:38" x14ac:dyDescent="0.25">
      <c r="B440" s="88"/>
      <c r="C440" s="89"/>
      <c r="D440" s="89"/>
      <c r="E440" s="90"/>
      <c r="F440" s="72"/>
      <c r="G440" s="9"/>
      <c r="H440" s="74">
        <f t="shared" si="6"/>
        <v>14497900</v>
      </c>
      <c r="I440" s="35"/>
      <c r="J440" s="19"/>
      <c r="K440" s="19"/>
      <c r="L440" s="19"/>
      <c r="M440" s="19"/>
      <c r="N440" s="36"/>
      <c r="O440" s="22"/>
      <c r="P440" s="11"/>
      <c r="Q440" s="14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79"/>
      <c r="AL440" s="45"/>
    </row>
    <row r="441" spans="2:38" x14ac:dyDescent="0.25">
      <c r="B441" s="88"/>
      <c r="C441" s="89"/>
      <c r="D441" s="89"/>
      <c r="E441" s="90"/>
      <c r="F441" s="72"/>
      <c r="G441" s="9"/>
      <c r="H441" s="74">
        <f t="shared" si="6"/>
        <v>14497900</v>
      </c>
      <c r="I441" s="35"/>
      <c r="J441" s="19"/>
      <c r="K441" s="19"/>
      <c r="L441" s="19"/>
      <c r="M441" s="19"/>
      <c r="N441" s="36"/>
      <c r="O441" s="22"/>
      <c r="P441" s="11"/>
      <c r="Q441" s="14"/>
      <c r="R441" s="11"/>
      <c r="S441" s="11"/>
      <c r="T441" s="11"/>
      <c r="U441" s="11"/>
      <c r="V441" s="11"/>
      <c r="W441" s="11"/>
      <c r="X441" s="11"/>
      <c r="Y441" s="11"/>
      <c r="Z441" s="14"/>
      <c r="AA441" s="14"/>
      <c r="AB441" s="14"/>
      <c r="AC441" s="14"/>
      <c r="AD441" s="11"/>
      <c r="AE441" s="11"/>
      <c r="AF441" s="11"/>
      <c r="AG441" s="11"/>
      <c r="AH441" s="11"/>
      <c r="AI441" s="11"/>
      <c r="AJ441" s="11"/>
      <c r="AK441" s="79"/>
      <c r="AL441" s="45"/>
    </row>
    <row r="442" spans="2:38" x14ac:dyDescent="0.25">
      <c r="B442" s="88"/>
      <c r="C442" s="89"/>
      <c r="D442" s="89"/>
      <c r="E442" s="90"/>
      <c r="F442" s="72"/>
      <c r="G442" s="9"/>
      <c r="H442" s="74">
        <f t="shared" si="6"/>
        <v>14497900</v>
      </c>
      <c r="I442" s="35"/>
      <c r="J442" s="19"/>
      <c r="K442" s="19"/>
      <c r="L442" s="19"/>
      <c r="M442" s="19"/>
      <c r="N442" s="36"/>
      <c r="O442" s="2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79"/>
      <c r="AL442" s="45"/>
    </row>
    <row r="443" spans="2:38" x14ac:dyDescent="0.25">
      <c r="B443" s="88"/>
      <c r="C443" s="89"/>
      <c r="D443" s="89"/>
      <c r="E443" s="90"/>
      <c r="F443" s="72"/>
      <c r="G443" s="9"/>
      <c r="H443" s="74">
        <f t="shared" si="6"/>
        <v>14497900</v>
      </c>
      <c r="I443" s="35"/>
      <c r="J443" s="19"/>
      <c r="K443" s="19"/>
      <c r="L443" s="19"/>
      <c r="M443" s="19"/>
      <c r="N443" s="36"/>
      <c r="O443" s="2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79"/>
      <c r="AL443" s="45"/>
    </row>
    <row r="444" spans="2:38" x14ac:dyDescent="0.25">
      <c r="B444" s="88"/>
      <c r="C444" s="89"/>
      <c r="D444" s="89"/>
      <c r="E444" s="90"/>
      <c r="F444" s="72"/>
      <c r="G444" s="9"/>
      <c r="H444" s="74">
        <f t="shared" si="6"/>
        <v>14497900</v>
      </c>
      <c r="I444" s="35"/>
      <c r="J444" s="19"/>
      <c r="K444" s="19"/>
      <c r="L444" s="19"/>
      <c r="M444" s="19"/>
      <c r="N444" s="36"/>
      <c r="O444" s="22"/>
      <c r="P444" s="14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79"/>
      <c r="AL444" s="45"/>
    </row>
    <row r="445" spans="2:38" x14ac:dyDescent="0.25">
      <c r="B445" s="88"/>
      <c r="C445" s="89"/>
      <c r="D445" s="89"/>
      <c r="E445" s="90"/>
      <c r="F445" s="72"/>
      <c r="G445" s="9"/>
      <c r="H445" s="74">
        <f t="shared" si="6"/>
        <v>14497900</v>
      </c>
      <c r="I445" s="35"/>
      <c r="J445" s="19"/>
      <c r="K445" s="19"/>
      <c r="L445" s="19"/>
      <c r="M445" s="19"/>
      <c r="N445" s="36"/>
      <c r="O445" s="22"/>
      <c r="P445" s="14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79"/>
      <c r="AL445" s="45"/>
    </row>
    <row r="446" spans="2:38" x14ac:dyDescent="0.25">
      <c r="B446" s="88"/>
      <c r="C446" s="89"/>
      <c r="D446" s="89"/>
      <c r="E446" s="90"/>
      <c r="F446" s="72"/>
      <c r="G446" s="9"/>
      <c r="H446" s="74">
        <f t="shared" si="6"/>
        <v>14497900</v>
      </c>
      <c r="I446" s="35"/>
      <c r="J446" s="19"/>
      <c r="K446" s="19"/>
      <c r="L446" s="19"/>
      <c r="M446" s="19"/>
      <c r="N446" s="36"/>
      <c r="O446" s="2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79"/>
      <c r="AL446" s="45"/>
    </row>
    <row r="447" spans="2:38" x14ac:dyDescent="0.25">
      <c r="B447" s="88"/>
      <c r="C447" s="89"/>
      <c r="D447" s="89"/>
      <c r="E447" s="90"/>
      <c r="F447" s="72"/>
      <c r="G447" s="9"/>
      <c r="H447" s="74">
        <f t="shared" si="6"/>
        <v>14497900</v>
      </c>
      <c r="I447" s="35"/>
      <c r="J447" s="19"/>
      <c r="K447" s="19"/>
      <c r="L447" s="19"/>
      <c r="M447" s="19"/>
      <c r="N447" s="36"/>
      <c r="O447" s="2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79"/>
      <c r="AL447" s="45"/>
    </row>
    <row r="448" spans="2:38" x14ac:dyDescent="0.25">
      <c r="B448" s="88"/>
      <c r="C448" s="89"/>
      <c r="D448" s="89"/>
      <c r="E448" s="90"/>
      <c r="F448" s="72"/>
      <c r="G448" s="9"/>
      <c r="H448" s="74">
        <f t="shared" si="6"/>
        <v>14497900</v>
      </c>
      <c r="I448" s="35"/>
      <c r="J448" s="19"/>
      <c r="K448" s="19"/>
      <c r="L448" s="19"/>
      <c r="M448" s="19"/>
      <c r="N448" s="36"/>
      <c r="O448" s="2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79"/>
      <c r="AL448" s="45"/>
    </row>
    <row r="449" spans="2:38" x14ac:dyDescent="0.25">
      <c r="B449" s="88"/>
      <c r="C449" s="89"/>
      <c r="D449" s="89"/>
      <c r="E449" s="90"/>
      <c r="F449" s="72"/>
      <c r="G449" s="9"/>
      <c r="H449" s="74">
        <f t="shared" si="6"/>
        <v>14497900</v>
      </c>
      <c r="I449" s="35"/>
      <c r="J449" s="19"/>
      <c r="K449" s="19"/>
      <c r="L449" s="19"/>
      <c r="M449" s="19"/>
      <c r="N449" s="36"/>
      <c r="O449" s="2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79"/>
      <c r="AL449" s="45"/>
    </row>
    <row r="450" spans="2:38" x14ac:dyDescent="0.25">
      <c r="B450" s="88"/>
      <c r="C450" s="89"/>
      <c r="D450" s="89"/>
      <c r="E450" s="90"/>
      <c r="F450" s="72"/>
      <c r="G450" s="9"/>
      <c r="H450" s="74">
        <f t="shared" si="6"/>
        <v>14497900</v>
      </c>
      <c r="I450" s="35"/>
      <c r="J450" s="19"/>
      <c r="K450" s="19"/>
      <c r="L450" s="19"/>
      <c r="M450" s="19"/>
      <c r="N450" s="36"/>
      <c r="O450" s="2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79"/>
      <c r="AL450" s="45"/>
    </row>
    <row r="451" spans="2:38" x14ac:dyDescent="0.25">
      <c r="B451" s="88"/>
      <c r="C451" s="89"/>
      <c r="D451" s="89"/>
      <c r="E451" s="90"/>
      <c r="F451" s="72"/>
      <c r="G451" s="9"/>
      <c r="H451" s="74">
        <f t="shared" si="6"/>
        <v>14497900</v>
      </c>
      <c r="I451" s="35"/>
      <c r="J451" s="19"/>
      <c r="K451" s="19"/>
      <c r="L451" s="19"/>
      <c r="M451" s="19"/>
      <c r="N451" s="36"/>
      <c r="O451" s="2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79"/>
      <c r="AL451" s="45"/>
    </row>
    <row r="452" spans="2:38" x14ac:dyDescent="0.25">
      <c r="B452" s="88"/>
      <c r="C452" s="89"/>
      <c r="D452" s="89"/>
      <c r="E452" s="90"/>
      <c r="F452" s="72"/>
      <c r="G452" s="9"/>
      <c r="H452" s="74">
        <f t="shared" si="6"/>
        <v>14497900</v>
      </c>
      <c r="I452" s="35"/>
      <c r="J452" s="19"/>
      <c r="K452" s="19"/>
      <c r="L452" s="19"/>
      <c r="M452" s="19"/>
      <c r="N452" s="36"/>
      <c r="O452" s="22"/>
      <c r="P452" s="11"/>
      <c r="Q452" s="14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79"/>
      <c r="AL452" s="45"/>
    </row>
    <row r="453" spans="2:38" x14ac:dyDescent="0.25">
      <c r="B453" s="88"/>
      <c r="C453" s="89"/>
      <c r="D453" s="89"/>
      <c r="E453" s="90"/>
      <c r="F453" s="72"/>
      <c r="G453" s="9"/>
      <c r="H453" s="74">
        <f t="shared" si="6"/>
        <v>14497900</v>
      </c>
      <c r="I453" s="35"/>
      <c r="J453" s="19"/>
      <c r="K453" s="19"/>
      <c r="L453" s="19"/>
      <c r="M453" s="19"/>
      <c r="N453" s="36"/>
      <c r="O453" s="22"/>
      <c r="P453" s="11"/>
      <c r="Q453" s="11"/>
      <c r="R453" s="11"/>
      <c r="S453" s="11"/>
      <c r="T453" s="14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79"/>
      <c r="AL453" s="45"/>
    </row>
    <row r="454" spans="2:38" x14ac:dyDescent="0.25">
      <c r="B454" s="88"/>
      <c r="C454" s="89"/>
      <c r="D454" s="89"/>
      <c r="E454" s="90"/>
      <c r="F454" s="72"/>
      <c r="G454" s="9"/>
      <c r="H454" s="74">
        <f t="shared" si="6"/>
        <v>14497900</v>
      </c>
      <c r="I454" s="35"/>
      <c r="J454" s="19"/>
      <c r="K454" s="19"/>
      <c r="L454" s="19"/>
      <c r="M454" s="19"/>
      <c r="N454" s="36"/>
      <c r="O454" s="22"/>
      <c r="P454" s="11"/>
      <c r="Q454" s="11"/>
      <c r="R454" s="11"/>
      <c r="S454" s="11"/>
      <c r="T454" s="14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5"/>
      <c r="AI454" s="15"/>
      <c r="AJ454" s="15"/>
      <c r="AK454" s="82"/>
      <c r="AL454" s="45"/>
    </row>
    <row r="455" spans="2:38" x14ac:dyDescent="0.25">
      <c r="B455" s="88"/>
      <c r="C455" s="89"/>
      <c r="D455" s="89"/>
      <c r="E455" s="90"/>
      <c r="F455" s="72"/>
      <c r="G455" s="9"/>
      <c r="H455" s="74">
        <f t="shared" si="6"/>
        <v>14497900</v>
      </c>
      <c r="I455" s="35"/>
      <c r="J455" s="19"/>
      <c r="K455" s="19"/>
      <c r="L455" s="19"/>
      <c r="M455" s="19"/>
      <c r="N455" s="36"/>
      <c r="O455" s="2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79"/>
      <c r="AL455" s="45"/>
    </row>
    <row r="456" spans="2:38" x14ac:dyDescent="0.25">
      <c r="B456" s="88"/>
      <c r="C456" s="89"/>
      <c r="D456" s="89"/>
      <c r="E456" s="90"/>
      <c r="F456" s="72"/>
      <c r="G456" s="9"/>
      <c r="H456" s="74">
        <f t="shared" si="6"/>
        <v>14497900</v>
      </c>
      <c r="I456" s="35"/>
      <c r="J456" s="19"/>
      <c r="K456" s="19"/>
      <c r="L456" s="19"/>
      <c r="M456" s="19"/>
      <c r="N456" s="36"/>
      <c r="O456" s="2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79"/>
      <c r="AL456" s="45"/>
    </row>
    <row r="457" spans="2:38" x14ac:dyDescent="0.25">
      <c r="B457" s="88"/>
      <c r="C457" s="89"/>
      <c r="D457" s="89"/>
      <c r="E457" s="90"/>
      <c r="F457" s="72"/>
      <c r="G457" s="9"/>
      <c r="H457" s="74">
        <f t="shared" si="6"/>
        <v>14497900</v>
      </c>
      <c r="I457" s="35"/>
      <c r="J457" s="19"/>
      <c r="K457" s="19"/>
      <c r="L457" s="19"/>
      <c r="M457" s="19"/>
      <c r="N457" s="36"/>
      <c r="O457" s="2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5"/>
      <c r="AI457" s="15"/>
      <c r="AJ457" s="15"/>
      <c r="AK457" s="82"/>
      <c r="AL457" s="45"/>
    </row>
    <row r="458" spans="2:38" x14ac:dyDescent="0.25">
      <c r="B458" s="88"/>
      <c r="C458" s="89"/>
      <c r="D458" s="89"/>
      <c r="E458" s="90"/>
      <c r="F458" s="72"/>
      <c r="G458" s="9"/>
      <c r="H458" s="74">
        <f t="shared" si="6"/>
        <v>14497900</v>
      </c>
      <c r="I458" s="35"/>
      <c r="J458" s="19"/>
      <c r="K458" s="19"/>
      <c r="L458" s="19"/>
      <c r="M458" s="19"/>
      <c r="N458" s="36"/>
      <c r="O458" s="22"/>
      <c r="P458" s="15"/>
      <c r="Q458" s="11"/>
      <c r="R458" s="11"/>
      <c r="S458" s="11"/>
      <c r="T458" s="11"/>
      <c r="U458" s="11"/>
      <c r="V458" s="14"/>
      <c r="W458" s="14"/>
      <c r="X458" s="15"/>
      <c r="Y458" s="11"/>
      <c r="Z458" s="11"/>
      <c r="AA458" s="11"/>
      <c r="AB458" s="11"/>
      <c r="AC458" s="11"/>
      <c r="AD458" s="11"/>
      <c r="AE458" s="11"/>
      <c r="AF458" s="11"/>
      <c r="AG458" s="11"/>
      <c r="AH458" s="14"/>
      <c r="AI458" s="14"/>
      <c r="AJ458" s="14"/>
      <c r="AK458" s="80"/>
      <c r="AL458" s="45"/>
    </row>
    <row r="459" spans="2:38" x14ac:dyDescent="0.25">
      <c r="B459" s="88"/>
      <c r="C459" s="89"/>
      <c r="D459" s="89"/>
      <c r="E459" s="90"/>
      <c r="F459" s="72"/>
      <c r="G459" s="9"/>
      <c r="H459" s="74">
        <f t="shared" si="6"/>
        <v>14497900</v>
      </c>
      <c r="I459" s="35"/>
      <c r="J459" s="19"/>
      <c r="K459" s="19"/>
      <c r="L459" s="19"/>
      <c r="M459" s="19"/>
      <c r="N459" s="36"/>
      <c r="O459" s="22"/>
      <c r="P459" s="11"/>
      <c r="Q459" s="14"/>
      <c r="R459" s="11"/>
      <c r="S459" s="11"/>
      <c r="T459" s="11"/>
      <c r="U459" s="11"/>
      <c r="V459" s="11"/>
      <c r="W459" s="11"/>
      <c r="X459" s="15"/>
      <c r="Y459" s="11"/>
      <c r="Z459" s="14"/>
      <c r="AA459" s="14"/>
      <c r="AB459" s="14"/>
      <c r="AC459" s="14"/>
      <c r="AD459" s="11"/>
      <c r="AE459" s="11"/>
      <c r="AF459" s="11"/>
      <c r="AG459" s="11"/>
      <c r="AH459" s="14"/>
      <c r="AI459" s="14"/>
      <c r="AJ459" s="14"/>
      <c r="AK459" s="80"/>
      <c r="AL459" s="45"/>
    </row>
    <row r="460" spans="2:38" x14ac:dyDescent="0.25">
      <c r="B460" s="88"/>
      <c r="C460" s="89"/>
      <c r="D460" s="89"/>
      <c r="E460" s="90"/>
      <c r="F460" s="72"/>
      <c r="G460" s="9"/>
      <c r="H460" s="74">
        <f t="shared" si="6"/>
        <v>14497900</v>
      </c>
      <c r="I460" s="35"/>
      <c r="J460" s="19"/>
      <c r="K460" s="19"/>
      <c r="L460" s="19"/>
      <c r="M460" s="19"/>
      <c r="N460" s="36"/>
      <c r="O460" s="22"/>
      <c r="P460" s="14"/>
      <c r="Q460" s="14"/>
      <c r="R460" s="11"/>
      <c r="S460" s="11"/>
      <c r="T460" s="11"/>
      <c r="U460" s="11"/>
      <c r="V460" s="11"/>
      <c r="W460" s="11"/>
      <c r="X460" s="11"/>
      <c r="Y460" s="11"/>
      <c r="Z460" s="14"/>
      <c r="AA460" s="14"/>
      <c r="AB460" s="14"/>
      <c r="AC460" s="14"/>
      <c r="AD460" s="11"/>
      <c r="AE460" s="11"/>
      <c r="AF460" s="11"/>
      <c r="AG460" s="11"/>
      <c r="AH460" s="14"/>
      <c r="AI460" s="14"/>
      <c r="AJ460" s="14"/>
      <c r="AK460" s="80"/>
      <c r="AL460" s="45"/>
    </row>
    <row r="461" spans="2:38" x14ac:dyDescent="0.25">
      <c r="B461" s="88"/>
      <c r="C461" s="89"/>
      <c r="D461" s="89"/>
      <c r="E461" s="90"/>
      <c r="F461" s="72"/>
      <c r="G461" s="9"/>
      <c r="H461" s="74">
        <f t="shared" si="6"/>
        <v>14497900</v>
      </c>
      <c r="I461" s="35"/>
      <c r="J461" s="19"/>
      <c r="K461" s="19"/>
      <c r="L461" s="19"/>
      <c r="M461" s="19"/>
      <c r="N461" s="36"/>
      <c r="O461" s="2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4"/>
      <c r="AI461" s="14"/>
      <c r="AJ461" s="14"/>
      <c r="AK461" s="80"/>
      <c r="AL461" s="45"/>
    </row>
    <row r="462" spans="2:38" x14ac:dyDescent="0.25">
      <c r="B462" s="88"/>
      <c r="C462" s="89"/>
      <c r="D462" s="89"/>
      <c r="E462" s="90"/>
      <c r="F462" s="72"/>
      <c r="G462" s="9"/>
      <c r="H462" s="74">
        <f t="shared" si="6"/>
        <v>14497900</v>
      </c>
      <c r="I462" s="35"/>
      <c r="J462" s="19"/>
      <c r="K462" s="19"/>
      <c r="L462" s="19"/>
      <c r="M462" s="19"/>
      <c r="N462" s="36"/>
      <c r="O462" s="2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5"/>
      <c r="AI462" s="15"/>
      <c r="AJ462" s="15"/>
      <c r="AK462" s="82"/>
      <c r="AL462" s="45"/>
    </row>
    <row r="463" spans="2:38" x14ac:dyDescent="0.25">
      <c r="B463" s="88"/>
      <c r="C463" s="89"/>
      <c r="D463" s="89"/>
      <c r="E463" s="90"/>
      <c r="F463" s="72"/>
      <c r="G463" s="9"/>
      <c r="H463" s="74">
        <f t="shared" si="6"/>
        <v>14497900</v>
      </c>
      <c r="I463" s="35"/>
      <c r="J463" s="19"/>
      <c r="K463" s="19"/>
      <c r="L463" s="19"/>
      <c r="M463" s="19"/>
      <c r="N463" s="36"/>
      <c r="O463" s="22"/>
      <c r="P463" s="14"/>
      <c r="Q463" s="14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5"/>
      <c r="AC463" s="11"/>
      <c r="AD463" s="11"/>
      <c r="AE463" s="11"/>
      <c r="AF463" s="11"/>
      <c r="AG463" s="11"/>
      <c r="AH463" s="11"/>
      <c r="AI463" s="11"/>
      <c r="AJ463" s="11"/>
      <c r="AK463" s="79"/>
      <c r="AL463" s="45"/>
    </row>
    <row r="464" spans="2:38" x14ac:dyDescent="0.25">
      <c r="B464" s="88"/>
      <c r="C464" s="89"/>
      <c r="D464" s="89"/>
      <c r="E464" s="90"/>
      <c r="F464" s="72"/>
      <c r="G464" s="9"/>
      <c r="H464" s="74">
        <f t="shared" si="6"/>
        <v>14497900</v>
      </c>
      <c r="I464" s="35"/>
      <c r="J464" s="19"/>
      <c r="K464" s="19"/>
      <c r="L464" s="19"/>
      <c r="M464" s="19"/>
      <c r="N464" s="36"/>
      <c r="O464" s="22"/>
      <c r="P464" s="14"/>
      <c r="Q464" s="14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5"/>
      <c r="AC464" s="11"/>
      <c r="AD464" s="11"/>
      <c r="AE464" s="11"/>
      <c r="AF464" s="11"/>
      <c r="AG464" s="11"/>
      <c r="AH464" s="11"/>
      <c r="AI464" s="11"/>
      <c r="AJ464" s="11"/>
      <c r="AK464" s="79"/>
      <c r="AL464" s="45"/>
    </row>
    <row r="465" spans="2:38" x14ac:dyDescent="0.25">
      <c r="B465" s="88"/>
      <c r="C465" s="89"/>
      <c r="D465" s="89"/>
      <c r="E465" s="90"/>
      <c r="F465" s="72"/>
      <c r="G465" s="9"/>
      <c r="H465" s="74">
        <f t="shared" si="6"/>
        <v>14497900</v>
      </c>
      <c r="I465" s="35"/>
      <c r="J465" s="19"/>
      <c r="K465" s="19"/>
      <c r="L465" s="19"/>
      <c r="M465" s="19"/>
      <c r="N465" s="36"/>
      <c r="O465" s="2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5"/>
      <c r="AH465" s="15"/>
      <c r="AI465" s="15"/>
      <c r="AJ465" s="15"/>
      <c r="AK465" s="82"/>
      <c r="AL465" s="45"/>
    </row>
    <row r="466" spans="2:38" x14ac:dyDescent="0.25">
      <c r="B466" s="88"/>
      <c r="C466" s="89"/>
      <c r="D466" s="89"/>
      <c r="E466" s="90"/>
      <c r="F466" s="72"/>
      <c r="G466" s="9"/>
      <c r="H466" s="74">
        <f t="shared" ref="H466:H529" si="7">H465+F466-G466</f>
        <v>14497900</v>
      </c>
      <c r="I466" s="35"/>
      <c r="J466" s="19"/>
      <c r="K466" s="19"/>
      <c r="L466" s="19"/>
      <c r="M466" s="19"/>
      <c r="N466" s="36"/>
      <c r="O466" s="2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4"/>
      <c r="AH466" s="11"/>
      <c r="AI466" s="11"/>
      <c r="AJ466" s="11"/>
      <c r="AK466" s="79"/>
      <c r="AL466" s="45"/>
    </row>
    <row r="467" spans="2:38" x14ac:dyDescent="0.25">
      <c r="B467" s="88"/>
      <c r="C467" s="89"/>
      <c r="D467" s="89"/>
      <c r="E467" s="90"/>
      <c r="F467" s="72"/>
      <c r="G467" s="9"/>
      <c r="H467" s="74">
        <f t="shared" si="7"/>
        <v>14497900</v>
      </c>
      <c r="I467" s="35"/>
      <c r="J467" s="19"/>
      <c r="K467" s="19"/>
      <c r="L467" s="19"/>
      <c r="M467" s="19"/>
      <c r="N467" s="36"/>
      <c r="O467" s="2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4"/>
      <c r="AH467" s="11"/>
      <c r="AI467" s="11"/>
      <c r="AJ467" s="11"/>
      <c r="AK467" s="79"/>
      <c r="AL467" s="45"/>
    </row>
    <row r="468" spans="2:38" x14ac:dyDescent="0.25">
      <c r="B468" s="88"/>
      <c r="C468" s="89"/>
      <c r="D468" s="89"/>
      <c r="E468" s="90"/>
      <c r="F468" s="72"/>
      <c r="G468" s="9"/>
      <c r="H468" s="74">
        <f t="shared" si="7"/>
        <v>14497900</v>
      </c>
      <c r="I468" s="35"/>
      <c r="J468" s="19"/>
      <c r="K468" s="19"/>
      <c r="L468" s="19"/>
      <c r="M468" s="19"/>
      <c r="N468" s="36"/>
      <c r="O468" s="2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4"/>
      <c r="AH468" s="11"/>
      <c r="AI468" s="11"/>
      <c r="AJ468" s="11"/>
      <c r="AK468" s="79"/>
      <c r="AL468" s="45"/>
    </row>
    <row r="469" spans="2:38" x14ac:dyDescent="0.25">
      <c r="B469" s="88"/>
      <c r="C469" s="89"/>
      <c r="D469" s="89"/>
      <c r="E469" s="90"/>
      <c r="F469" s="72"/>
      <c r="G469" s="9"/>
      <c r="H469" s="74">
        <f t="shared" si="7"/>
        <v>14497900</v>
      </c>
      <c r="I469" s="35"/>
      <c r="J469" s="19"/>
      <c r="K469" s="19"/>
      <c r="L469" s="19"/>
      <c r="M469" s="19"/>
      <c r="N469" s="36"/>
      <c r="O469" s="2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79"/>
      <c r="AL469" s="45"/>
    </row>
    <row r="470" spans="2:38" x14ac:dyDescent="0.25">
      <c r="B470" s="88"/>
      <c r="C470" s="89"/>
      <c r="D470" s="89"/>
      <c r="E470" s="90"/>
      <c r="F470" s="72"/>
      <c r="G470" s="9"/>
      <c r="H470" s="74">
        <f t="shared" si="7"/>
        <v>14497900</v>
      </c>
      <c r="I470" s="35"/>
      <c r="J470" s="19"/>
      <c r="K470" s="19"/>
      <c r="L470" s="19"/>
      <c r="M470" s="19"/>
      <c r="N470" s="36"/>
      <c r="O470" s="2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79"/>
      <c r="AL470" s="45"/>
    </row>
    <row r="471" spans="2:38" x14ac:dyDescent="0.25">
      <c r="B471" s="88"/>
      <c r="C471" s="89"/>
      <c r="D471" s="89"/>
      <c r="E471" s="90"/>
      <c r="F471" s="72"/>
      <c r="G471" s="9"/>
      <c r="H471" s="74">
        <f t="shared" si="7"/>
        <v>14497900</v>
      </c>
      <c r="I471" s="35"/>
      <c r="J471" s="19"/>
      <c r="K471" s="19"/>
      <c r="L471" s="19"/>
      <c r="M471" s="19"/>
      <c r="N471" s="36"/>
      <c r="O471" s="2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79"/>
      <c r="AL471" s="45"/>
    </row>
    <row r="472" spans="2:38" x14ac:dyDescent="0.25">
      <c r="B472" s="88"/>
      <c r="C472" s="89"/>
      <c r="D472" s="89"/>
      <c r="E472" s="90"/>
      <c r="F472" s="72"/>
      <c r="G472" s="9"/>
      <c r="H472" s="74">
        <f t="shared" si="7"/>
        <v>14497900</v>
      </c>
      <c r="I472" s="35"/>
      <c r="J472" s="19"/>
      <c r="K472" s="19"/>
      <c r="L472" s="19"/>
      <c r="M472" s="19"/>
      <c r="N472" s="36"/>
      <c r="O472" s="2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79"/>
      <c r="AL472" s="45"/>
    </row>
    <row r="473" spans="2:38" x14ac:dyDescent="0.25">
      <c r="B473" s="88"/>
      <c r="C473" s="89"/>
      <c r="D473" s="89"/>
      <c r="E473" s="90"/>
      <c r="F473" s="72"/>
      <c r="G473" s="9"/>
      <c r="H473" s="74">
        <f t="shared" si="7"/>
        <v>14497900</v>
      </c>
      <c r="I473" s="35"/>
      <c r="J473" s="19"/>
      <c r="K473" s="19"/>
      <c r="L473" s="19"/>
      <c r="M473" s="19"/>
      <c r="N473" s="36"/>
      <c r="O473" s="2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79"/>
      <c r="AL473" s="45"/>
    </row>
    <row r="474" spans="2:38" x14ac:dyDescent="0.25">
      <c r="B474" s="88"/>
      <c r="C474" s="89"/>
      <c r="D474" s="89"/>
      <c r="E474" s="90"/>
      <c r="F474" s="72"/>
      <c r="G474" s="9"/>
      <c r="H474" s="74">
        <f t="shared" si="7"/>
        <v>14497900</v>
      </c>
      <c r="I474" s="35"/>
      <c r="J474" s="19"/>
      <c r="K474" s="19"/>
      <c r="L474" s="19"/>
      <c r="M474" s="19"/>
      <c r="N474" s="36"/>
      <c r="O474" s="2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79"/>
      <c r="AL474" s="45"/>
    </row>
    <row r="475" spans="2:38" x14ac:dyDescent="0.25">
      <c r="B475" s="88"/>
      <c r="C475" s="89"/>
      <c r="D475" s="89"/>
      <c r="E475" s="90"/>
      <c r="F475" s="72"/>
      <c r="G475" s="9"/>
      <c r="H475" s="74">
        <f t="shared" si="7"/>
        <v>14497900</v>
      </c>
      <c r="I475" s="35"/>
      <c r="J475" s="19"/>
      <c r="K475" s="19"/>
      <c r="L475" s="19"/>
      <c r="M475" s="19"/>
      <c r="N475" s="36"/>
      <c r="O475" s="2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5"/>
      <c r="AG475" s="11"/>
      <c r="AH475" s="11"/>
      <c r="AI475" s="11"/>
      <c r="AJ475" s="11"/>
      <c r="AK475" s="79"/>
      <c r="AL475" s="45"/>
    </row>
    <row r="476" spans="2:38" x14ac:dyDescent="0.25">
      <c r="B476" s="88"/>
      <c r="C476" s="89"/>
      <c r="D476" s="89"/>
      <c r="E476" s="90"/>
      <c r="F476" s="72"/>
      <c r="G476" s="9"/>
      <c r="H476" s="74">
        <f t="shared" si="7"/>
        <v>14497900</v>
      </c>
      <c r="I476" s="35"/>
      <c r="J476" s="19"/>
      <c r="K476" s="19"/>
      <c r="L476" s="19"/>
      <c r="M476" s="19"/>
      <c r="N476" s="36"/>
      <c r="O476" s="2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5"/>
      <c r="AG476" s="11"/>
      <c r="AH476" s="11"/>
      <c r="AI476" s="11"/>
      <c r="AJ476" s="11"/>
      <c r="AK476" s="79"/>
      <c r="AL476" s="45"/>
    </row>
    <row r="477" spans="2:38" x14ac:dyDescent="0.25">
      <c r="B477" s="88"/>
      <c r="C477" s="89"/>
      <c r="D477" s="89"/>
      <c r="E477" s="90"/>
      <c r="F477" s="72"/>
      <c r="G477" s="9"/>
      <c r="H477" s="74">
        <f t="shared" si="7"/>
        <v>14497900</v>
      </c>
      <c r="I477" s="35"/>
      <c r="J477" s="19"/>
      <c r="K477" s="19"/>
      <c r="L477" s="19"/>
      <c r="M477" s="19"/>
      <c r="N477" s="36"/>
      <c r="O477" s="2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79"/>
      <c r="AL477" s="45"/>
    </row>
    <row r="478" spans="2:38" x14ac:dyDescent="0.25">
      <c r="B478" s="88"/>
      <c r="C478" s="89"/>
      <c r="D478" s="89"/>
      <c r="E478" s="90"/>
      <c r="F478" s="72"/>
      <c r="G478" s="9"/>
      <c r="H478" s="74">
        <f t="shared" si="7"/>
        <v>14497900</v>
      </c>
      <c r="I478" s="35"/>
      <c r="J478" s="19"/>
      <c r="K478" s="19"/>
      <c r="L478" s="19"/>
      <c r="M478" s="19"/>
      <c r="N478" s="36"/>
      <c r="O478" s="2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79"/>
      <c r="AL478" s="45"/>
    </row>
    <row r="479" spans="2:38" x14ac:dyDescent="0.25">
      <c r="B479" s="88"/>
      <c r="C479" s="89"/>
      <c r="D479" s="89"/>
      <c r="E479" s="90"/>
      <c r="F479" s="72"/>
      <c r="G479" s="9"/>
      <c r="H479" s="74">
        <f t="shared" si="7"/>
        <v>14497900</v>
      </c>
      <c r="I479" s="35"/>
      <c r="J479" s="19"/>
      <c r="K479" s="19"/>
      <c r="L479" s="19"/>
      <c r="M479" s="19"/>
      <c r="N479" s="36"/>
      <c r="O479" s="2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79"/>
      <c r="AL479" s="45"/>
    </row>
    <row r="480" spans="2:38" x14ac:dyDescent="0.25">
      <c r="B480" s="88"/>
      <c r="C480" s="89"/>
      <c r="D480" s="89"/>
      <c r="E480" s="90"/>
      <c r="F480" s="72"/>
      <c r="G480" s="9"/>
      <c r="H480" s="74">
        <f t="shared" si="7"/>
        <v>14497900</v>
      </c>
      <c r="I480" s="35"/>
      <c r="J480" s="19"/>
      <c r="K480" s="19"/>
      <c r="L480" s="19"/>
      <c r="M480" s="19"/>
      <c r="N480" s="36"/>
      <c r="O480" s="2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79"/>
      <c r="AL480" s="45"/>
    </row>
    <row r="481" spans="2:38" x14ac:dyDescent="0.25">
      <c r="B481" s="88"/>
      <c r="C481" s="89"/>
      <c r="D481" s="89"/>
      <c r="E481" s="90"/>
      <c r="F481" s="72"/>
      <c r="G481" s="9"/>
      <c r="H481" s="74">
        <f t="shared" si="7"/>
        <v>14497900</v>
      </c>
      <c r="I481" s="35"/>
      <c r="J481" s="19"/>
      <c r="K481" s="19"/>
      <c r="L481" s="19"/>
      <c r="M481" s="19"/>
      <c r="N481" s="36"/>
      <c r="O481" s="2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79"/>
      <c r="AL481" s="45"/>
    </row>
    <row r="482" spans="2:38" x14ac:dyDescent="0.25">
      <c r="B482" s="88"/>
      <c r="C482" s="89"/>
      <c r="D482" s="89"/>
      <c r="E482" s="90"/>
      <c r="F482" s="72"/>
      <c r="G482" s="9"/>
      <c r="H482" s="74">
        <f t="shared" si="7"/>
        <v>14497900</v>
      </c>
      <c r="I482" s="35"/>
      <c r="J482" s="19"/>
      <c r="K482" s="19"/>
      <c r="L482" s="19"/>
      <c r="M482" s="19"/>
      <c r="N482" s="36"/>
      <c r="O482" s="2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5"/>
      <c r="AG482" s="11"/>
      <c r="AH482" s="11"/>
      <c r="AI482" s="11"/>
      <c r="AJ482" s="11"/>
      <c r="AK482" s="79"/>
      <c r="AL482" s="45"/>
    </row>
    <row r="483" spans="2:38" x14ac:dyDescent="0.25">
      <c r="B483" s="88"/>
      <c r="C483" s="89"/>
      <c r="D483" s="89"/>
      <c r="E483" s="90"/>
      <c r="F483" s="72"/>
      <c r="G483" s="9"/>
      <c r="H483" s="74">
        <f t="shared" si="7"/>
        <v>14497900</v>
      </c>
      <c r="I483" s="35"/>
      <c r="J483" s="19"/>
      <c r="K483" s="19"/>
      <c r="L483" s="19"/>
      <c r="M483" s="19"/>
      <c r="N483" s="36"/>
      <c r="O483" s="2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5"/>
      <c r="AG483" s="11"/>
      <c r="AH483" s="11"/>
      <c r="AI483" s="11"/>
      <c r="AJ483" s="11"/>
      <c r="AK483" s="79"/>
      <c r="AL483" s="45"/>
    </row>
    <row r="484" spans="2:38" x14ac:dyDescent="0.25">
      <c r="B484" s="88"/>
      <c r="C484" s="89"/>
      <c r="D484" s="89"/>
      <c r="E484" s="90"/>
      <c r="F484" s="72"/>
      <c r="G484" s="9"/>
      <c r="H484" s="74">
        <f t="shared" si="7"/>
        <v>14497900</v>
      </c>
      <c r="I484" s="35"/>
      <c r="J484" s="19"/>
      <c r="K484" s="19"/>
      <c r="L484" s="19"/>
      <c r="M484" s="19"/>
      <c r="N484" s="36"/>
      <c r="O484" s="2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5"/>
      <c r="AG484" s="11"/>
      <c r="AH484" s="11"/>
      <c r="AI484" s="11"/>
      <c r="AJ484" s="11"/>
      <c r="AK484" s="79"/>
      <c r="AL484" s="45"/>
    </row>
    <row r="485" spans="2:38" x14ac:dyDescent="0.25">
      <c r="B485" s="88"/>
      <c r="C485" s="89"/>
      <c r="D485" s="89"/>
      <c r="E485" s="90"/>
      <c r="F485" s="72"/>
      <c r="G485" s="9"/>
      <c r="H485" s="74">
        <f t="shared" si="7"/>
        <v>14497900</v>
      </c>
      <c r="I485" s="35"/>
      <c r="J485" s="19"/>
      <c r="K485" s="19"/>
      <c r="L485" s="19"/>
      <c r="M485" s="19"/>
      <c r="N485" s="36"/>
      <c r="O485" s="2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5"/>
      <c r="AG485" s="11"/>
      <c r="AH485" s="11"/>
      <c r="AI485" s="11"/>
      <c r="AJ485" s="11"/>
      <c r="AK485" s="79"/>
      <c r="AL485" s="45"/>
    </row>
    <row r="486" spans="2:38" x14ac:dyDescent="0.25">
      <c r="B486" s="88"/>
      <c r="C486" s="89"/>
      <c r="D486" s="89"/>
      <c r="E486" s="90"/>
      <c r="F486" s="72"/>
      <c r="G486" s="9"/>
      <c r="H486" s="74">
        <f t="shared" si="7"/>
        <v>14497900</v>
      </c>
      <c r="I486" s="35"/>
      <c r="J486" s="19"/>
      <c r="K486" s="19"/>
      <c r="L486" s="19"/>
      <c r="M486" s="19"/>
      <c r="N486" s="36"/>
      <c r="O486" s="2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79"/>
      <c r="AL486" s="45"/>
    </row>
    <row r="487" spans="2:38" x14ac:dyDescent="0.25">
      <c r="B487" s="88"/>
      <c r="C487" s="89"/>
      <c r="D487" s="89"/>
      <c r="E487" s="90"/>
      <c r="F487" s="72"/>
      <c r="G487" s="9"/>
      <c r="H487" s="74">
        <f t="shared" si="7"/>
        <v>14497900</v>
      </c>
      <c r="I487" s="35"/>
      <c r="J487" s="19"/>
      <c r="K487" s="19"/>
      <c r="L487" s="19"/>
      <c r="M487" s="19"/>
      <c r="N487" s="36"/>
      <c r="O487" s="2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79"/>
      <c r="AL487" s="45"/>
    </row>
    <row r="488" spans="2:38" x14ac:dyDescent="0.25">
      <c r="B488" s="88"/>
      <c r="C488" s="89"/>
      <c r="D488" s="89"/>
      <c r="E488" s="90"/>
      <c r="F488" s="72"/>
      <c r="G488" s="9"/>
      <c r="H488" s="74">
        <f t="shared" si="7"/>
        <v>14497900</v>
      </c>
      <c r="I488" s="35"/>
      <c r="J488" s="19"/>
      <c r="K488" s="19"/>
      <c r="L488" s="19"/>
      <c r="M488" s="19"/>
      <c r="N488" s="36"/>
      <c r="O488" s="2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79"/>
      <c r="AL488" s="45"/>
    </row>
    <row r="489" spans="2:38" x14ac:dyDescent="0.25">
      <c r="B489" s="88"/>
      <c r="C489" s="89"/>
      <c r="D489" s="89"/>
      <c r="E489" s="90"/>
      <c r="F489" s="72"/>
      <c r="G489" s="9"/>
      <c r="H489" s="74">
        <f t="shared" si="7"/>
        <v>14497900</v>
      </c>
      <c r="I489" s="35"/>
      <c r="J489" s="19"/>
      <c r="K489" s="19"/>
      <c r="L489" s="19"/>
      <c r="M489" s="19"/>
      <c r="N489" s="36"/>
      <c r="O489" s="22"/>
      <c r="P489" s="11"/>
      <c r="Q489" s="14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79"/>
      <c r="AL489" s="45"/>
    </row>
    <row r="490" spans="2:38" x14ac:dyDescent="0.25">
      <c r="B490" s="88"/>
      <c r="C490" s="89"/>
      <c r="D490" s="89"/>
      <c r="E490" s="90"/>
      <c r="F490" s="72"/>
      <c r="G490" s="9"/>
      <c r="H490" s="74">
        <f t="shared" si="7"/>
        <v>14497900</v>
      </c>
      <c r="I490" s="35"/>
      <c r="J490" s="19"/>
      <c r="K490" s="19"/>
      <c r="L490" s="19"/>
      <c r="M490" s="19"/>
      <c r="N490" s="36"/>
      <c r="O490" s="22"/>
      <c r="P490" s="11"/>
      <c r="Q490" s="14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79"/>
      <c r="AL490" s="45"/>
    </row>
    <row r="491" spans="2:38" x14ac:dyDescent="0.25">
      <c r="B491" s="88"/>
      <c r="C491" s="89"/>
      <c r="D491" s="89"/>
      <c r="E491" s="90"/>
      <c r="F491" s="72"/>
      <c r="G491" s="9"/>
      <c r="H491" s="74">
        <f t="shared" si="7"/>
        <v>14497900</v>
      </c>
      <c r="I491" s="35"/>
      <c r="J491" s="19"/>
      <c r="K491" s="19"/>
      <c r="L491" s="19"/>
      <c r="M491" s="19"/>
      <c r="N491" s="36"/>
      <c r="O491" s="22"/>
      <c r="P491" s="11"/>
      <c r="Q491" s="11"/>
      <c r="R491" s="11"/>
      <c r="S491" s="11"/>
      <c r="T491" s="11"/>
      <c r="U491" s="11"/>
      <c r="V491" s="14"/>
      <c r="W491" s="14"/>
      <c r="X491" s="15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79"/>
      <c r="AL491" s="45"/>
    </row>
    <row r="492" spans="2:38" x14ac:dyDescent="0.25">
      <c r="B492" s="88"/>
      <c r="C492" s="89"/>
      <c r="D492" s="89"/>
      <c r="E492" s="90"/>
      <c r="F492" s="72"/>
      <c r="G492" s="9"/>
      <c r="H492" s="74">
        <f t="shared" si="7"/>
        <v>14497900</v>
      </c>
      <c r="I492" s="35"/>
      <c r="J492" s="19"/>
      <c r="K492" s="19"/>
      <c r="L492" s="19"/>
      <c r="M492" s="19"/>
      <c r="N492" s="36"/>
      <c r="O492" s="2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79"/>
      <c r="AL492" s="45"/>
    </row>
    <row r="493" spans="2:38" x14ac:dyDescent="0.25">
      <c r="B493" s="88"/>
      <c r="C493" s="89"/>
      <c r="D493" s="89"/>
      <c r="E493" s="90"/>
      <c r="F493" s="72"/>
      <c r="G493" s="9"/>
      <c r="H493" s="74">
        <f t="shared" si="7"/>
        <v>14497900</v>
      </c>
      <c r="I493" s="35"/>
      <c r="J493" s="19"/>
      <c r="K493" s="19"/>
      <c r="L493" s="19"/>
      <c r="M493" s="19"/>
      <c r="N493" s="36"/>
      <c r="O493" s="2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79"/>
      <c r="AL493" s="45"/>
    </row>
    <row r="494" spans="2:38" x14ac:dyDescent="0.25">
      <c r="B494" s="88"/>
      <c r="C494" s="89"/>
      <c r="D494" s="91"/>
      <c r="E494" s="92"/>
      <c r="F494" s="75"/>
      <c r="G494" s="9"/>
      <c r="H494" s="74">
        <f t="shared" si="7"/>
        <v>14497900</v>
      </c>
      <c r="I494" s="35"/>
      <c r="J494" s="19"/>
      <c r="K494" s="19"/>
      <c r="L494" s="19"/>
      <c r="M494" s="19"/>
      <c r="N494" s="36"/>
      <c r="O494" s="2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79"/>
      <c r="AL494" s="46"/>
    </row>
    <row r="495" spans="2:38" x14ac:dyDescent="0.25">
      <c r="B495" s="88"/>
      <c r="C495" s="89"/>
      <c r="D495" s="89"/>
      <c r="E495" s="90"/>
      <c r="F495" s="72"/>
      <c r="G495" s="9"/>
      <c r="H495" s="74">
        <f t="shared" si="7"/>
        <v>14497900</v>
      </c>
      <c r="I495" s="35"/>
      <c r="J495" s="19"/>
      <c r="K495" s="19"/>
      <c r="L495" s="19"/>
      <c r="M495" s="19"/>
      <c r="N495" s="36"/>
      <c r="O495" s="2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79"/>
      <c r="AL495" s="45"/>
    </row>
    <row r="496" spans="2:38" x14ac:dyDescent="0.25">
      <c r="B496" s="88"/>
      <c r="C496" s="89"/>
      <c r="D496" s="89"/>
      <c r="E496" s="90"/>
      <c r="F496" s="72"/>
      <c r="G496" s="9"/>
      <c r="H496" s="74">
        <f t="shared" si="7"/>
        <v>14497900</v>
      </c>
      <c r="I496" s="35"/>
      <c r="J496" s="19"/>
      <c r="K496" s="19"/>
      <c r="L496" s="19"/>
      <c r="M496" s="19"/>
      <c r="N496" s="36"/>
      <c r="O496" s="2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79"/>
      <c r="AL496" s="45"/>
    </row>
    <row r="497" spans="2:38" x14ac:dyDescent="0.25">
      <c r="B497" s="88"/>
      <c r="C497" s="89"/>
      <c r="D497" s="89"/>
      <c r="E497" s="90"/>
      <c r="F497" s="72"/>
      <c r="G497" s="9"/>
      <c r="H497" s="74">
        <f t="shared" si="7"/>
        <v>14497900</v>
      </c>
      <c r="I497" s="35"/>
      <c r="J497" s="19"/>
      <c r="K497" s="19"/>
      <c r="L497" s="19"/>
      <c r="M497" s="19"/>
      <c r="N497" s="36"/>
      <c r="O497" s="2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79"/>
      <c r="AL497" s="45"/>
    </row>
    <row r="498" spans="2:38" x14ac:dyDescent="0.25">
      <c r="B498" s="88"/>
      <c r="C498" s="89"/>
      <c r="D498" s="89"/>
      <c r="E498" s="90"/>
      <c r="F498" s="72"/>
      <c r="G498" s="9"/>
      <c r="H498" s="74">
        <f t="shared" si="7"/>
        <v>14497900</v>
      </c>
      <c r="I498" s="35"/>
      <c r="J498" s="19"/>
      <c r="K498" s="19"/>
      <c r="L498" s="19"/>
      <c r="M498" s="19"/>
      <c r="N498" s="36"/>
      <c r="O498" s="2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79"/>
      <c r="AL498" s="45"/>
    </row>
    <row r="499" spans="2:38" x14ac:dyDescent="0.25">
      <c r="B499" s="88"/>
      <c r="C499" s="89"/>
      <c r="D499" s="89"/>
      <c r="E499" s="90"/>
      <c r="F499" s="72"/>
      <c r="G499" s="9"/>
      <c r="H499" s="74">
        <f t="shared" si="7"/>
        <v>14497900</v>
      </c>
      <c r="I499" s="35"/>
      <c r="J499" s="19"/>
      <c r="K499" s="19"/>
      <c r="L499" s="19"/>
      <c r="M499" s="19"/>
      <c r="N499" s="36"/>
      <c r="O499" s="2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79"/>
      <c r="AL499" s="45"/>
    </row>
    <row r="500" spans="2:38" x14ac:dyDescent="0.25">
      <c r="B500" s="88"/>
      <c r="C500" s="89"/>
      <c r="D500" s="89"/>
      <c r="E500" s="90"/>
      <c r="F500" s="72"/>
      <c r="G500" s="9"/>
      <c r="H500" s="74">
        <f t="shared" si="7"/>
        <v>14497900</v>
      </c>
      <c r="I500" s="35"/>
      <c r="J500" s="19"/>
      <c r="K500" s="19"/>
      <c r="L500" s="19"/>
      <c r="M500" s="19"/>
      <c r="N500" s="36"/>
      <c r="O500" s="2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79"/>
      <c r="AL500" s="45"/>
    </row>
    <row r="501" spans="2:38" x14ac:dyDescent="0.25">
      <c r="B501" s="88"/>
      <c r="C501" s="89"/>
      <c r="D501" s="89"/>
      <c r="E501" s="90"/>
      <c r="F501" s="72"/>
      <c r="G501" s="9"/>
      <c r="H501" s="74">
        <f t="shared" si="7"/>
        <v>14497900</v>
      </c>
      <c r="I501" s="35"/>
      <c r="J501" s="19"/>
      <c r="K501" s="19"/>
      <c r="L501" s="19"/>
      <c r="M501" s="19"/>
      <c r="N501" s="36"/>
      <c r="O501" s="2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79"/>
      <c r="AL501" s="45"/>
    </row>
    <row r="502" spans="2:38" x14ac:dyDescent="0.25">
      <c r="B502" s="88"/>
      <c r="C502" s="89"/>
      <c r="D502" s="89"/>
      <c r="E502" s="90"/>
      <c r="F502" s="72"/>
      <c r="G502" s="9"/>
      <c r="H502" s="74">
        <f t="shared" si="7"/>
        <v>14497900</v>
      </c>
      <c r="I502" s="35"/>
      <c r="J502" s="19"/>
      <c r="K502" s="19"/>
      <c r="L502" s="19"/>
      <c r="M502" s="19"/>
      <c r="N502" s="36"/>
      <c r="O502" s="2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79"/>
      <c r="AL502" s="45"/>
    </row>
    <row r="503" spans="2:38" x14ac:dyDescent="0.25">
      <c r="B503" s="88"/>
      <c r="C503" s="89"/>
      <c r="D503" s="89"/>
      <c r="E503" s="90"/>
      <c r="F503" s="72"/>
      <c r="G503" s="9"/>
      <c r="H503" s="74">
        <f t="shared" si="7"/>
        <v>14497900</v>
      </c>
      <c r="I503" s="35"/>
      <c r="J503" s="19"/>
      <c r="K503" s="19"/>
      <c r="L503" s="19"/>
      <c r="M503" s="19"/>
      <c r="N503" s="36"/>
      <c r="O503" s="2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79"/>
      <c r="AL503" s="45"/>
    </row>
    <row r="504" spans="2:38" x14ac:dyDescent="0.25">
      <c r="B504" s="88"/>
      <c r="C504" s="89"/>
      <c r="D504" s="91"/>
      <c r="E504" s="92"/>
      <c r="F504" s="75"/>
      <c r="G504" s="9"/>
      <c r="H504" s="74">
        <f t="shared" si="7"/>
        <v>14497900</v>
      </c>
      <c r="I504" s="35"/>
      <c r="J504" s="19"/>
      <c r="K504" s="19"/>
      <c r="L504" s="19"/>
      <c r="M504" s="19"/>
      <c r="N504" s="36"/>
      <c r="O504" s="2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79"/>
      <c r="AL504" s="47"/>
    </row>
    <row r="505" spans="2:38" x14ac:dyDescent="0.25">
      <c r="B505" s="88"/>
      <c r="C505" s="89"/>
      <c r="D505" s="89"/>
      <c r="E505" s="90"/>
      <c r="F505" s="72"/>
      <c r="G505" s="9"/>
      <c r="H505" s="74">
        <f t="shared" si="7"/>
        <v>14497900</v>
      </c>
      <c r="I505" s="35"/>
      <c r="J505" s="19"/>
      <c r="K505" s="19"/>
      <c r="L505" s="19"/>
      <c r="M505" s="19"/>
      <c r="N505" s="36"/>
      <c r="O505" s="2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79"/>
      <c r="AL505" s="45"/>
    </row>
    <row r="506" spans="2:38" x14ac:dyDescent="0.25">
      <c r="B506" s="88"/>
      <c r="C506" s="89"/>
      <c r="D506" s="89"/>
      <c r="E506" s="90"/>
      <c r="F506" s="72"/>
      <c r="G506" s="9"/>
      <c r="H506" s="74">
        <f t="shared" si="7"/>
        <v>14497900</v>
      </c>
      <c r="I506" s="35"/>
      <c r="J506" s="19"/>
      <c r="K506" s="19"/>
      <c r="L506" s="19"/>
      <c r="M506" s="19"/>
      <c r="N506" s="36"/>
      <c r="O506" s="22"/>
      <c r="P506" s="14"/>
      <c r="Q506" s="14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4"/>
      <c r="AC506" s="11"/>
      <c r="AD506" s="11"/>
      <c r="AE506" s="11"/>
      <c r="AF506" s="11"/>
      <c r="AG506" s="11"/>
      <c r="AH506" s="11"/>
      <c r="AI506" s="11"/>
      <c r="AJ506" s="11"/>
      <c r="AK506" s="79"/>
      <c r="AL506" s="45"/>
    </row>
    <row r="507" spans="2:38" x14ac:dyDescent="0.25">
      <c r="B507" s="88"/>
      <c r="C507" s="89"/>
      <c r="D507" s="89"/>
      <c r="E507" s="90"/>
      <c r="F507" s="72"/>
      <c r="G507" s="9"/>
      <c r="H507" s="74">
        <f t="shared" si="7"/>
        <v>14497900</v>
      </c>
      <c r="I507" s="35"/>
      <c r="J507" s="19"/>
      <c r="K507" s="19"/>
      <c r="L507" s="19"/>
      <c r="M507" s="19"/>
      <c r="N507" s="36"/>
      <c r="O507" s="22"/>
      <c r="P507" s="11"/>
      <c r="Q507" s="14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79"/>
      <c r="AL507" s="45"/>
    </row>
    <row r="508" spans="2:38" x14ac:dyDescent="0.25">
      <c r="B508" s="88"/>
      <c r="C508" s="89"/>
      <c r="D508" s="89"/>
      <c r="E508" s="90"/>
      <c r="F508" s="72"/>
      <c r="G508" s="9"/>
      <c r="H508" s="74">
        <f t="shared" si="7"/>
        <v>14497900</v>
      </c>
      <c r="I508" s="35"/>
      <c r="J508" s="19"/>
      <c r="K508" s="19"/>
      <c r="L508" s="19"/>
      <c r="M508" s="19"/>
      <c r="N508" s="36"/>
      <c r="O508" s="2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79"/>
      <c r="AL508" s="45"/>
    </row>
    <row r="509" spans="2:38" x14ac:dyDescent="0.25">
      <c r="B509" s="88"/>
      <c r="C509" s="89"/>
      <c r="D509" s="89"/>
      <c r="E509" s="90"/>
      <c r="F509" s="72"/>
      <c r="G509" s="9"/>
      <c r="H509" s="74">
        <f t="shared" si="7"/>
        <v>14497900</v>
      </c>
      <c r="I509" s="35"/>
      <c r="J509" s="19"/>
      <c r="K509" s="19"/>
      <c r="L509" s="19"/>
      <c r="M509" s="19"/>
      <c r="N509" s="36"/>
      <c r="O509" s="22"/>
      <c r="P509" s="11"/>
      <c r="Q509" s="11"/>
      <c r="R509" s="11"/>
      <c r="S509" s="11"/>
      <c r="T509" s="14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4"/>
      <c r="AI509" s="14"/>
      <c r="AJ509" s="14"/>
      <c r="AK509" s="80"/>
      <c r="AL509" s="45"/>
    </row>
    <row r="510" spans="2:38" x14ac:dyDescent="0.25">
      <c r="B510" s="88"/>
      <c r="C510" s="89"/>
      <c r="D510" s="89"/>
      <c r="E510" s="90"/>
      <c r="F510" s="72"/>
      <c r="G510" s="9"/>
      <c r="H510" s="74">
        <f t="shared" si="7"/>
        <v>14497900</v>
      </c>
      <c r="I510" s="35"/>
      <c r="J510" s="19"/>
      <c r="K510" s="19"/>
      <c r="L510" s="19"/>
      <c r="M510" s="19"/>
      <c r="N510" s="36"/>
      <c r="O510" s="33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4"/>
      <c r="AI510" s="14"/>
      <c r="AJ510" s="14"/>
      <c r="AK510" s="80"/>
      <c r="AL510" s="45"/>
    </row>
    <row r="511" spans="2:38" x14ac:dyDescent="0.25">
      <c r="B511" s="88"/>
      <c r="C511" s="89"/>
      <c r="D511" s="89"/>
      <c r="E511" s="90"/>
      <c r="F511" s="72"/>
      <c r="G511" s="9"/>
      <c r="H511" s="74">
        <f t="shared" si="7"/>
        <v>14497900</v>
      </c>
      <c r="I511" s="35"/>
      <c r="J511" s="19"/>
      <c r="K511" s="19"/>
      <c r="L511" s="19"/>
      <c r="M511" s="19"/>
      <c r="N511" s="36"/>
      <c r="O511" s="2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4"/>
      <c r="AI511" s="14"/>
      <c r="AJ511" s="14"/>
      <c r="AK511" s="80"/>
      <c r="AL511" s="45"/>
    </row>
    <row r="512" spans="2:38" x14ac:dyDescent="0.25">
      <c r="B512" s="88"/>
      <c r="C512" s="89"/>
      <c r="D512" s="89"/>
      <c r="E512" s="90"/>
      <c r="F512" s="72"/>
      <c r="G512" s="9"/>
      <c r="H512" s="74">
        <f t="shared" si="7"/>
        <v>14497900</v>
      </c>
      <c r="I512" s="35"/>
      <c r="J512" s="19"/>
      <c r="K512" s="19"/>
      <c r="L512" s="19"/>
      <c r="M512" s="19"/>
      <c r="N512" s="36"/>
      <c r="O512" s="2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4"/>
      <c r="AI512" s="14"/>
      <c r="AJ512" s="14"/>
      <c r="AK512" s="80"/>
      <c r="AL512" s="45"/>
    </row>
    <row r="513" spans="2:38" x14ac:dyDescent="0.25">
      <c r="B513" s="88"/>
      <c r="C513" s="89"/>
      <c r="D513" s="89"/>
      <c r="E513" s="90"/>
      <c r="F513" s="72"/>
      <c r="G513" s="9"/>
      <c r="H513" s="74">
        <f t="shared" si="7"/>
        <v>14497900</v>
      </c>
      <c r="I513" s="35"/>
      <c r="J513" s="19"/>
      <c r="K513" s="19"/>
      <c r="L513" s="19"/>
      <c r="M513" s="19"/>
      <c r="N513" s="36"/>
      <c r="O513" s="2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4"/>
      <c r="AI513" s="14"/>
      <c r="AJ513" s="14"/>
      <c r="AK513" s="80"/>
      <c r="AL513" s="45"/>
    </row>
    <row r="514" spans="2:38" x14ac:dyDescent="0.25">
      <c r="B514" s="88"/>
      <c r="C514" s="89"/>
      <c r="D514" s="89"/>
      <c r="E514" s="90"/>
      <c r="F514" s="72"/>
      <c r="G514" s="9"/>
      <c r="H514" s="74">
        <f t="shared" si="7"/>
        <v>14497900</v>
      </c>
      <c r="I514" s="35"/>
      <c r="J514" s="19"/>
      <c r="K514" s="19"/>
      <c r="L514" s="19"/>
      <c r="M514" s="19"/>
      <c r="N514" s="36"/>
      <c r="O514" s="22"/>
      <c r="P514" s="11"/>
      <c r="Q514" s="11"/>
      <c r="R514" s="11"/>
      <c r="S514" s="11"/>
      <c r="T514" s="11"/>
      <c r="U514" s="11"/>
      <c r="V514" s="11"/>
      <c r="W514" s="14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4"/>
      <c r="AI514" s="14"/>
      <c r="AJ514" s="14"/>
      <c r="AK514" s="80"/>
      <c r="AL514" s="45"/>
    </row>
    <row r="515" spans="2:38" x14ac:dyDescent="0.25">
      <c r="B515" s="88"/>
      <c r="C515" s="89"/>
      <c r="D515" s="89"/>
      <c r="E515" s="90"/>
      <c r="F515" s="72"/>
      <c r="G515" s="9"/>
      <c r="H515" s="74">
        <f t="shared" si="7"/>
        <v>14497900</v>
      </c>
      <c r="I515" s="35"/>
      <c r="J515" s="19"/>
      <c r="K515" s="19"/>
      <c r="L515" s="19"/>
      <c r="M515" s="19"/>
      <c r="N515" s="36"/>
      <c r="O515" s="2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4"/>
      <c r="AI515" s="14"/>
      <c r="AJ515" s="14"/>
      <c r="AK515" s="80"/>
      <c r="AL515" s="45"/>
    </row>
    <row r="516" spans="2:38" x14ac:dyDescent="0.25">
      <c r="B516" s="88"/>
      <c r="C516" s="89"/>
      <c r="D516" s="89"/>
      <c r="E516" s="90"/>
      <c r="F516" s="72"/>
      <c r="G516" s="9"/>
      <c r="H516" s="74">
        <f t="shared" si="7"/>
        <v>14497900</v>
      </c>
      <c r="I516" s="35"/>
      <c r="J516" s="19"/>
      <c r="K516" s="19"/>
      <c r="L516" s="19"/>
      <c r="M516" s="19"/>
      <c r="N516" s="36"/>
      <c r="O516" s="2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4"/>
      <c r="AH516" s="11"/>
      <c r="AI516" s="11"/>
      <c r="AJ516" s="11"/>
      <c r="AK516" s="79"/>
      <c r="AL516" s="45"/>
    </row>
    <row r="517" spans="2:38" x14ac:dyDescent="0.25">
      <c r="B517" s="88"/>
      <c r="C517" s="89"/>
      <c r="D517" s="89"/>
      <c r="E517" s="90"/>
      <c r="F517" s="72"/>
      <c r="G517" s="9"/>
      <c r="H517" s="74">
        <f t="shared" si="7"/>
        <v>14497900</v>
      </c>
      <c r="I517" s="35"/>
      <c r="J517" s="19"/>
      <c r="K517" s="19"/>
      <c r="L517" s="19"/>
      <c r="M517" s="19"/>
      <c r="N517" s="36"/>
      <c r="O517" s="2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4"/>
      <c r="AH517" s="11"/>
      <c r="AI517" s="11"/>
      <c r="AJ517" s="11"/>
      <c r="AK517" s="79"/>
      <c r="AL517" s="45"/>
    </row>
    <row r="518" spans="2:38" x14ac:dyDescent="0.25">
      <c r="B518" s="88"/>
      <c r="C518" s="89"/>
      <c r="D518" s="89"/>
      <c r="E518" s="90"/>
      <c r="F518" s="72"/>
      <c r="G518" s="9"/>
      <c r="H518" s="74">
        <f t="shared" si="7"/>
        <v>14497900</v>
      </c>
      <c r="I518" s="35"/>
      <c r="J518" s="19"/>
      <c r="K518" s="19"/>
      <c r="L518" s="19"/>
      <c r="M518" s="19"/>
      <c r="N518" s="36"/>
      <c r="O518" s="2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4"/>
      <c r="AH518" s="11"/>
      <c r="AI518" s="11"/>
      <c r="AJ518" s="11"/>
      <c r="AK518" s="79"/>
      <c r="AL518" s="45"/>
    </row>
    <row r="519" spans="2:38" x14ac:dyDescent="0.25">
      <c r="B519" s="88"/>
      <c r="C519" s="89"/>
      <c r="D519" s="89"/>
      <c r="E519" s="90"/>
      <c r="F519" s="72"/>
      <c r="G519" s="9"/>
      <c r="H519" s="74">
        <f t="shared" si="7"/>
        <v>14497900</v>
      </c>
      <c r="I519" s="35"/>
      <c r="J519" s="19"/>
      <c r="K519" s="19"/>
      <c r="L519" s="19"/>
      <c r="M519" s="19"/>
      <c r="N519" s="36"/>
      <c r="O519" s="2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4"/>
      <c r="AH519" s="11"/>
      <c r="AI519" s="11"/>
      <c r="AJ519" s="11"/>
      <c r="AK519" s="79"/>
      <c r="AL519" s="45"/>
    </row>
    <row r="520" spans="2:38" x14ac:dyDescent="0.25">
      <c r="B520" s="88"/>
      <c r="C520" s="89"/>
      <c r="D520" s="89"/>
      <c r="E520" s="90"/>
      <c r="F520" s="72"/>
      <c r="G520" s="9"/>
      <c r="H520" s="74">
        <f t="shared" si="7"/>
        <v>14497900</v>
      </c>
      <c r="I520" s="35"/>
      <c r="J520" s="19"/>
      <c r="K520" s="19"/>
      <c r="L520" s="19"/>
      <c r="M520" s="19"/>
      <c r="N520" s="36"/>
      <c r="O520" s="2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4"/>
      <c r="AH520" s="11"/>
      <c r="AI520" s="11"/>
      <c r="AJ520" s="11"/>
      <c r="AK520" s="79"/>
      <c r="AL520" s="45"/>
    </row>
    <row r="521" spans="2:38" x14ac:dyDescent="0.25">
      <c r="B521" s="88"/>
      <c r="C521" s="89"/>
      <c r="D521" s="89"/>
      <c r="E521" s="90"/>
      <c r="F521" s="72"/>
      <c r="G521" s="9"/>
      <c r="H521" s="74">
        <f t="shared" si="7"/>
        <v>14497900</v>
      </c>
      <c r="I521" s="35"/>
      <c r="J521" s="19"/>
      <c r="K521" s="19"/>
      <c r="L521" s="19"/>
      <c r="M521" s="19"/>
      <c r="N521" s="36"/>
      <c r="O521" s="2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4"/>
      <c r="AH521" s="11"/>
      <c r="AI521" s="11"/>
      <c r="AJ521" s="11"/>
      <c r="AK521" s="79"/>
      <c r="AL521" s="45"/>
    </row>
    <row r="522" spans="2:38" x14ac:dyDescent="0.25">
      <c r="B522" s="88"/>
      <c r="C522" s="89"/>
      <c r="D522" s="89"/>
      <c r="E522" s="90"/>
      <c r="F522" s="72"/>
      <c r="G522" s="9"/>
      <c r="H522" s="74">
        <f t="shared" si="7"/>
        <v>14497900</v>
      </c>
      <c r="I522" s="35"/>
      <c r="J522" s="19"/>
      <c r="K522" s="19"/>
      <c r="L522" s="19"/>
      <c r="M522" s="19"/>
      <c r="N522" s="36"/>
      <c r="O522" s="2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4"/>
      <c r="AH522" s="11"/>
      <c r="AI522" s="11"/>
      <c r="AJ522" s="11"/>
      <c r="AK522" s="79"/>
      <c r="AL522" s="45"/>
    </row>
    <row r="523" spans="2:38" x14ac:dyDescent="0.25">
      <c r="B523" s="88"/>
      <c r="C523" s="89"/>
      <c r="D523" s="89"/>
      <c r="E523" s="90"/>
      <c r="F523" s="72"/>
      <c r="G523" s="9"/>
      <c r="H523" s="74">
        <f t="shared" si="7"/>
        <v>14497900</v>
      </c>
      <c r="I523" s="35"/>
      <c r="J523" s="19"/>
      <c r="K523" s="19"/>
      <c r="L523" s="19"/>
      <c r="M523" s="19"/>
      <c r="N523" s="36"/>
      <c r="O523" s="34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79"/>
      <c r="AL523" s="45"/>
    </row>
    <row r="524" spans="2:38" x14ac:dyDescent="0.25">
      <c r="B524" s="88"/>
      <c r="C524" s="89"/>
      <c r="D524" s="89"/>
      <c r="E524" s="90"/>
      <c r="F524" s="72"/>
      <c r="G524" s="9"/>
      <c r="H524" s="74">
        <f t="shared" si="7"/>
        <v>14497900</v>
      </c>
      <c r="I524" s="35"/>
      <c r="J524" s="19"/>
      <c r="K524" s="19"/>
      <c r="L524" s="19"/>
      <c r="M524" s="19"/>
      <c r="N524" s="36"/>
      <c r="O524" s="2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79"/>
      <c r="AL524" s="45"/>
    </row>
    <row r="525" spans="2:38" x14ac:dyDescent="0.25">
      <c r="B525" s="88"/>
      <c r="C525" s="89"/>
      <c r="D525" s="89"/>
      <c r="E525" s="90"/>
      <c r="F525" s="72"/>
      <c r="G525" s="9"/>
      <c r="H525" s="74">
        <f t="shared" si="7"/>
        <v>14497900</v>
      </c>
      <c r="I525" s="35"/>
      <c r="J525" s="19"/>
      <c r="K525" s="19"/>
      <c r="L525" s="19"/>
      <c r="M525" s="19"/>
      <c r="N525" s="36"/>
      <c r="O525" s="2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79"/>
      <c r="AL525" s="45"/>
    </row>
    <row r="526" spans="2:38" x14ac:dyDescent="0.25">
      <c r="B526" s="88"/>
      <c r="C526" s="89"/>
      <c r="D526" s="89"/>
      <c r="E526" s="90"/>
      <c r="F526" s="72"/>
      <c r="G526" s="9"/>
      <c r="H526" s="74">
        <f t="shared" si="7"/>
        <v>14497900</v>
      </c>
      <c r="I526" s="35"/>
      <c r="J526" s="19"/>
      <c r="K526" s="19"/>
      <c r="L526" s="19"/>
      <c r="M526" s="19"/>
      <c r="N526" s="36"/>
      <c r="O526" s="2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79"/>
      <c r="AL526" s="45"/>
    </row>
    <row r="527" spans="2:38" x14ac:dyDescent="0.25">
      <c r="B527" s="88"/>
      <c r="C527" s="89"/>
      <c r="D527" s="89"/>
      <c r="E527" s="90"/>
      <c r="F527" s="72"/>
      <c r="G527" s="9"/>
      <c r="H527" s="74">
        <f t="shared" si="7"/>
        <v>14497900</v>
      </c>
      <c r="I527" s="35"/>
      <c r="J527" s="19"/>
      <c r="K527" s="19"/>
      <c r="L527" s="19"/>
      <c r="M527" s="19"/>
      <c r="N527" s="36"/>
      <c r="O527" s="2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79"/>
      <c r="AL527" s="45"/>
    </row>
    <row r="528" spans="2:38" x14ac:dyDescent="0.25">
      <c r="B528" s="88"/>
      <c r="C528" s="89"/>
      <c r="D528" s="89"/>
      <c r="E528" s="90"/>
      <c r="F528" s="72"/>
      <c r="G528" s="9"/>
      <c r="H528" s="74">
        <f t="shared" si="7"/>
        <v>14497900</v>
      </c>
      <c r="I528" s="35"/>
      <c r="J528" s="19"/>
      <c r="K528" s="19"/>
      <c r="L528" s="19"/>
      <c r="M528" s="19"/>
      <c r="N528" s="36"/>
      <c r="O528" s="2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79"/>
      <c r="AL528" s="45"/>
    </row>
    <row r="529" spans="2:38" x14ac:dyDescent="0.25">
      <c r="B529" s="88"/>
      <c r="C529" s="89"/>
      <c r="D529" s="89"/>
      <c r="E529" s="90"/>
      <c r="F529" s="72"/>
      <c r="G529" s="9"/>
      <c r="H529" s="74">
        <f t="shared" si="7"/>
        <v>14497900</v>
      </c>
      <c r="I529" s="35"/>
      <c r="J529" s="19"/>
      <c r="K529" s="19"/>
      <c r="L529" s="19"/>
      <c r="M529" s="19"/>
      <c r="N529" s="36"/>
      <c r="O529" s="2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79"/>
      <c r="AL529" s="45"/>
    </row>
    <row r="530" spans="2:38" x14ac:dyDescent="0.25">
      <c r="B530" s="88"/>
      <c r="C530" s="89"/>
      <c r="D530" s="89"/>
      <c r="E530" s="90"/>
      <c r="F530" s="72"/>
      <c r="G530" s="9"/>
      <c r="H530" s="74">
        <f t="shared" ref="H530:H589" si="8">H529+F530-G530</f>
        <v>14497900</v>
      </c>
      <c r="I530" s="35"/>
      <c r="J530" s="19"/>
      <c r="K530" s="19"/>
      <c r="L530" s="19"/>
      <c r="M530" s="19"/>
      <c r="N530" s="36"/>
      <c r="O530" s="2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79"/>
      <c r="AL530" s="45"/>
    </row>
    <row r="531" spans="2:38" x14ac:dyDescent="0.25">
      <c r="B531" s="88"/>
      <c r="C531" s="89"/>
      <c r="D531" s="89"/>
      <c r="E531" s="90"/>
      <c r="F531" s="72"/>
      <c r="G531" s="9"/>
      <c r="H531" s="74">
        <f t="shared" si="8"/>
        <v>14497900</v>
      </c>
      <c r="I531" s="35"/>
      <c r="J531" s="19"/>
      <c r="K531" s="19"/>
      <c r="L531" s="19"/>
      <c r="M531" s="19"/>
      <c r="N531" s="36"/>
      <c r="O531" s="2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79"/>
      <c r="AL531" s="45"/>
    </row>
    <row r="532" spans="2:38" x14ac:dyDescent="0.25">
      <c r="B532" s="88"/>
      <c r="C532" s="89"/>
      <c r="D532" s="89"/>
      <c r="E532" s="90"/>
      <c r="F532" s="72"/>
      <c r="G532" s="9"/>
      <c r="H532" s="74">
        <f t="shared" si="8"/>
        <v>14497900</v>
      </c>
      <c r="I532" s="35"/>
      <c r="J532" s="19"/>
      <c r="K532" s="19"/>
      <c r="L532" s="19"/>
      <c r="M532" s="19"/>
      <c r="N532" s="36"/>
      <c r="O532" s="2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79"/>
      <c r="AL532" s="45"/>
    </row>
    <row r="533" spans="2:38" x14ac:dyDescent="0.25">
      <c r="B533" s="88"/>
      <c r="C533" s="89"/>
      <c r="D533" s="89"/>
      <c r="E533" s="90"/>
      <c r="F533" s="72"/>
      <c r="G533" s="9"/>
      <c r="H533" s="74">
        <f t="shared" si="8"/>
        <v>14497900</v>
      </c>
      <c r="I533" s="35"/>
      <c r="J533" s="19"/>
      <c r="K533" s="19"/>
      <c r="L533" s="19"/>
      <c r="M533" s="19"/>
      <c r="N533" s="36"/>
      <c r="O533" s="2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79"/>
      <c r="AL533" s="45"/>
    </row>
    <row r="534" spans="2:38" x14ac:dyDescent="0.25">
      <c r="B534" s="88"/>
      <c r="C534" s="89"/>
      <c r="D534" s="89"/>
      <c r="E534" s="90"/>
      <c r="F534" s="72"/>
      <c r="G534" s="9"/>
      <c r="H534" s="74">
        <f t="shared" si="8"/>
        <v>14497900</v>
      </c>
      <c r="I534" s="35"/>
      <c r="J534" s="19"/>
      <c r="K534" s="19"/>
      <c r="L534" s="19"/>
      <c r="M534" s="19"/>
      <c r="N534" s="36"/>
      <c r="O534" s="2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79"/>
      <c r="AL534" s="45"/>
    </row>
    <row r="535" spans="2:38" x14ac:dyDescent="0.25">
      <c r="B535" s="88"/>
      <c r="C535" s="89"/>
      <c r="D535" s="89"/>
      <c r="E535" s="90"/>
      <c r="F535" s="72"/>
      <c r="G535" s="9"/>
      <c r="H535" s="74">
        <f t="shared" si="8"/>
        <v>14497900</v>
      </c>
      <c r="I535" s="35"/>
      <c r="J535" s="19"/>
      <c r="K535" s="19"/>
      <c r="L535" s="19"/>
      <c r="M535" s="19"/>
      <c r="N535" s="36"/>
      <c r="O535" s="22"/>
      <c r="P535" s="11"/>
      <c r="Q535" s="14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79"/>
      <c r="AL535" s="45"/>
    </row>
    <row r="536" spans="2:38" x14ac:dyDescent="0.25">
      <c r="B536" s="88"/>
      <c r="C536" s="89"/>
      <c r="D536" s="89"/>
      <c r="E536" s="90"/>
      <c r="F536" s="72"/>
      <c r="G536" s="9"/>
      <c r="H536" s="74">
        <f t="shared" si="8"/>
        <v>14497900</v>
      </c>
      <c r="I536" s="35"/>
      <c r="J536" s="19"/>
      <c r="K536" s="19"/>
      <c r="L536" s="19"/>
      <c r="M536" s="19"/>
      <c r="N536" s="36"/>
      <c r="O536" s="2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79"/>
      <c r="AL536" s="45"/>
    </row>
    <row r="537" spans="2:38" x14ac:dyDescent="0.25">
      <c r="B537" s="88"/>
      <c r="C537" s="89"/>
      <c r="D537" s="89"/>
      <c r="E537" s="90"/>
      <c r="F537" s="72"/>
      <c r="G537" s="9"/>
      <c r="H537" s="74">
        <f t="shared" si="8"/>
        <v>14497900</v>
      </c>
      <c r="I537" s="35"/>
      <c r="J537" s="19"/>
      <c r="K537" s="19"/>
      <c r="L537" s="19"/>
      <c r="M537" s="19"/>
      <c r="N537" s="36"/>
      <c r="O537" s="2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79"/>
      <c r="AL537" s="45"/>
    </row>
    <row r="538" spans="2:38" x14ac:dyDescent="0.25">
      <c r="B538" s="88"/>
      <c r="C538" s="89"/>
      <c r="D538" s="89"/>
      <c r="E538" s="90"/>
      <c r="F538" s="72"/>
      <c r="G538" s="9"/>
      <c r="H538" s="74">
        <f t="shared" si="8"/>
        <v>14497900</v>
      </c>
      <c r="I538" s="35"/>
      <c r="J538" s="19"/>
      <c r="K538" s="19"/>
      <c r="L538" s="19"/>
      <c r="M538" s="19"/>
      <c r="N538" s="36"/>
      <c r="O538" s="2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79"/>
      <c r="AL538" s="45"/>
    </row>
    <row r="539" spans="2:38" x14ac:dyDescent="0.25">
      <c r="B539" s="88"/>
      <c r="C539" s="89"/>
      <c r="D539" s="89"/>
      <c r="E539" s="90"/>
      <c r="F539" s="72"/>
      <c r="G539" s="9"/>
      <c r="H539" s="74">
        <f t="shared" si="8"/>
        <v>14497900</v>
      </c>
      <c r="I539" s="35"/>
      <c r="J539" s="19"/>
      <c r="K539" s="19"/>
      <c r="L539" s="19"/>
      <c r="M539" s="19"/>
      <c r="N539" s="36"/>
      <c r="O539" s="2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79"/>
      <c r="AL539" s="45"/>
    </row>
    <row r="540" spans="2:38" x14ac:dyDescent="0.25">
      <c r="B540" s="88"/>
      <c r="C540" s="89"/>
      <c r="D540" s="89"/>
      <c r="E540" s="90"/>
      <c r="F540" s="72"/>
      <c r="G540" s="9"/>
      <c r="H540" s="74">
        <f t="shared" si="8"/>
        <v>14497900</v>
      </c>
      <c r="I540" s="35"/>
      <c r="J540" s="19"/>
      <c r="K540" s="19"/>
      <c r="L540" s="19"/>
      <c r="M540" s="19"/>
      <c r="N540" s="36"/>
      <c r="O540" s="2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79"/>
      <c r="AL540" s="45"/>
    </row>
    <row r="541" spans="2:38" x14ac:dyDescent="0.25">
      <c r="B541" s="88"/>
      <c r="C541" s="89"/>
      <c r="D541" s="89"/>
      <c r="E541" s="90"/>
      <c r="F541" s="72"/>
      <c r="G541" s="9"/>
      <c r="H541" s="74">
        <f t="shared" si="8"/>
        <v>14497900</v>
      </c>
      <c r="I541" s="35"/>
      <c r="J541" s="19"/>
      <c r="K541" s="19"/>
      <c r="L541" s="19"/>
      <c r="M541" s="19"/>
      <c r="N541" s="36"/>
      <c r="O541" s="2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79"/>
      <c r="AL541" s="45"/>
    </row>
    <row r="542" spans="2:38" x14ac:dyDescent="0.25">
      <c r="B542" s="88"/>
      <c r="C542" s="89"/>
      <c r="D542" s="89"/>
      <c r="E542" s="90"/>
      <c r="F542" s="72"/>
      <c r="G542" s="9"/>
      <c r="H542" s="74">
        <f t="shared" si="8"/>
        <v>14497900</v>
      </c>
      <c r="I542" s="35"/>
      <c r="J542" s="19"/>
      <c r="K542" s="19"/>
      <c r="L542" s="19"/>
      <c r="M542" s="19"/>
      <c r="N542" s="36"/>
      <c r="O542" s="2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79"/>
      <c r="AL542" s="45"/>
    </row>
    <row r="543" spans="2:38" x14ac:dyDescent="0.25">
      <c r="B543" s="88"/>
      <c r="C543" s="89"/>
      <c r="D543" s="89"/>
      <c r="E543" s="90"/>
      <c r="F543" s="72"/>
      <c r="G543" s="9"/>
      <c r="H543" s="74">
        <f t="shared" si="8"/>
        <v>14497900</v>
      </c>
      <c r="I543" s="35"/>
      <c r="J543" s="19"/>
      <c r="K543" s="19"/>
      <c r="L543" s="19"/>
      <c r="M543" s="19"/>
      <c r="N543" s="36"/>
      <c r="O543" s="2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79"/>
      <c r="AL543" s="45"/>
    </row>
    <row r="544" spans="2:38" x14ac:dyDescent="0.25">
      <c r="B544" s="88"/>
      <c r="C544" s="89"/>
      <c r="D544" s="89"/>
      <c r="E544" s="90"/>
      <c r="F544" s="72"/>
      <c r="G544" s="9"/>
      <c r="H544" s="74">
        <f t="shared" si="8"/>
        <v>14497900</v>
      </c>
      <c r="I544" s="35"/>
      <c r="J544" s="19"/>
      <c r="K544" s="19"/>
      <c r="L544" s="19"/>
      <c r="M544" s="19"/>
      <c r="N544" s="36"/>
      <c r="O544" s="22"/>
      <c r="P544" s="14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79"/>
      <c r="AL544" s="45"/>
    </row>
    <row r="545" spans="2:38" x14ac:dyDescent="0.25">
      <c r="B545" s="88"/>
      <c r="C545" s="89"/>
      <c r="D545" s="89"/>
      <c r="E545" s="90"/>
      <c r="F545" s="72"/>
      <c r="G545" s="9"/>
      <c r="H545" s="74">
        <f t="shared" si="8"/>
        <v>14497900</v>
      </c>
      <c r="I545" s="35"/>
      <c r="J545" s="19"/>
      <c r="K545" s="19"/>
      <c r="L545" s="19"/>
      <c r="M545" s="19"/>
      <c r="N545" s="36"/>
      <c r="O545" s="2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79"/>
      <c r="AL545" s="45"/>
    </row>
    <row r="546" spans="2:38" x14ac:dyDescent="0.25">
      <c r="B546" s="88"/>
      <c r="C546" s="89"/>
      <c r="D546" s="89"/>
      <c r="E546" s="90"/>
      <c r="F546" s="72"/>
      <c r="G546" s="9"/>
      <c r="H546" s="74">
        <f t="shared" si="8"/>
        <v>14497900</v>
      </c>
      <c r="I546" s="35"/>
      <c r="J546" s="19"/>
      <c r="K546" s="19"/>
      <c r="L546" s="19"/>
      <c r="M546" s="19"/>
      <c r="N546" s="36"/>
      <c r="O546" s="2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79"/>
      <c r="AL546" s="45"/>
    </row>
    <row r="547" spans="2:38" x14ac:dyDescent="0.25">
      <c r="B547" s="88"/>
      <c r="C547" s="89"/>
      <c r="D547" s="89"/>
      <c r="E547" s="90"/>
      <c r="F547" s="72"/>
      <c r="G547" s="9"/>
      <c r="H547" s="74">
        <f t="shared" si="8"/>
        <v>14497900</v>
      </c>
      <c r="I547" s="35"/>
      <c r="J547" s="19"/>
      <c r="K547" s="19"/>
      <c r="L547" s="19"/>
      <c r="M547" s="19"/>
      <c r="N547" s="36"/>
      <c r="O547" s="2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79"/>
      <c r="AL547" s="45"/>
    </row>
    <row r="548" spans="2:38" x14ac:dyDescent="0.25">
      <c r="B548" s="88"/>
      <c r="C548" s="89"/>
      <c r="D548" s="89"/>
      <c r="E548" s="90"/>
      <c r="F548" s="72"/>
      <c r="G548" s="9"/>
      <c r="H548" s="74">
        <f t="shared" si="8"/>
        <v>14497900</v>
      </c>
      <c r="I548" s="35"/>
      <c r="J548" s="19"/>
      <c r="K548" s="19"/>
      <c r="L548" s="19"/>
      <c r="M548" s="19"/>
      <c r="N548" s="36"/>
      <c r="O548" s="2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79"/>
      <c r="AL548" s="45"/>
    </row>
    <row r="549" spans="2:38" x14ac:dyDescent="0.25">
      <c r="B549" s="88"/>
      <c r="C549" s="89"/>
      <c r="D549" s="89"/>
      <c r="E549" s="90"/>
      <c r="F549" s="72"/>
      <c r="G549" s="9"/>
      <c r="H549" s="74">
        <f t="shared" si="8"/>
        <v>14497900</v>
      </c>
      <c r="I549" s="35"/>
      <c r="J549" s="19"/>
      <c r="K549" s="19"/>
      <c r="L549" s="19"/>
      <c r="M549" s="19"/>
      <c r="N549" s="36"/>
      <c r="O549" s="2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79"/>
      <c r="AL549" s="45"/>
    </row>
    <row r="550" spans="2:38" x14ac:dyDescent="0.25">
      <c r="B550" s="88"/>
      <c r="C550" s="89"/>
      <c r="D550" s="89"/>
      <c r="E550" s="90"/>
      <c r="F550" s="72"/>
      <c r="G550" s="9"/>
      <c r="H550" s="74">
        <f t="shared" si="8"/>
        <v>14497900</v>
      </c>
      <c r="I550" s="35"/>
      <c r="J550" s="19"/>
      <c r="K550" s="19"/>
      <c r="L550" s="19"/>
      <c r="M550" s="19"/>
      <c r="N550" s="36"/>
      <c r="O550" s="2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79"/>
      <c r="AL550" s="45"/>
    </row>
    <row r="551" spans="2:38" x14ac:dyDescent="0.25">
      <c r="B551" s="88"/>
      <c r="C551" s="89"/>
      <c r="D551" s="89"/>
      <c r="E551" s="90"/>
      <c r="F551" s="72"/>
      <c r="G551" s="9"/>
      <c r="H551" s="74">
        <f t="shared" si="8"/>
        <v>14497900</v>
      </c>
      <c r="I551" s="35"/>
      <c r="J551" s="19"/>
      <c r="K551" s="19"/>
      <c r="L551" s="19"/>
      <c r="M551" s="19"/>
      <c r="N551" s="36"/>
      <c r="O551" s="2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79"/>
      <c r="AL551" s="45"/>
    </row>
    <row r="552" spans="2:38" x14ac:dyDescent="0.25">
      <c r="B552" s="88"/>
      <c r="C552" s="89"/>
      <c r="D552" s="89"/>
      <c r="E552" s="90"/>
      <c r="F552" s="72"/>
      <c r="G552" s="9"/>
      <c r="H552" s="74">
        <f t="shared" si="8"/>
        <v>14497900</v>
      </c>
      <c r="I552" s="35"/>
      <c r="J552" s="19"/>
      <c r="K552" s="19"/>
      <c r="L552" s="19"/>
      <c r="M552" s="19"/>
      <c r="N552" s="36"/>
      <c r="O552" s="2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79"/>
      <c r="AL552" s="45"/>
    </row>
    <row r="553" spans="2:38" x14ac:dyDescent="0.25">
      <c r="B553" s="88"/>
      <c r="C553" s="89"/>
      <c r="D553" s="89"/>
      <c r="E553" s="90"/>
      <c r="F553" s="72"/>
      <c r="G553" s="9"/>
      <c r="H553" s="74">
        <f t="shared" si="8"/>
        <v>14497900</v>
      </c>
      <c r="I553" s="35"/>
      <c r="J553" s="19"/>
      <c r="K553" s="19"/>
      <c r="L553" s="19"/>
      <c r="M553" s="19"/>
      <c r="N553" s="36"/>
      <c r="O553" s="2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79"/>
      <c r="AL553" s="45"/>
    </row>
    <row r="554" spans="2:38" x14ac:dyDescent="0.25">
      <c r="B554" s="88"/>
      <c r="C554" s="89"/>
      <c r="D554" s="89"/>
      <c r="E554" s="90"/>
      <c r="F554" s="72"/>
      <c r="G554" s="9"/>
      <c r="H554" s="74">
        <f t="shared" si="8"/>
        <v>14497900</v>
      </c>
      <c r="I554" s="35"/>
      <c r="J554" s="19"/>
      <c r="K554" s="19"/>
      <c r="L554" s="19"/>
      <c r="M554" s="19"/>
      <c r="N554" s="36"/>
      <c r="O554" s="2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79"/>
      <c r="AL554" s="45"/>
    </row>
    <row r="555" spans="2:38" x14ac:dyDescent="0.25">
      <c r="B555" s="88"/>
      <c r="C555" s="89"/>
      <c r="D555" s="89"/>
      <c r="E555" s="90"/>
      <c r="F555" s="72"/>
      <c r="G555" s="9"/>
      <c r="H555" s="74">
        <f t="shared" si="8"/>
        <v>14497900</v>
      </c>
      <c r="I555" s="35"/>
      <c r="J555" s="19"/>
      <c r="K555" s="19"/>
      <c r="L555" s="19"/>
      <c r="M555" s="19"/>
      <c r="N555" s="36"/>
      <c r="O555" s="2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79"/>
      <c r="AL555" s="45"/>
    </row>
    <row r="556" spans="2:38" x14ac:dyDescent="0.25">
      <c r="B556" s="88"/>
      <c r="C556" s="89"/>
      <c r="D556" s="89"/>
      <c r="E556" s="90"/>
      <c r="F556" s="72"/>
      <c r="G556" s="9"/>
      <c r="H556" s="74">
        <f t="shared" si="8"/>
        <v>14497900</v>
      </c>
      <c r="I556" s="35"/>
      <c r="J556" s="19"/>
      <c r="K556" s="19"/>
      <c r="L556" s="19"/>
      <c r="M556" s="19"/>
      <c r="N556" s="36"/>
      <c r="O556" s="2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79"/>
      <c r="AL556" s="45"/>
    </row>
    <row r="557" spans="2:38" x14ac:dyDescent="0.25">
      <c r="B557" s="88"/>
      <c r="C557" s="89"/>
      <c r="D557" s="89"/>
      <c r="E557" s="90"/>
      <c r="F557" s="72"/>
      <c r="G557" s="9"/>
      <c r="H557" s="74">
        <f t="shared" si="8"/>
        <v>14497900</v>
      </c>
      <c r="I557" s="35"/>
      <c r="J557" s="19"/>
      <c r="K557" s="19"/>
      <c r="L557" s="19"/>
      <c r="M557" s="19"/>
      <c r="N557" s="36"/>
      <c r="O557" s="2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79"/>
      <c r="AL557" s="45"/>
    </row>
    <row r="558" spans="2:38" x14ac:dyDescent="0.25">
      <c r="B558" s="88"/>
      <c r="C558" s="89"/>
      <c r="D558" s="89"/>
      <c r="E558" s="90"/>
      <c r="F558" s="72"/>
      <c r="G558" s="9"/>
      <c r="H558" s="74">
        <f t="shared" si="8"/>
        <v>14497900</v>
      </c>
      <c r="I558" s="35"/>
      <c r="J558" s="19"/>
      <c r="K558" s="19"/>
      <c r="L558" s="19"/>
      <c r="M558" s="19"/>
      <c r="N558" s="36"/>
      <c r="O558" s="2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79"/>
      <c r="AL558" s="45"/>
    </row>
    <row r="559" spans="2:38" x14ac:dyDescent="0.25">
      <c r="B559" s="88"/>
      <c r="C559" s="89"/>
      <c r="D559" s="89"/>
      <c r="E559" s="90"/>
      <c r="F559" s="72"/>
      <c r="G559" s="9"/>
      <c r="H559" s="74">
        <f t="shared" si="8"/>
        <v>14497900</v>
      </c>
      <c r="I559" s="35"/>
      <c r="J559" s="19"/>
      <c r="K559" s="19"/>
      <c r="L559" s="19"/>
      <c r="M559" s="19"/>
      <c r="N559" s="36"/>
      <c r="O559" s="2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79"/>
      <c r="AL559" s="45"/>
    </row>
    <row r="560" spans="2:38" x14ac:dyDescent="0.25">
      <c r="B560" s="88"/>
      <c r="C560" s="89"/>
      <c r="D560" s="89"/>
      <c r="E560" s="90"/>
      <c r="F560" s="72"/>
      <c r="G560" s="9"/>
      <c r="H560" s="74">
        <f t="shared" si="8"/>
        <v>14497900</v>
      </c>
      <c r="I560" s="35"/>
      <c r="J560" s="19"/>
      <c r="K560" s="19"/>
      <c r="L560" s="19"/>
      <c r="M560" s="19"/>
      <c r="N560" s="36"/>
      <c r="O560" s="2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5"/>
      <c r="AG560" s="11"/>
      <c r="AH560" s="11"/>
      <c r="AI560" s="11"/>
      <c r="AJ560" s="11"/>
      <c r="AK560" s="79"/>
      <c r="AL560" s="45"/>
    </row>
    <row r="561" spans="2:38" x14ac:dyDescent="0.25">
      <c r="B561" s="88"/>
      <c r="C561" s="89"/>
      <c r="D561" s="89"/>
      <c r="E561" s="90"/>
      <c r="F561" s="72"/>
      <c r="G561" s="9"/>
      <c r="H561" s="74">
        <f t="shared" si="8"/>
        <v>14497900</v>
      </c>
      <c r="I561" s="35"/>
      <c r="J561" s="19"/>
      <c r="K561" s="19"/>
      <c r="L561" s="19"/>
      <c r="M561" s="19"/>
      <c r="N561" s="36"/>
      <c r="O561" s="2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5"/>
      <c r="AG561" s="11"/>
      <c r="AH561" s="11"/>
      <c r="AI561" s="11"/>
      <c r="AJ561" s="11"/>
      <c r="AK561" s="79"/>
      <c r="AL561" s="45"/>
    </row>
    <row r="562" spans="2:38" x14ac:dyDescent="0.25">
      <c r="B562" s="88"/>
      <c r="C562" s="89"/>
      <c r="D562" s="89"/>
      <c r="E562" s="90"/>
      <c r="F562" s="72"/>
      <c r="G562" s="9"/>
      <c r="H562" s="74">
        <f t="shared" si="8"/>
        <v>14497900</v>
      </c>
      <c r="I562" s="35"/>
      <c r="J562" s="19"/>
      <c r="K562" s="19"/>
      <c r="L562" s="19"/>
      <c r="M562" s="19"/>
      <c r="N562" s="36"/>
      <c r="O562" s="2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5"/>
      <c r="AG562" s="11"/>
      <c r="AH562" s="11"/>
      <c r="AI562" s="11"/>
      <c r="AJ562" s="11"/>
      <c r="AK562" s="79"/>
      <c r="AL562" s="45"/>
    </row>
    <row r="563" spans="2:38" x14ac:dyDescent="0.25">
      <c r="B563" s="88"/>
      <c r="C563" s="89"/>
      <c r="D563" s="89"/>
      <c r="E563" s="90"/>
      <c r="F563" s="72"/>
      <c r="G563" s="9"/>
      <c r="H563" s="74">
        <f t="shared" si="8"/>
        <v>14497900</v>
      </c>
      <c r="I563" s="35"/>
      <c r="J563" s="19"/>
      <c r="K563" s="19"/>
      <c r="L563" s="19"/>
      <c r="M563" s="19"/>
      <c r="N563" s="36"/>
      <c r="O563" s="2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5"/>
      <c r="AG563" s="11"/>
      <c r="AH563" s="11"/>
      <c r="AI563" s="11"/>
      <c r="AJ563" s="11"/>
      <c r="AK563" s="79"/>
      <c r="AL563" s="45"/>
    </row>
    <row r="564" spans="2:38" x14ac:dyDescent="0.25">
      <c r="B564" s="88"/>
      <c r="C564" s="89"/>
      <c r="D564" s="89"/>
      <c r="E564" s="90"/>
      <c r="F564" s="72"/>
      <c r="G564" s="9"/>
      <c r="H564" s="74">
        <f t="shared" si="8"/>
        <v>14497900</v>
      </c>
      <c r="I564" s="35"/>
      <c r="J564" s="19"/>
      <c r="K564" s="19"/>
      <c r="L564" s="19"/>
      <c r="M564" s="19"/>
      <c r="N564" s="36"/>
      <c r="O564" s="2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5"/>
      <c r="AG564" s="11"/>
      <c r="AH564" s="11"/>
      <c r="AI564" s="11"/>
      <c r="AJ564" s="11"/>
      <c r="AK564" s="79"/>
      <c r="AL564" s="45"/>
    </row>
    <row r="565" spans="2:38" x14ac:dyDescent="0.25">
      <c r="B565" s="88"/>
      <c r="C565" s="89"/>
      <c r="D565" s="89"/>
      <c r="E565" s="90"/>
      <c r="F565" s="72"/>
      <c r="G565" s="9"/>
      <c r="H565" s="74">
        <f t="shared" si="8"/>
        <v>14497900</v>
      </c>
      <c r="I565" s="35"/>
      <c r="J565" s="19"/>
      <c r="K565" s="19"/>
      <c r="L565" s="19"/>
      <c r="M565" s="19"/>
      <c r="N565" s="36"/>
      <c r="O565" s="2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5"/>
      <c r="AG565" s="11"/>
      <c r="AH565" s="11"/>
      <c r="AI565" s="11"/>
      <c r="AJ565" s="11"/>
      <c r="AK565" s="79"/>
      <c r="AL565" s="45"/>
    </row>
    <row r="566" spans="2:38" x14ac:dyDescent="0.25">
      <c r="B566" s="88"/>
      <c r="C566" s="89"/>
      <c r="D566" s="89"/>
      <c r="E566" s="90"/>
      <c r="F566" s="72"/>
      <c r="G566" s="9"/>
      <c r="H566" s="74">
        <f t="shared" si="8"/>
        <v>14497900</v>
      </c>
      <c r="I566" s="35"/>
      <c r="J566" s="19"/>
      <c r="K566" s="19"/>
      <c r="L566" s="19"/>
      <c r="M566" s="19"/>
      <c r="N566" s="36"/>
      <c r="O566" s="2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5"/>
      <c r="AG566" s="11"/>
      <c r="AH566" s="11"/>
      <c r="AI566" s="11"/>
      <c r="AJ566" s="11"/>
      <c r="AK566" s="79"/>
      <c r="AL566" s="45"/>
    </row>
    <row r="567" spans="2:38" x14ac:dyDescent="0.25">
      <c r="B567" s="88"/>
      <c r="C567" s="89"/>
      <c r="D567" s="89"/>
      <c r="E567" s="90"/>
      <c r="F567" s="72"/>
      <c r="G567" s="9"/>
      <c r="H567" s="74">
        <f t="shared" si="8"/>
        <v>14497900</v>
      </c>
      <c r="I567" s="35"/>
      <c r="J567" s="19"/>
      <c r="K567" s="19"/>
      <c r="L567" s="19"/>
      <c r="M567" s="19"/>
      <c r="N567" s="36"/>
      <c r="O567" s="2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5"/>
      <c r="AG567" s="11"/>
      <c r="AH567" s="11"/>
      <c r="AI567" s="11"/>
      <c r="AJ567" s="11"/>
      <c r="AK567" s="79"/>
      <c r="AL567" s="45"/>
    </row>
    <row r="568" spans="2:38" x14ac:dyDescent="0.25">
      <c r="B568" s="88"/>
      <c r="C568" s="89"/>
      <c r="D568" s="89"/>
      <c r="E568" s="90"/>
      <c r="F568" s="72"/>
      <c r="G568" s="9"/>
      <c r="H568" s="74">
        <f t="shared" si="8"/>
        <v>14497900</v>
      </c>
      <c r="I568" s="35"/>
      <c r="J568" s="19"/>
      <c r="K568" s="19"/>
      <c r="L568" s="19"/>
      <c r="M568" s="19"/>
      <c r="N568" s="36"/>
      <c r="O568" s="2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79"/>
      <c r="AL568" s="45"/>
    </row>
    <row r="569" spans="2:38" x14ac:dyDescent="0.25">
      <c r="B569" s="88"/>
      <c r="C569" s="89"/>
      <c r="D569" s="89"/>
      <c r="E569" s="90"/>
      <c r="F569" s="72"/>
      <c r="G569" s="9"/>
      <c r="H569" s="74">
        <f t="shared" si="8"/>
        <v>14497900</v>
      </c>
      <c r="I569" s="35"/>
      <c r="J569" s="19"/>
      <c r="K569" s="19"/>
      <c r="L569" s="19"/>
      <c r="M569" s="19"/>
      <c r="N569" s="36"/>
      <c r="O569" s="2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79"/>
      <c r="AL569" s="45"/>
    </row>
    <row r="570" spans="2:38" x14ac:dyDescent="0.25">
      <c r="B570" s="88"/>
      <c r="C570" s="89"/>
      <c r="D570" s="89"/>
      <c r="E570" s="90"/>
      <c r="F570" s="72"/>
      <c r="G570" s="9"/>
      <c r="H570" s="74">
        <f t="shared" si="8"/>
        <v>14497900</v>
      </c>
      <c r="I570" s="35"/>
      <c r="J570" s="19"/>
      <c r="K570" s="19"/>
      <c r="L570" s="19"/>
      <c r="M570" s="19"/>
      <c r="N570" s="36"/>
      <c r="O570" s="2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79"/>
      <c r="AL570" s="45"/>
    </row>
    <row r="571" spans="2:38" x14ac:dyDescent="0.25">
      <c r="B571" s="88"/>
      <c r="C571" s="89"/>
      <c r="D571" s="89"/>
      <c r="E571" s="90"/>
      <c r="F571" s="72"/>
      <c r="G571" s="9"/>
      <c r="H571" s="74">
        <f t="shared" si="8"/>
        <v>14497900</v>
      </c>
      <c r="I571" s="35"/>
      <c r="J571" s="19"/>
      <c r="K571" s="19"/>
      <c r="L571" s="19"/>
      <c r="M571" s="19"/>
      <c r="N571" s="36"/>
      <c r="O571" s="2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79"/>
      <c r="AL571" s="45"/>
    </row>
    <row r="572" spans="2:38" x14ac:dyDescent="0.25">
      <c r="B572" s="88"/>
      <c r="C572" s="89"/>
      <c r="D572" s="89"/>
      <c r="E572" s="90"/>
      <c r="F572" s="72"/>
      <c r="G572" s="9"/>
      <c r="H572" s="74">
        <f t="shared" si="8"/>
        <v>14497900</v>
      </c>
      <c r="I572" s="35"/>
      <c r="J572" s="19"/>
      <c r="K572" s="19"/>
      <c r="L572" s="19"/>
      <c r="M572" s="19"/>
      <c r="N572" s="36"/>
      <c r="O572" s="2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79"/>
      <c r="AL572" s="45"/>
    </row>
    <row r="573" spans="2:38" x14ac:dyDescent="0.25">
      <c r="B573" s="88"/>
      <c r="C573" s="89"/>
      <c r="D573" s="89"/>
      <c r="E573" s="90"/>
      <c r="F573" s="72"/>
      <c r="G573" s="9"/>
      <c r="H573" s="74">
        <f t="shared" si="8"/>
        <v>14497900</v>
      </c>
      <c r="I573" s="35"/>
      <c r="J573" s="19"/>
      <c r="K573" s="19"/>
      <c r="L573" s="19"/>
      <c r="M573" s="19"/>
      <c r="N573" s="36"/>
      <c r="O573" s="2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79"/>
      <c r="AL573" s="45"/>
    </row>
    <row r="574" spans="2:38" x14ac:dyDescent="0.25">
      <c r="B574" s="88"/>
      <c r="C574" s="89"/>
      <c r="D574" s="89"/>
      <c r="E574" s="90"/>
      <c r="F574" s="72"/>
      <c r="G574" s="9"/>
      <c r="H574" s="74">
        <f t="shared" si="8"/>
        <v>14497900</v>
      </c>
      <c r="I574" s="35"/>
      <c r="J574" s="19"/>
      <c r="K574" s="19"/>
      <c r="L574" s="19"/>
      <c r="M574" s="19"/>
      <c r="N574" s="36"/>
      <c r="O574" s="2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79"/>
      <c r="AL574" s="45"/>
    </row>
    <row r="575" spans="2:38" x14ac:dyDescent="0.25">
      <c r="B575" s="88"/>
      <c r="C575" s="89"/>
      <c r="D575" s="89"/>
      <c r="E575" s="90"/>
      <c r="F575" s="72"/>
      <c r="G575" s="9"/>
      <c r="H575" s="74">
        <f t="shared" si="8"/>
        <v>14497900</v>
      </c>
      <c r="I575" s="35"/>
      <c r="J575" s="19"/>
      <c r="K575" s="19"/>
      <c r="L575" s="19"/>
      <c r="M575" s="19"/>
      <c r="N575" s="36"/>
      <c r="O575" s="2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79"/>
      <c r="AL575" s="45"/>
    </row>
    <row r="576" spans="2:38" x14ac:dyDescent="0.25">
      <c r="B576" s="88"/>
      <c r="C576" s="89"/>
      <c r="D576" s="89"/>
      <c r="E576" s="90"/>
      <c r="F576" s="72"/>
      <c r="G576" s="9"/>
      <c r="H576" s="74">
        <f t="shared" si="8"/>
        <v>14497900</v>
      </c>
      <c r="I576" s="35"/>
      <c r="J576" s="19"/>
      <c r="K576" s="19"/>
      <c r="L576" s="19"/>
      <c r="M576" s="19"/>
      <c r="N576" s="36"/>
      <c r="O576" s="2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79"/>
      <c r="AL576" s="45"/>
    </row>
    <row r="577" spans="2:38" x14ac:dyDescent="0.25">
      <c r="B577" s="88"/>
      <c r="C577" s="89"/>
      <c r="D577" s="89"/>
      <c r="E577" s="90"/>
      <c r="F577" s="72"/>
      <c r="G577" s="9"/>
      <c r="H577" s="74">
        <f t="shared" si="8"/>
        <v>14497900</v>
      </c>
      <c r="I577" s="35"/>
      <c r="J577" s="19"/>
      <c r="K577" s="19"/>
      <c r="L577" s="19"/>
      <c r="M577" s="19"/>
      <c r="N577" s="36"/>
      <c r="O577" s="2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79"/>
      <c r="AL577" s="45"/>
    </row>
    <row r="578" spans="2:38" x14ac:dyDescent="0.25">
      <c r="B578" s="88"/>
      <c r="C578" s="89"/>
      <c r="D578" s="89"/>
      <c r="E578" s="90"/>
      <c r="F578" s="72"/>
      <c r="G578" s="9"/>
      <c r="H578" s="74">
        <f t="shared" si="8"/>
        <v>14497900</v>
      </c>
      <c r="I578" s="35"/>
      <c r="J578" s="19"/>
      <c r="K578" s="19"/>
      <c r="L578" s="19"/>
      <c r="M578" s="19"/>
      <c r="N578" s="36"/>
      <c r="O578" s="2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79"/>
      <c r="AL578" s="45"/>
    </row>
    <row r="579" spans="2:38" x14ac:dyDescent="0.25">
      <c r="B579" s="88"/>
      <c r="C579" s="89"/>
      <c r="D579" s="89"/>
      <c r="E579" s="90"/>
      <c r="F579" s="72"/>
      <c r="G579" s="9"/>
      <c r="H579" s="74">
        <f t="shared" si="8"/>
        <v>14497900</v>
      </c>
      <c r="I579" s="35"/>
      <c r="J579" s="19"/>
      <c r="K579" s="19"/>
      <c r="L579" s="19"/>
      <c r="M579" s="19"/>
      <c r="N579" s="36"/>
      <c r="O579" s="2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79"/>
      <c r="AL579" s="45"/>
    </row>
    <row r="580" spans="2:38" x14ac:dyDescent="0.25">
      <c r="B580" s="88"/>
      <c r="C580" s="89"/>
      <c r="D580" s="89"/>
      <c r="E580" s="90"/>
      <c r="F580" s="72"/>
      <c r="G580" s="9"/>
      <c r="H580" s="74">
        <f t="shared" si="8"/>
        <v>14497900</v>
      </c>
      <c r="I580" s="35"/>
      <c r="J580" s="19"/>
      <c r="K580" s="19"/>
      <c r="L580" s="19"/>
      <c r="M580" s="19"/>
      <c r="N580" s="36"/>
      <c r="O580" s="22"/>
      <c r="P580" s="11"/>
      <c r="Q580" s="11"/>
      <c r="R580" s="11"/>
      <c r="S580" s="11"/>
      <c r="T580" s="11"/>
      <c r="U580" s="11"/>
      <c r="V580" s="11"/>
      <c r="W580" s="11"/>
      <c r="X580" s="11"/>
      <c r="Y580" s="14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79"/>
      <c r="AL580" s="45"/>
    </row>
    <row r="581" spans="2:38" x14ac:dyDescent="0.25">
      <c r="B581" s="88"/>
      <c r="C581" s="89"/>
      <c r="D581" s="89"/>
      <c r="E581" s="90"/>
      <c r="F581" s="72"/>
      <c r="G581" s="9"/>
      <c r="H581" s="74">
        <f t="shared" si="8"/>
        <v>14497900</v>
      </c>
      <c r="I581" s="35"/>
      <c r="J581" s="19"/>
      <c r="K581" s="19"/>
      <c r="L581" s="19"/>
      <c r="M581" s="19"/>
      <c r="N581" s="36"/>
      <c r="O581" s="2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79"/>
      <c r="AL581" s="45"/>
    </row>
    <row r="582" spans="2:38" x14ac:dyDescent="0.25">
      <c r="B582" s="88"/>
      <c r="C582" s="89"/>
      <c r="D582" s="89"/>
      <c r="E582" s="90"/>
      <c r="F582" s="72"/>
      <c r="G582" s="9"/>
      <c r="H582" s="74">
        <f t="shared" si="8"/>
        <v>14497900</v>
      </c>
      <c r="I582" s="35"/>
      <c r="J582" s="19"/>
      <c r="K582" s="19"/>
      <c r="L582" s="19"/>
      <c r="M582" s="19"/>
      <c r="N582" s="36"/>
      <c r="O582" s="22"/>
      <c r="P582" s="11"/>
      <c r="Q582" s="11"/>
      <c r="R582" s="11"/>
      <c r="S582" s="11"/>
      <c r="T582" s="12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79"/>
      <c r="AL582" s="45"/>
    </row>
    <row r="583" spans="2:38" x14ac:dyDescent="0.25">
      <c r="B583" s="88"/>
      <c r="C583" s="89"/>
      <c r="D583" s="89"/>
      <c r="E583" s="90"/>
      <c r="F583" s="72"/>
      <c r="G583" s="9"/>
      <c r="H583" s="74">
        <f t="shared" si="8"/>
        <v>14497900</v>
      </c>
      <c r="I583" s="35"/>
      <c r="J583" s="19"/>
      <c r="K583" s="19"/>
      <c r="L583" s="19"/>
      <c r="M583" s="19"/>
      <c r="N583" s="36"/>
      <c r="O583" s="22"/>
      <c r="P583" s="1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7"/>
      <c r="AI583" s="17"/>
      <c r="AJ583" s="17"/>
      <c r="AK583" s="83"/>
      <c r="AL583" s="45"/>
    </row>
    <row r="584" spans="2:38" x14ac:dyDescent="0.25">
      <c r="B584" s="88"/>
      <c r="C584" s="89"/>
      <c r="D584" s="89"/>
      <c r="E584" s="90"/>
      <c r="F584" s="72"/>
      <c r="G584" s="9"/>
      <c r="H584" s="74">
        <f t="shared" si="8"/>
        <v>14497900</v>
      </c>
      <c r="I584" s="35"/>
      <c r="J584" s="19"/>
      <c r="K584" s="19"/>
      <c r="L584" s="19"/>
      <c r="M584" s="19"/>
      <c r="N584" s="36"/>
      <c r="O584" s="2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8"/>
      <c r="AI584" s="18"/>
      <c r="AJ584" s="18"/>
      <c r="AK584" s="84"/>
      <c r="AL584" s="45"/>
    </row>
    <row r="585" spans="2:38" x14ac:dyDescent="0.25">
      <c r="B585" s="88"/>
      <c r="C585" s="89"/>
      <c r="D585" s="89"/>
      <c r="E585" s="90"/>
      <c r="F585" s="72"/>
      <c r="G585" s="9"/>
      <c r="H585" s="74">
        <f t="shared" si="8"/>
        <v>14497900</v>
      </c>
      <c r="I585" s="35"/>
      <c r="J585" s="19"/>
      <c r="K585" s="19"/>
      <c r="L585" s="19"/>
      <c r="M585" s="19"/>
      <c r="N585" s="36"/>
      <c r="O585" s="2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79"/>
      <c r="AL585" s="45"/>
    </row>
    <row r="586" spans="2:38" x14ac:dyDescent="0.25">
      <c r="B586" s="88"/>
      <c r="C586" s="89"/>
      <c r="D586" s="89"/>
      <c r="E586" s="90"/>
      <c r="F586" s="72"/>
      <c r="G586" s="9"/>
      <c r="H586" s="74">
        <f t="shared" si="8"/>
        <v>14497900</v>
      </c>
      <c r="I586" s="35"/>
      <c r="J586" s="19"/>
      <c r="K586" s="19"/>
      <c r="L586" s="19"/>
      <c r="M586" s="19"/>
      <c r="N586" s="36"/>
      <c r="O586" s="2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8"/>
      <c r="AI586" s="18"/>
      <c r="AJ586" s="18"/>
      <c r="AK586" s="84"/>
      <c r="AL586" s="45"/>
    </row>
    <row r="587" spans="2:38" x14ac:dyDescent="0.25">
      <c r="B587" s="88"/>
      <c r="C587" s="89"/>
      <c r="D587" s="89"/>
      <c r="E587" s="90"/>
      <c r="F587" s="72"/>
      <c r="G587" s="9"/>
      <c r="H587" s="74">
        <f t="shared" si="8"/>
        <v>14497900</v>
      </c>
      <c r="I587" s="35"/>
      <c r="J587" s="19"/>
      <c r="K587" s="19"/>
      <c r="L587" s="19"/>
      <c r="M587" s="19"/>
      <c r="N587" s="36"/>
      <c r="O587" s="2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79"/>
      <c r="AL587" s="45"/>
    </row>
    <row r="588" spans="2:38" x14ac:dyDescent="0.25">
      <c r="B588" s="88"/>
      <c r="C588" s="89"/>
      <c r="D588" s="89"/>
      <c r="E588" s="90"/>
      <c r="F588" s="72"/>
      <c r="G588" s="9"/>
      <c r="H588" s="74">
        <f t="shared" si="8"/>
        <v>14497900</v>
      </c>
      <c r="I588" s="35"/>
      <c r="J588" s="19"/>
      <c r="K588" s="19"/>
      <c r="L588" s="19"/>
      <c r="M588" s="19"/>
      <c r="N588" s="36"/>
      <c r="O588" s="2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79"/>
      <c r="AL588" s="45"/>
    </row>
    <row r="589" spans="2:38" ht="10" thickBot="1" x14ac:dyDescent="0.3">
      <c r="B589" s="88"/>
      <c r="C589" s="89"/>
      <c r="D589" s="89"/>
      <c r="E589" s="90"/>
      <c r="F589" s="96"/>
      <c r="G589" s="97"/>
      <c r="H589" s="74">
        <f t="shared" si="8"/>
        <v>14497900</v>
      </c>
      <c r="I589" s="42"/>
      <c r="J589" s="43"/>
      <c r="K589" s="43"/>
      <c r="L589" s="43"/>
      <c r="M589" s="43"/>
      <c r="N589" s="44"/>
      <c r="O589" s="48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4"/>
      <c r="AA589" s="54"/>
      <c r="AB589" s="54"/>
      <c r="AC589" s="54"/>
      <c r="AD589" s="53"/>
      <c r="AE589" s="53"/>
      <c r="AF589" s="53"/>
      <c r="AG589" s="53"/>
      <c r="AH589" s="53"/>
      <c r="AI589" s="53"/>
      <c r="AJ589" s="53"/>
      <c r="AK589" s="85"/>
      <c r="AL589" s="55"/>
    </row>
    <row r="590" spans="2:38" ht="10" thickBot="1" x14ac:dyDescent="0.3">
      <c r="B590" s="93"/>
      <c r="C590" s="94"/>
      <c r="D590" s="94"/>
      <c r="E590" s="95"/>
      <c r="F590" s="99">
        <f>SUM(F12:F589)</f>
        <v>112000000</v>
      </c>
      <c r="G590" s="100">
        <f>SUM(G12:G589)</f>
        <v>97502100</v>
      </c>
      <c r="H590" s="101"/>
      <c r="I590" s="39">
        <f t="shared" ref="I590:N590" si="9">SUM(I16:I589)</f>
        <v>0</v>
      </c>
      <c r="J590" s="40">
        <f t="shared" si="9"/>
        <v>0</v>
      </c>
      <c r="K590" s="40">
        <f t="shared" si="9"/>
        <v>0</v>
      </c>
      <c r="L590" s="40">
        <f t="shared" si="9"/>
        <v>0</v>
      </c>
      <c r="M590" s="40">
        <f t="shared" si="9"/>
        <v>0</v>
      </c>
      <c r="N590" s="41">
        <f t="shared" si="9"/>
        <v>0</v>
      </c>
      <c r="O590" s="49">
        <f t="shared" ref="O590:AH590" si="10">SUM(O12:O589)</f>
        <v>0</v>
      </c>
      <c r="P590" s="50">
        <f t="shared" si="10"/>
        <v>0</v>
      </c>
      <c r="Q590" s="50">
        <f t="shared" si="10"/>
        <v>0</v>
      </c>
      <c r="R590" s="50">
        <f t="shared" si="10"/>
        <v>0</v>
      </c>
      <c r="S590" s="50">
        <f t="shared" si="10"/>
        <v>0</v>
      </c>
      <c r="T590" s="50">
        <f t="shared" si="10"/>
        <v>0</v>
      </c>
      <c r="U590" s="50">
        <f t="shared" si="10"/>
        <v>0</v>
      </c>
      <c r="V590" s="50">
        <f t="shared" si="10"/>
        <v>0</v>
      </c>
      <c r="W590" s="50">
        <f t="shared" si="10"/>
        <v>0</v>
      </c>
      <c r="X590" s="51">
        <f t="shared" si="10"/>
        <v>0</v>
      </c>
      <c r="Y590" s="50">
        <f t="shared" si="10"/>
        <v>0</v>
      </c>
      <c r="Z590" s="50">
        <f t="shared" si="10"/>
        <v>0</v>
      </c>
      <c r="AA590" s="50">
        <f t="shared" si="10"/>
        <v>0</v>
      </c>
      <c r="AB590" s="50">
        <f t="shared" si="10"/>
        <v>0</v>
      </c>
      <c r="AC590" s="50">
        <f t="shared" si="10"/>
        <v>0</v>
      </c>
      <c r="AD590" s="50">
        <f t="shared" si="10"/>
        <v>0</v>
      </c>
      <c r="AE590" s="50">
        <f t="shared" si="10"/>
        <v>0</v>
      </c>
      <c r="AF590" s="50">
        <f t="shared" si="10"/>
        <v>0</v>
      </c>
      <c r="AG590" s="50">
        <f t="shared" si="10"/>
        <v>0</v>
      </c>
      <c r="AH590" s="50">
        <f t="shared" si="10"/>
        <v>50000</v>
      </c>
      <c r="AI590" s="50"/>
      <c r="AJ590" s="50">
        <f>SUM(AJ12:AJ589)</f>
        <v>0</v>
      </c>
      <c r="AK590" s="86"/>
      <c r="AL590" s="52">
        <f>SUM(AL12:AL589)</f>
        <v>0</v>
      </c>
    </row>
    <row r="591" spans="2:38" x14ac:dyDescent="0.25">
      <c r="G591" s="8"/>
      <c r="H591" s="8"/>
      <c r="I591" s="8"/>
      <c r="J591" s="8"/>
      <c r="K591" s="8"/>
      <c r="L591" s="8"/>
      <c r="M591" s="8"/>
      <c r="N591" s="8"/>
      <c r="O591" s="4"/>
      <c r="R591" s="4"/>
      <c r="S591" s="4"/>
      <c r="X591" s="4"/>
      <c r="Z591" s="4"/>
      <c r="AA591" s="4"/>
      <c r="AB591" s="4"/>
      <c r="AC591" s="4"/>
      <c r="AF591" s="4"/>
    </row>
    <row r="592" spans="2:38" x14ac:dyDescent="0.25">
      <c r="G592" s="8"/>
      <c r="H592" s="8"/>
      <c r="I592" s="8"/>
      <c r="J592" s="8"/>
      <c r="K592" s="8"/>
      <c r="L592" s="8"/>
      <c r="M592" s="8"/>
      <c r="N592" s="8"/>
      <c r="O592" s="4"/>
      <c r="R592" s="4"/>
      <c r="S592" s="4"/>
      <c r="X592" s="4"/>
      <c r="Z592" s="4"/>
      <c r="AA592" s="4"/>
      <c r="AB592" s="4"/>
      <c r="AC592" s="4"/>
      <c r="AF592" s="4"/>
    </row>
  </sheetData>
  <mergeCells count="12">
    <mergeCell ref="O12:Q12"/>
    <mergeCell ref="R12:AJ12"/>
    <mergeCell ref="AK12:AL12"/>
    <mergeCell ref="I11:N12"/>
    <mergeCell ref="O11:AL11"/>
    <mergeCell ref="G12:G13"/>
    <mergeCell ref="H12:H13"/>
    <mergeCell ref="B12:B13"/>
    <mergeCell ref="C12:C13"/>
    <mergeCell ref="D12:D13"/>
    <mergeCell ref="E12:E13"/>
    <mergeCell ref="F12:F13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5"/>
  <sheetViews>
    <sheetView topLeftCell="A28" workbookViewId="0">
      <selection activeCell="H73" sqref="H73"/>
    </sheetView>
  </sheetViews>
  <sheetFormatPr defaultColWidth="11.453125" defaultRowHeight="9.5" x14ac:dyDescent="0.25"/>
  <cols>
    <col min="1" max="1" width="2.453125" style="4" customWidth="1"/>
    <col min="2" max="2" width="6.81640625" style="4" bestFit="1" customWidth="1"/>
    <col min="3" max="3" width="37.36328125" style="254" customWidth="1"/>
    <col min="4" max="4" width="17.6328125" style="4" customWidth="1"/>
    <col min="5" max="5" width="11.6328125" style="254" customWidth="1"/>
    <col min="6" max="6" width="9.08984375" style="4" customWidth="1"/>
    <col min="7" max="7" width="17.26953125" style="4" customWidth="1"/>
    <col min="8" max="8" width="9.81640625" style="4" bestFit="1" customWidth="1"/>
    <col min="9" max="16384" width="11.453125" style="4"/>
  </cols>
  <sheetData>
    <row r="1" spans="2:8" x14ac:dyDescent="0.25">
      <c r="B1" s="1"/>
      <c r="C1" s="251"/>
      <c r="D1" s="1"/>
      <c r="E1" s="251"/>
      <c r="F1" s="1"/>
      <c r="G1" s="2"/>
      <c r="H1" s="2"/>
    </row>
    <row r="2" spans="2:8" x14ac:dyDescent="0.25">
      <c r="B2" s="1"/>
      <c r="C2" s="251"/>
      <c r="D2" s="1"/>
      <c r="E2" s="251"/>
      <c r="F2" s="1"/>
      <c r="G2" s="2"/>
      <c r="H2" s="2"/>
    </row>
    <row r="3" spans="2:8" x14ac:dyDescent="0.25">
      <c r="B3" s="1"/>
      <c r="C3" s="251"/>
      <c r="D3" s="1"/>
      <c r="E3" s="251"/>
      <c r="F3" s="1"/>
      <c r="G3" s="2"/>
      <c r="H3" s="2"/>
    </row>
    <row r="4" spans="2:8" x14ac:dyDescent="0.25">
      <c r="B4" s="1"/>
      <c r="C4" s="251"/>
      <c r="D4" s="1"/>
      <c r="E4" s="251"/>
      <c r="F4" s="1"/>
      <c r="G4" s="2"/>
      <c r="H4" s="2"/>
    </row>
    <row r="5" spans="2:8" x14ac:dyDescent="0.25">
      <c r="B5" s="1"/>
      <c r="C5" s="251"/>
      <c r="D5" s="1"/>
      <c r="E5" s="251"/>
      <c r="F5" s="1"/>
      <c r="G5" s="2"/>
      <c r="H5" s="2"/>
    </row>
    <row r="6" spans="2:8" x14ac:dyDescent="0.25">
      <c r="B6" s="1"/>
      <c r="C6" s="251"/>
      <c r="D6" s="1"/>
      <c r="E6" s="251"/>
      <c r="F6" s="1"/>
      <c r="G6" s="2"/>
      <c r="H6" s="2"/>
    </row>
    <row r="7" spans="2:8" x14ac:dyDescent="0.25">
      <c r="B7" s="1"/>
      <c r="C7" s="251"/>
      <c r="D7" s="1"/>
      <c r="E7" s="251"/>
      <c r="F7" s="1"/>
      <c r="G7" s="2"/>
      <c r="H7" s="2"/>
    </row>
    <row r="8" spans="2:8" x14ac:dyDescent="0.25">
      <c r="B8" s="1"/>
      <c r="C8" s="251"/>
      <c r="D8" s="1"/>
      <c r="E8" s="251"/>
      <c r="F8" s="1"/>
      <c r="G8" s="2"/>
      <c r="H8" s="2"/>
    </row>
    <row r="9" spans="2:8" x14ac:dyDescent="0.25">
      <c r="B9" s="1"/>
      <c r="C9" s="251"/>
      <c r="D9" s="1"/>
      <c r="E9" s="251"/>
      <c r="F9" s="1"/>
      <c r="G9" s="2"/>
      <c r="H9" s="2"/>
    </row>
    <row r="10" spans="2:8" x14ac:dyDescent="0.25">
      <c r="B10" s="76" t="s">
        <v>25</v>
      </c>
      <c r="C10" s="260"/>
      <c r="D10" s="1"/>
      <c r="E10" s="251"/>
      <c r="F10" s="1"/>
      <c r="G10" s="2"/>
      <c r="H10" s="2"/>
    </row>
    <row r="11" spans="2:8" ht="10" thickBot="1" x14ac:dyDescent="0.3">
      <c r="B11" s="1"/>
      <c r="C11" s="251"/>
      <c r="D11" s="1"/>
      <c r="E11" s="251"/>
      <c r="F11" s="1"/>
      <c r="G11" s="2"/>
      <c r="H11" s="2"/>
    </row>
    <row r="12" spans="2:8" s="6" customFormat="1" ht="7.5" customHeight="1" x14ac:dyDescent="0.35">
      <c r="B12" s="305" t="s">
        <v>26</v>
      </c>
      <c r="C12" s="299" t="s">
        <v>22</v>
      </c>
      <c r="D12" s="299" t="s">
        <v>27</v>
      </c>
      <c r="E12" s="307" t="s">
        <v>38</v>
      </c>
      <c r="F12" s="301" t="s">
        <v>23</v>
      </c>
      <c r="G12" s="303" t="s">
        <v>20</v>
      </c>
      <c r="H12" s="297" t="s">
        <v>21</v>
      </c>
    </row>
    <row r="13" spans="2:8" s="6" customFormat="1" ht="10" thickBot="1" x14ac:dyDescent="0.4">
      <c r="B13" s="306"/>
      <c r="C13" s="300"/>
      <c r="D13" s="300"/>
      <c r="E13" s="308"/>
      <c r="F13" s="302"/>
      <c r="G13" s="304"/>
      <c r="H13" s="298"/>
    </row>
    <row r="14" spans="2:8" s="119" customFormat="1" x14ac:dyDescent="0.35">
      <c r="B14" s="107"/>
      <c r="C14" s="132"/>
      <c r="D14" s="108"/>
      <c r="E14" s="250"/>
      <c r="F14" s="128" t="s">
        <v>19</v>
      </c>
      <c r="G14" s="130" t="s">
        <v>19</v>
      </c>
      <c r="H14" s="110" t="s">
        <v>19</v>
      </c>
    </row>
    <row r="15" spans="2:8" s="119" customFormat="1" x14ac:dyDescent="0.2">
      <c r="B15" s="107"/>
      <c r="C15" s="132"/>
      <c r="D15" s="108"/>
      <c r="E15" s="250"/>
      <c r="F15" s="128">
        <v>0</v>
      </c>
      <c r="G15" s="131">
        <v>0</v>
      </c>
      <c r="H15" s="73">
        <f>F15-G15</f>
        <v>0</v>
      </c>
    </row>
    <row r="16" spans="2:8" s="119" customFormat="1" x14ac:dyDescent="0.2">
      <c r="B16" s="107"/>
      <c r="C16" s="132" t="s">
        <v>188</v>
      </c>
      <c r="D16" s="108"/>
      <c r="E16" s="250" t="s">
        <v>312</v>
      </c>
      <c r="F16" s="128">
        <v>0</v>
      </c>
      <c r="G16" s="131">
        <v>250000</v>
      </c>
      <c r="H16" s="74">
        <f t="shared" ref="H16:H61" si="0">H15+F16-G16</f>
        <v>-250000</v>
      </c>
    </row>
    <row r="17" spans="2:8" s="119" customFormat="1" x14ac:dyDescent="0.2">
      <c r="B17" s="107"/>
      <c r="C17" s="132" t="s">
        <v>187</v>
      </c>
      <c r="D17" s="108"/>
      <c r="E17" s="250" t="s">
        <v>312</v>
      </c>
      <c r="F17" s="128">
        <v>0</v>
      </c>
      <c r="G17" s="131">
        <v>250000</v>
      </c>
      <c r="H17" s="74">
        <f t="shared" si="0"/>
        <v>-500000</v>
      </c>
    </row>
    <row r="18" spans="2:8" x14ac:dyDescent="0.25">
      <c r="B18" s="88">
        <v>44829</v>
      </c>
      <c r="C18" s="132" t="s">
        <v>185</v>
      </c>
      <c r="D18" s="108"/>
      <c r="E18" s="149"/>
      <c r="F18" s="128">
        <v>0</v>
      </c>
      <c r="G18" s="131">
        <v>3590000</v>
      </c>
      <c r="H18" s="74">
        <f t="shared" si="0"/>
        <v>-4090000</v>
      </c>
    </row>
    <row r="19" spans="2:8" x14ac:dyDescent="0.25">
      <c r="B19" s="88">
        <v>44839</v>
      </c>
      <c r="C19" s="132" t="s">
        <v>186</v>
      </c>
      <c r="D19" s="108"/>
      <c r="E19" s="149" t="s">
        <v>313</v>
      </c>
      <c r="F19" s="128">
        <v>0</v>
      </c>
      <c r="G19" s="131">
        <v>10000000</v>
      </c>
      <c r="H19" s="74">
        <f t="shared" si="0"/>
        <v>-14090000</v>
      </c>
    </row>
    <row r="20" spans="2:8" x14ac:dyDescent="0.25">
      <c r="B20" s="88">
        <v>44841</v>
      </c>
      <c r="C20" s="132" t="s">
        <v>193</v>
      </c>
      <c r="D20" s="108"/>
      <c r="E20" s="149" t="s">
        <v>312</v>
      </c>
      <c r="F20" s="128">
        <v>0</v>
      </c>
      <c r="G20" s="131">
        <v>10416300</v>
      </c>
      <c r="H20" s="74">
        <f t="shared" si="0"/>
        <v>-24506300</v>
      </c>
    </row>
    <row r="21" spans="2:8" x14ac:dyDescent="0.25">
      <c r="B21" s="88">
        <v>44858</v>
      </c>
      <c r="C21" s="132" t="s">
        <v>189</v>
      </c>
      <c r="D21" s="108"/>
      <c r="E21" s="149" t="s">
        <v>312</v>
      </c>
      <c r="F21" s="128">
        <v>0</v>
      </c>
      <c r="G21" s="131">
        <v>250000</v>
      </c>
      <c r="H21" s="74">
        <f t="shared" si="0"/>
        <v>-24756300</v>
      </c>
    </row>
    <row r="22" spans="2:8" x14ac:dyDescent="0.25">
      <c r="B22" s="88">
        <v>44858</v>
      </c>
      <c r="C22" s="132" t="s">
        <v>190</v>
      </c>
      <c r="D22" s="108"/>
      <c r="E22" s="149" t="s">
        <v>312</v>
      </c>
      <c r="F22" s="128">
        <v>0</v>
      </c>
      <c r="G22" s="131">
        <v>250000</v>
      </c>
      <c r="H22" s="74">
        <f t="shared" si="0"/>
        <v>-25006300</v>
      </c>
    </row>
    <row r="23" spans="2:8" x14ac:dyDescent="0.25">
      <c r="B23" s="88">
        <v>44858</v>
      </c>
      <c r="C23" s="132" t="s">
        <v>191</v>
      </c>
      <c r="D23" s="108"/>
      <c r="E23" s="149"/>
      <c r="F23" s="128">
        <v>0</v>
      </c>
      <c r="G23" s="131">
        <v>150000</v>
      </c>
      <c r="H23" s="74">
        <f t="shared" si="0"/>
        <v>-25156300</v>
      </c>
    </row>
    <row r="24" spans="2:8" x14ac:dyDescent="0.25">
      <c r="B24" s="88">
        <v>44858</v>
      </c>
      <c r="C24" s="132" t="s">
        <v>192</v>
      </c>
      <c r="D24" s="108"/>
      <c r="E24" s="149"/>
      <c r="F24" s="128">
        <v>0</v>
      </c>
      <c r="G24" s="131">
        <v>150000</v>
      </c>
      <c r="H24" s="74">
        <f t="shared" si="0"/>
        <v>-25306300</v>
      </c>
    </row>
    <row r="25" spans="2:8" x14ac:dyDescent="0.25">
      <c r="B25" s="88"/>
      <c r="C25" s="132" t="s">
        <v>246</v>
      </c>
      <c r="D25" s="108"/>
      <c r="E25" s="149"/>
      <c r="F25" s="128">
        <v>0</v>
      </c>
      <c r="G25" s="131">
        <v>50000</v>
      </c>
      <c r="H25" s="74">
        <f t="shared" si="0"/>
        <v>-25356300</v>
      </c>
    </row>
    <row r="26" spans="2:8" x14ac:dyDescent="0.25">
      <c r="B26" s="88">
        <v>44887</v>
      </c>
      <c r="C26" s="132" t="s">
        <v>285</v>
      </c>
      <c r="D26" s="108"/>
      <c r="E26" s="149" t="s">
        <v>314</v>
      </c>
      <c r="F26" s="128">
        <v>0</v>
      </c>
      <c r="G26" s="131">
        <v>90000</v>
      </c>
      <c r="H26" s="74">
        <f t="shared" si="0"/>
        <v>-25446300</v>
      </c>
    </row>
    <row r="27" spans="2:8" x14ac:dyDescent="0.25">
      <c r="B27" s="88">
        <v>44887</v>
      </c>
      <c r="C27" s="132" t="s">
        <v>286</v>
      </c>
      <c r="D27" s="108"/>
      <c r="E27" s="149" t="s">
        <v>312</v>
      </c>
      <c r="F27" s="128">
        <v>0</v>
      </c>
      <c r="G27" s="131">
        <v>10000000</v>
      </c>
      <c r="H27" s="74">
        <f t="shared" si="0"/>
        <v>-35446300</v>
      </c>
    </row>
    <row r="28" spans="2:8" x14ac:dyDescent="0.25">
      <c r="B28" s="88">
        <v>44887</v>
      </c>
      <c r="C28" s="132" t="s">
        <v>343</v>
      </c>
      <c r="D28" s="108"/>
      <c r="E28" s="149"/>
      <c r="F28" s="128">
        <v>0</v>
      </c>
      <c r="G28" s="131">
        <v>300000</v>
      </c>
      <c r="H28" s="74">
        <f t="shared" si="0"/>
        <v>-35746300</v>
      </c>
    </row>
    <row r="29" spans="2:8" x14ac:dyDescent="0.25">
      <c r="B29" s="88">
        <v>44887</v>
      </c>
      <c r="C29" s="132" t="s">
        <v>300</v>
      </c>
      <c r="D29" s="108"/>
      <c r="E29" s="149" t="s">
        <v>312</v>
      </c>
      <c r="F29" s="128">
        <v>0</v>
      </c>
      <c r="G29" s="131">
        <v>250000</v>
      </c>
      <c r="H29" s="74">
        <f t="shared" si="0"/>
        <v>-35996300</v>
      </c>
    </row>
    <row r="30" spans="2:8" x14ac:dyDescent="0.25">
      <c r="B30" s="88">
        <v>44887</v>
      </c>
      <c r="C30" s="132" t="s">
        <v>299</v>
      </c>
      <c r="D30" s="108"/>
      <c r="E30" s="149" t="s">
        <v>312</v>
      </c>
      <c r="F30" s="128">
        <v>0</v>
      </c>
      <c r="G30" s="131">
        <v>250000</v>
      </c>
      <c r="H30" s="74">
        <f t="shared" si="0"/>
        <v>-36246300</v>
      </c>
    </row>
    <row r="31" spans="2:8" x14ac:dyDescent="0.25">
      <c r="B31" s="88">
        <v>44887</v>
      </c>
      <c r="C31" s="132" t="s">
        <v>298</v>
      </c>
      <c r="D31" s="108"/>
      <c r="E31" s="149"/>
      <c r="F31" s="128">
        <v>0</v>
      </c>
      <c r="G31" s="131">
        <v>150000</v>
      </c>
      <c r="H31" s="74">
        <f t="shared" si="0"/>
        <v>-36396300</v>
      </c>
    </row>
    <row r="32" spans="2:8" x14ac:dyDescent="0.25">
      <c r="B32" s="88">
        <v>44887</v>
      </c>
      <c r="C32" s="132" t="s">
        <v>297</v>
      </c>
      <c r="D32" s="108"/>
      <c r="E32" s="149"/>
      <c r="F32" s="128">
        <v>0</v>
      </c>
      <c r="G32" s="131">
        <v>150000</v>
      </c>
      <c r="H32" s="74">
        <f t="shared" si="0"/>
        <v>-36546300</v>
      </c>
    </row>
    <row r="33" spans="2:8" x14ac:dyDescent="0.25">
      <c r="B33" s="88">
        <v>44887</v>
      </c>
      <c r="C33" s="132" t="s">
        <v>295</v>
      </c>
      <c r="D33" s="108"/>
      <c r="E33" s="149"/>
      <c r="F33" s="128">
        <v>0</v>
      </c>
      <c r="G33" s="131">
        <v>300000</v>
      </c>
      <c r="H33" s="74">
        <f t="shared" si="0"/>
        <v>-36846300</v>
      </c>
    </row>
    <row r="34" spans="2:8" x14ac:dyDescent="0.25">
      <c r="B34" s="88">
        <v>44887</v>
      </c>
      <c r="C34" s="132" t="s">
        <v>296</v>
      </c>
      <c r="D34" s="108"/>
      <c r="E34" s="149"/>
      <c r="F34" s="128">
        <v>0</v>
      </c>
      <c r="G34" s="131">
        <v>300000</v>
      </c>
      <c r="H34" s="74">
        <f t="shared" si="0"/>
        <v>-37146300</v>
      </c>
    </row>
    <row r="35" spans="2:8" x14ac:dyDescent="0.25">
      <c r="B35" s="88">
        <v>44887</v>
      </c>
      <c r="C35" s="132" t="s">
        <v>315</v>
      </c>
      <c r="D35" s="108"/>
      <c r="E35" s="149"/>
      <c r="F35" s="128">
        <v>0</v>
      </c>
      <c r="G35" s="131">
        <v>10000000</v>
      </c>
      <c r="H35" s="74">
        <f t="shared" si="0"/>
        <v>-47146300</v>
      </c>
    </row>
    <row r="36" spans="2:8" x14ac:dyDescent="0.25">
      <c r="B36" s="88">
        <v>44887</v>
      </c>
      <c r="C36" s="132" t="s">
        <v>316</v>
      </c>
      <c r="D36" s="108"/>
      <c r="E36" s="149" t="s">
        <v>317</v>
      </c>
      <c r="F36" s="128">
        <v>0</v>
      </c>
      <c r="G36" s="131">
        <v>2000000</v>
      </c>
      <c r="H36" s="74">
        <f t="shared" si="0"/>
        <v>-49146300</v>
      </c>
    </row>
    <row r="37" spans="2:8" x14ac:dyDescent="0.25">
      <c r="B37" s="88">
        <v>44887</v>
      </c>
      <c r="C37" s="132" t="s">
        <v>318</v>
      </c>
      <c r="D37" s="108"/>
      <c r="E37" s="149" t="s">
        <v>314</v>
      </c>
      <c r="F37" s="128">
        <v>0</v>
      </c>
      <c r="G37" s="131">
        <v>100000</v>
      </c>
      <c r="H37" s="74">
        <f t="shared" si="0"/>
        <v>-49246300</v>
      </c>
    </row>
    <row r="38" spans="2:8" x14ac:dyDescent="0.25">
      <c r="B38" s="88">
        <v>44889</v>
      </c>
      <c r="C38" s="132" t="s">
        <v>306</v>
      </c>
      <c r="D38" s="108"/>
      <c r="E38" s="149" t="s">
        <v>314</v>
      </c>
      <c r="F38" s="128">
        <v>0</v>
      </c>
      <c r="G38" s="131">
        <v>300000</v>
      </c>
      <c r="H38" s="74">
        <f t="shared" si="0"/>
        <v>-49546300</v>
      </c>
    </row>
    <row r="39" spans="2:8" x14ac:dyDescent="0.25">
      <c r="B39" s="88">
        <v>44889</v>
      </c>
      <c r="C39" s="132" t="s">
        <v>307</v>
      </c>
      <c r="D39" s="108"/>
      <c r="E39" s="149" t="s">
        <v>314</v>
      </c>
      <c r="F39" s="128">
        <v>0</v>
      </c>
      <c r="G39" s="131">
        <v>1045000</v>
      </c>
      <c r="H39" s="74">
        <f t="shared" si="0"/>
        <v>-50591300</v>
      </c>
    </row>
    <row r="40" spans="2:8" x14ac:dyDescent="0.25">
      <c r="B40" s="88">
        <v>44889</v>
      </c>
      <c r="C40" s="132" t="s">
        <v>308</v>
      </c>
      <c r="D40" s="108"/>
      <c r="E40" s="149" t="s">
        <v>314</v>
      </c>
      <c r="F40" s="128">
        <v>0</v>
      </c>
      <c r="G40" s="131">
        <v>2000000</v>
      </c>
      <c r="H40" s="74">
        <f t="shared" si="0"/>
        <v>-52591300</v>
      </c>
    </row>
    <row r="41" spans="2:8" x14ac:dyDescent="0.25">
      <c r="B41" s="88">
        <v>44889</v>
      </c>
      <c r="C41" s="132" t="s">
        <v>309</v>
      </c>
      <c r="D41" s="108"/>
      <c r="E41" s="149" t="s">
        <v>314</v>
      </c>
      <c r="F41" s="128">
        <v>0</v>
      </c>
      <c r="G41" s="131">
        <v>2553125</v>
      </c>
      <c r="H41" s="74">
        <f t="shared" si="0"/>
        <v>-55144425</v>
      </c>
    </row>
    <row r="42" spans="2:8" x14ac:dyDescent="0.25">
      <c r="B42" s="88">
        <v>44889</v>
      </c>
      <c r="C42" s="132" t="s">
        <v>310</v>
      </c>
      <c r="D42" s="108"/>
      <c r="E42" s="149" t="s">
        <v>314</v>
      </c>
      <c r="F42" s="128">
        <v>0</v>
      </c>
      <c r="G42" s="131">
        <v>1300000</v>
      </c>
      <c r="H42" s="74">
        <f t="shared" si="0"/>
        <v>-56444425</v>
      </c>
    </row>
    <row r="43" spans="2:8" x14ac:dyDescent="0.25">
      <c r="B43" s="88">
        <v>44889</v>
      </c>
      <c r="C43" s="132" t="s">
        <v>311</v>
      </c>
      <c r="D43" s="108"/>
      <c r="E43" s="149" t="s">
        <v>314</v>
      </c>
      <c r="F43" s="128">
        <v>0</v>
      </c>
      <c r="G43" s="131">
        <v>170000</v>
      </c>
      <c r="H43" s="74">
        <f t="shared" si="0"/>
        <v>-56614425</v>
      </c>
    </row>
    <row r="44" spans="2:8" x14ac:dyDescent="0.25">
      <c r="B44" s="88">
        <v>44893</v>
      </c>
      <c r="C44" s="132" t="s">
        <v>322</v>
      </c>
      <c r="D44" s="108"/>
      <c r="E44" s="149" t="s">
        <v>314</v>
      </c>
      <c r="F44" s="128">
        <v>0</v>
      </c>
      <c r="G44" s="131">
        <v>125000</v>
      </c>
      <c r="H44" s="74">
        <f t="shared" si="0"/>
        <v>-56739425</v>
      </c>
    </row>
    <row r="45" spans="2:8" x14ac:dyDescent="0.25">
      <c r="B45" s="88">
        <v>44895</v>
      </c>
      <c r="C45" s="132" t="s">
        <v>326</v>
      </c>
      <c r="D45" s="108"/>
      <c r="E45" s="149" t="s">
        <v>314</v>
      </c>
      <c r="F45" s="128">
        <v>0</v>
      </c>
      <c r="G45" s="131">
        <v>130000</v>
      </c>
      <c r="H45" s="74">
        <f t="shared" si="0"/>
        <v>-56869425</v>
      </c>
    </row>
    <row r="46" spans="2:8" x14ac:dyDescent="0.25">
      <c r="B46" s="88">
        <v>44896</v>
      </c>
      <c r="C46" s="132" t="s">
        <v>327</v>
      </c>
      <c r="D46" s="255">
        <v>2500</v>
      </c>
      <c r="E46" s="149" t="s">
        <v>328</v>
      </c>
      <c r="F46" s="128">
        <v>0</v>
      </c>
      <c r="G46" s="131">
        <v>1875000</v>
      </c>
      <c r="H46" s="74">
        <f t="shared" si="0"/>
        <v>-58744425</v>
      </c>
    </row>
    <row r="47" spans="2:8" x14ac:dyDescent="0.25">
      <c r="B47" s="88">
        <v>44901</v>
      </c>
      <c r="C47" s="259" t="s">
        <v>357</v>
      </c>
      <c r="D47" s="89"/>
      <c r="E47" s="252"/>
      <c r="F47" s="72"/>
      <c r="G47" s="9">
        <v>25000</v>
      </c>
      <c r="H47" s="74">
        <f t="shared" si="0"/>
        <v>-58769425</v>
      </c>
    </row>
    <row r="48" spans="2:8" x14ac:dyDescent="0.25">
      <c r="B48" s="88">
        <v>44904</v>
      </c>
      <c r="C48" s="259" t="s">
        <v>362</v>
      </c>
      <c r="D48" s="89"/>
      <c r="E48" s="252" t="s">
        <v>314</v>
      </c>
      <c r="F48" s="72"/>
      <c r="G48" s="9">
        <v>42000</v>
      </c>
      <c r="H48" s="74">
        <f t="shared" si="0"/>
        <v>-58811425</v>
      </c>
    </row>
    <row r="49" spans="2:8" x14ac:dyDescent="0.25">
      <c r="B49" s="88">
        <v>44904</v>
      </c>
      <c r="C49" s="259" t="s">
        <v>363</v>
      </c>
      <c r="D49" s="89"/>
      <c r="E49" s="252" t="s">
        <v>314</v>
      </c>
      <c r="F49" s="72"/>
      <c r="G49" s="9">
        <v>370000</v>
      </c>
      <c r="H49" s="74">
        <f t="shared" si="0"/>
        <v>-59181425</v>
      </c>
    </row>
    <row r="50" spans="2:8" x14ac:dyDescent="0.25">
      <c r="B50" s="88">
        <v>44904</v>
      </c>
      <c r="C50" s="259" t="s">
        <v>364</v>
      </c>
      <c r="D50" s="89"/>
      <c r="E50" s="252" t="s">
        <v>314</v>
      </c>
      <c r="F50" s="72"/>
      <c r="G50" s="9">
        <v>26500</v>
      </c>
      <c r="H50" s="74">
        <f t="shared" si="0"/>
        <v>-59207925</v>
      </c>
    </row>
    <row r="51" spans="2:8" ht="7.5" customHeight="1" x14ac:dyDescent="0.25">
      <c r="B51" s="88">
        <v>44904</v>
      </c>
      <c r="C51" s="259" t="s">
        <v>392</v>
      </c>
      <c r="D51" s="89"/>
      <c r="E51" s="252" t="s">
        <v>314</v>
      </c>
      <c r="F51" s="72"/>
      <c r="G51" s="9">
        <v>4914525</v>
      </c>
      <c r="H51" s="74">
        <f t="shared" si="0"/>
        <v>-64122450</v>
      </c>
    </row>
    <row r="52" spans="2:8" x14ac:dyDescent="0.25">
      <c r="B52" s="88">
        <v>44908</v>
      </c>
      <c r="C52" s="259" t="s">
        <v>286</v>
      </c>
      <c r="D52" s="89"/>
      <c r="E52" s="252" t="s">
        <v>365</v>
      </c>
      <c r="F52" s="72"/>
      <c r="G52" s="9">
        <v>16115766</v>
      </c>
      <c r="H52" s="74">
        <f t="shared" si="0"/>
        <v>-80238216</v>
      </c>
    </row>
    <row r="53" spans="2:8" x14ac:dyDescent="0.25">
      <c r="B53" s="88">
        <v>44908</v>
      </c>
      <c r="C53" s="259" t="s">
        <v>367</v>
      </c>
      <c r="D53" s="89"/>
      <c r="E53" s="252" t="s">
        <v>368</v>
      </c>
      <c r="F53" s="72"/>
      <c r="G53" s="9">
        <v>2205000</v>
      </c>
      <c r="H53" s="74">
        <f t="shared" si="0"/>
        <v>-82443216</v>
      </c>
    </row>
    <row r="54" spans="2:8" x14ac:dyDescent="0.25">
      <c r="B54" s="88">
        <v>44909</v>
      </c>
      <c r="C54" s="259" t="s">
        <v>388</v>
      </c>
      <c r="D54" s="89"/>
      <c r="E54" s="252" t="s">
        <v>314</v>
      </c>
      <c r="F54" s="72"/>
      <c r="G54" s="9">
        <v>630000</v>
      </c>
      <c r="H54" s="74">
        <f t="shared" si="0"/>
        <v>-83073216</v>
      </c>
    </row>
    <row r="55" spans="2:8" x14ac:dyDescent="0.25">
      <c r="B55" s="88">
        <v>44909</v>
      </c>
      <c r="C55" s="259" t="s">
        <v>389</v>
      </c>
      <c r="D55" s="89"/>
      <c r="E55" s="252" t="s">
        <v>365</v>
      </c>
      <c r="F55" s="72"/>
      <c r="G55" s="9">
        <v>25600</v>
      </c>
      <c r="H55" s="74">
        <f t="shared" si="0"/>
        <v>-83098816</v>
      </c>
    </row>
    <row r="56" spans="2:8" x14ac:dyDescent="0.25">
      <c r="B56" s="88">
        <v>44909</v>
      </c>
      <c r="C56" s="259" t="s">
        <v>390</v>
      </c>
      <c r="D56" s="89"/>
      <c r="E56" s="252" t="s">
        <v>391</v>
      </c>
      <c r="F56" s="72"/>
      <c r="G56" s="9">
        <v>3352500</v>
      </c>
      <c r="H56" s="74">
        <f t="shared" si="0"/>
        <v>-86451316</v>
      </c>
    </row>
    <row r="57" spans="2:8" x14ac:dyDescent="0.25">
      <c r="B57" s="88">
        <v>44909</v>
      </c>
      <c r="C57" s="259" t="s">
        <v>396</v>
      </c>
      <c r="D57" s="89"/>
      <c r="E57" s="252"/>
      <c r="F57" s="72"/>
      <c r="G57" s="9">
        <v>600000</v>
      </c>
      <c r="H57" s="74">
        <f t="shared" si="0"/>
        <v>-87051316</v>
      </c>
    </row>
    <row r="58" spans="2:8" x14ac:dyDescent="0.25">
      <c r="B58" s="88">
        <v>44909</v>
      </c>
      <c r="C58" s="259" t="s">
        <v>397</v>
      </c>
      <c r="D58" s="89"/>
      <c r="E58" s="252"/>
      <c r="F58" s="72"/>
      <c r="G58" s="9">
        <v>500000</v>
      </c>
      <c r="H58" s="74">
        <f t="shared" si="0"/>
        <v>-87551316</v>
      </c>
    </row>
    <row r="59" spans="2:8" x14ac:dyDescent="0.25">
      <c r="B59" s="88">
        <v>44909</v>
      </c>
      <c r="C59" s="259" t="s">
        <v>398</v>
      </c>
      <c r="D59" s="89"/>
      <c r="E59" s="252"/>
      <c r="F59" s="72"/>
      <c r="G59" s="9">
        <v>450000</v>
      </c>
      <c r="H59" s="74">
        <f t="shared" si="0"/>
        <v>-88001316</v>
      </c>
    </row>
    <row r="60" spans="2:8" hidden="1" x14ac:dyDescent="0.25">
      <c r="B60" s="88"/>
      <c r="C60" s="259"/>
      <c r="D60" s="89"/>
      <c r="E60" s="252"/>
      <c r="F60" s="72"/>
      <c r="G60" s="9">
        <v>0</v>
      </c>
      <c r="H60" s="74">
        <f t="shared" si="0"/>
        <v>-88001316</v>
      </c>
    </row>
    <row r="61" spans="2:8" x14ac:dyDescent="0.25">
      <c r="B61" s="88">
        <v>44914</v>
      </c>
      <c r="C61" s="259" t="s">
        <v>394</v>
      </c>
      <c r="D61" s="89"/>
      <c r="E61" s="252"/>
      <c r="F61" s="72"/>
      <c r="G61" s="9">
        <v>1000000</v>
      </c>
      <c r="H61" s="74">
        <f t="shared" si="0"/>
        <v>-89001316</v>
      </c>
    </row>
    <row r="62" spans="2:8" x14ac:dyDescent="0.25">
      <c r="B62" s="88">
        <v>44914</v>
      </c>
      <c r="C62" s="259" t="s">
        <v>402</v>
      </c>
      <c r="D62" s="89"/>
      <c r="E62" s="252" t="s">
        <v>314</v>
      </c>
      <c r="F62" s="72"/>
      <c r="G62" s="9">
        <v>291000</v>
      </c>
      <c r="H62" s="74">
        <f>H51+F62-G62</f>
        <v>-64413450</v>
      </c>
    </row>
    <row r="63" spans="2:8" x14ac:dyDescent="0.25">
      <c r="B63" s="88">
        <v>44918</v>
      </c>
      <c r="C63" s="259" t="s">
        <v>406</v>
      </c>
      <c r="D63" s="89"/>
      <c r="E63" s="252" t="s">
        <v>314</v>
      </c>
      <c r="F63" s="72"/>
      <c r="G63" s="9">
        <v>2000000</v>
      </c>
      <c r="H63" s="74">
        <f t="shared" ref="H63:H66" si="1">H52+F63-G63</f>
        <v>-82238216</v>
      </c>
    </row>
    <row r="64" spans="2:8" ht="14.5" customHeight="1" x14ac:dyDescent="0.25">
      <c r="B64" s="88">
        <v>44918</v>
      </c>
      <c r="C64" s="259" t="s">
        <v>407</v>
      </c>
      <c r="D64" s="89"/>
      <c r="E64" s="252" t="s">
        <v>314</v>
      </c>
      <c r="F64" s="72"/>
      <c r="G64" s="9">
        <v>2243800</v>
      </c>
      <c r="H64" s="74">
        <f t="shared" si="1"/>
        <v>-84687016</v>
      </c>
    </row>
    <row r="65" spans="2:8" x14ac:dyDescent="0.25">
      <c r="B65" s="88">
        <v>44918</v>
      </c>
      <c r="C65" s="259" t="s">
        <v>408</v>
      </c>
      <c r="D65" s="89"/>
      <c r="E65" s="252" t="s">
        <v>314</v>
      </c>
      <c r="F65" s="72"/>
      <c r="G65" s="9">
        <v>2870000</v>
      </c>
      <c r="H65" s="74">
        <f t="shared" si="1"/>
        <v>-85943216</v>
      </c>
    </row>
    <row r="66" spans="2:8" x14ac:dyDescent="0.25">
      <c r="B66" s="88">
        <v>44918</v>
      </c>
      <c r="C66" s="259" t="s">
        <v>413</v>
      </c>
      <c r="D66" s="89"/>
      <c r="E66" s="252" t="s">
        <v>365</v>
      </c>
      <c r="F66" s="72"/>
      <c r="G66" s="9">
        <v>469800</v>
      </c>
      <c r="H66" s="74">
        <f t="shared" si="1"/>
        <v>-83568616</v>
      </c>
    </row>
    <row r="67" spans="2:8" x14ac:dyDescent="0.25">
      <c r="B67" s="88">
        <v>44918</v>
      </c>
      <c r="C67" s="259" t="s">
        <v>416</v>
      </c>
      <c r="D67" s="89"/>
      <c r="E67" s="252"/>
      <c r="F67" s="72"/>
      <c r="G67" s="9">
        <v>2000000</v>
      </c>
      <c r="H67" s="74">
        <f t="shared" ref="H67:H72" si="2">H66+F67-G67</f>
        <v>-85568616</v>
      </c>
    </row>
    <row r="68" spans="2:8" x14ac:dyDescent="0.25">
      <c r="B68" s="88"/>
      <c r="C68" s="259"/>
      <c r="D68" s="89"/>
      <c r="E68" s="252"/>
      <c r="F68" s="72"/>
      <c r="G68" s="9">
        <v>0</v>
      </c>
      <c r="H68" s="74">
        <f t="shared" si="2"/>
        <v>-85568616</v>
      </c>
    </row>
    <row r="69" spans="2:8" x14ac:dyDescent="0.25">
      <c r="B69" s="88"/>
      <c r="C69" s="259"/>
      <c r="D69" s="89"/>
      <c r="E69" s="252"/>
      <c r="F69" s="72"/>
      <c r="G69" s="9">
        <v>0</v>
      </c>
      <c r="H69" s="74">
        <f t="shared" si="2"/>
        <v>-85568616</v>
      </c>
    </row>
    <row r="70" spans="2:8" x14ac:dyDescent="0.25">
      <c r="B70" s="88"/>
      <c r="C70" s="259"/>
      <c r="D70" s="89"/>
      <c r="E70" s="252"/>
      <c r="F70" s="72"/>
      <c r="G70" s="9">
        <v>0</v>
      </c>
      <c r="H70" s="74">
        <f t="shared" si="2"/>
        <v>-85568616</v>
      </c>
    </row>
    <row r="71" spans="2:8" x14ac:dyDescent="0.25">
      <c r="B71" s="88"/>
      <c r="C71" s="259"/>
      <c r="D71" s="89"/>
      <c r="E71" s="252"/>
      <c r="F71" s="72"/>
      <c r="G71" s="9">
        <v>0</v>
      </c>
      <c r="H71" s="74">
        <f t="shared" si="2"/>
        <v>-85568616</v>
      </c>
    </row>
    <row r="72" spans="2:8" ht="10" thickBot="1" x14ac:dyDescent="0.3">
      <c r="B72" s="88"/>
      <c r="C72" s="259"/>
      <c r="D72" s="89"/>
      <c r="E72" s="252"/>
      <c r="F72" s="72"/>
      <c r="G72" s="9">
        <v>0</v>
      </c>
      <c r="H72" s="74">
        <f t="shared" si="2"/>
        <v>-85568616</v>
      </c>
    </row>
    <row r="73" spans="2:8" ht="10" thickBot="1" x14ac:dyDescent="0.3">
      <c r="B73" s="93"/>
      <c r="C73" s="261"/>
      <c r="D73" s="94"/>
      <c r="E73" s="253"/>
      <c r="F73" s="99">
        <f>SUM(F12:F72)</f>
        <v>0</v>
      </c>
      <c r="G73" s="100">
        <f>SUM(G12:G72)</f>
        <v>98875916</v>
      </c>
      <c r="H73" s="101"/>
    </row>
    <row r="74" spans="2:8" x14ac:dyDescent="0.25">
      <c r="G74" s="8"/>
      <c r="H74" s="8"/>
    </row>
    <row r="75" spans="2:8" x14ac:dyDescent="0.25">
      <c r="G75" s="8"/>
      <c r="H75" s="8"/>
    </row>
  </sheetData>
  <mergeCells count="7">
    <mergeCell ref="H12:H13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92"/>
  <sheetViews>
    <sheetView topLeftCell="A12" workbookViewId="0">
      <selection activeCell="F55" sqref="F55"/>
    </sheetView>
  </sheetViews>
  <sheetFormatPr defaultColWidth="11.453125" defaultRowHeight="9.5" x14ac:dyDescent="0.25"/>
  <cols>
    <col min="1" max="1" width="2.453125" style="4" customWidth="1"/>
    <col min="2" max="2" width="7.90625" style="137" bestFit="1" customWidth="1"/>
    <col min="3" max="3" width="25.1796875" style="4" customWidth="1"/>
    <col min="4" max="4" width="17.6328125" style="4" customWidth="1"/>
    <col min="5" max="5" width="11.6328125" style="4" customWidth="1"/>
    <col min="6" max="6" width="10.6328125" style="4" bestFit="1" customWidth="1"/>
    <col min="7" max="7" width="15.7265625" style="4" bestFit="1" customWidth="1"/>
    <col min="8" max="8" width="9.81640625" style="4" bestFit="1" customWidth="1"/>
    <col min="9" max="16384" width="11.453125" style="4"/>
  </cols>
  <sheetData>
    <row r="1" spans="2:8" x14ac:dyDescent="0.25">
      <c r="B1" s="133"/>
      <c r="C1" s="1"/>
      <c r="D1" s="1"/>
      <c r="E1" s="1"/>
      <c r="F1" s="1"/>
      <c r="G1" s="2"/>
      <c r="H1" s="2"/>
    </row>
    <row r="2" spans="2:8" x14ac:dyDescent="0.25">
      <c r="B2" s="133"/>
      <c r="C2" s="1"/>
      <c r="D2" s="1"/>
      <c r="E2" s="1"/>
      <c r="F2" s="1"/>
      <c r="G2" s="2"/>
      <c r="H2" s="2"/>
    </row>
    <row r="3" spans="2:8" x14ac:dyDescent="0.25">
      <c r="B3" s="133"/>
      <c r="C3" s="1"/>
      <c r="D3" s="1"/>
      <c r="E3" s="1"/>
      <c r="F3" s="1"/>
      <c r="G3" s="2"/>
      <c r="H3" s="2"/>
    </row>
    <row r="4" spans="2:8" x14ac:dyDescent="0.25">
      <c r="B4" s="133"/>
      <c r="C4" s="1"/>
      <c r="D4" s="1"/>
      <c r="E4" s="1"/>
      <c r="F4" s="1"/>
      <c r="G4" s="2"/>
      <c r="H4" s="2"/>
    </row>
    <row r="5" spans="2:8" x14ac:dyDescent="0.25">
      <c r="B5" s="133"/>
      <c r="C5" s="1"/>
      <c r="D5" s="1"/>
      <c r="E5" s="1"/>
      <c r="F5" s="1"/>
      <c r="G5" s="2"/>
      <c r="H5" s="2"/>
    </row>
    <row r="6" spans="2:8" x14ac:dyDescent="0.25">
      <c r="B6" s="133"/>
      <c r="C6" s="1"/>
      <c r="D6" s="1"/>
      <c r="E6" s="1"/>
      <c r="F6" s="1"/>
      <c r="G6" s="2"/>
      <c r="H6" s="2"/>
    </row>
    <row r="7" spans="2:8" x14ac:dyDescent="0.25">
      <c r="B7" s="133"/>
      <c r="C7" s="1"/>
      <c r="D7" s="1"/>
      <c r="E7" s="1"/>
      <c r="F7" s="1"/>
      <c r="G7" s="2"/>
      <c r="H7" s="2"/>
    </row>
    <row r="8" spans="2:8" x14ac:dyDescent="0.25">
      <c r="B8" s="133"/>
      <c r="C8" s="1"/>
      <c r="D8" s="1"/>
      <c r="E8" s="1"/>
      <c r="F8" s="1"/>
      <c r="G8" s="2"/>
      <c r="H8" s="2"/>
    </row>
    <row r="9" spans="2:8" x14ac:dyDescent="0.25">
      <c r="B9" s="133"/>
      <c r="C9" s="1"/>
      <c r="D9" s="1"/>
      <c r="E9" s="1"/>
      <c r="F9" s="1"/>
      <c r="G9" s="2"/>
      <c r="H9" s="2"/>
    </row>
    <row r="10" spans="2:8" x14ac:dyDescent="0.25">
      <c r="B10" s="134" t="s">
        <v>25</v>
      </c>
      <c r="C10" s="76"/>
      <c r="D10" s="1"/>
      <c r="E10" s="1"/>
      <c r="F10" s="1"/>
      <c r="G10" s="2"/>
      <c r="H10" s="2"/>
    </row>
    <row r="11" spans="2:8" ht="10" thickBot="1" x14ac:dyDescent="0.3">
      <c r="B11" s="133"/>
      <c r="C11" s="1"/>
      <c r="D11" s="1"/>
      <c r="E11" s="1"/>
      <c r="F11" s="1"/>
      <c r="G11" s="2"/>
      <c r="H11" s="2"/>
    </row>
    <row r="12" spans="2:8" s="6" customFormat="1" ht="7.5" customHeight="1" x14ac:dyDescent="0.35">
      <c r="B12" s="327" t="s">
        <v>26</v>
      </c>
      <c r="C12" s="299" t="s">
        <v>22</v>
      </c>
      <c r="D12" s="299" t="s">
        <v>27</v>
      </c>
      <c r="E12" s="307" t="s">
        <v>38</v>
      </c>
      <c r="F12" s="301" t="s">
        <v>23</v>
      </c>
      <c r="G12" s="303" t="s">
        <v>20</v>
      </c>
      <c r="H12" s="297" t="s">
        <v>21</v>
      </c>
    </row>
    <row r="13" spans="2:8" s="6" customFormat="1" ht="10" thickBot="1" x14ac:dyDescent="0.4">
      <c r="B13" s="328"/>
      <c r="C13" s="300"/>
      <c r="D13" s="300"/>
      <c r="E13" s="308"/>
      <c r="F13" s="302"/>
      <c r="G13" s="304"/>
      <c r="H13" s="298"/>
    </row>
    <row r="14" spans="2:8" s="119" customFormat="1" x14ac:dyDescent="0.35">
      <c r="B14" s="129"/>
      <c r="C14" s="108"/>
      <c r="D14" s="108"/>
      <c r="E14" s="109"/>
      <c r="F14" s="128" t="s">
        <v>19</v>
      </c>
      <c r="G14" s="130" t="s">
        <v>19</v>
      </c>
      <c r="H14" s="110" t="s">
        <v>19</v>
      </c>
    </row>
    <row r="15" spans="2:8" s="119" customFormat="1" x14ac:dyDescent="0.2">
      <c r="B15" s="129">
        <v>44824</v>
      </c>
      <c r="C15" s="108" t="s">
        <v>181</v>
      </c>
      <c r="D15" s="108"/>
      <c r="E15" s="109"/>
      <c r="F15" s="128">
        <v>133000000</v>
      </c>
      <c r="G15" s="131"/>
      <c r="H15" s="73">
        <f>F15-G15</f>
        <v>133000000</v>
      </c>
    </row>
    <row r="16" spans="2:8" x14ac:dyDescent="0.25">
      <c r="B16" s="135"/>
      <c r="C16" s="108"/>
      <c r="D16" s="108"/>
      <c r="E16" s="106"/>
      <c r="F16" s="128">
        <v>0</v>
      </c>
      <c r="G16" s="131"/>
      <c r="H16" s="74">
        <f>H15+F16-G16</f>
        <v>133000000</v>
      </c>
    </row>
    <row r="17" spans="2:8" x14ac:dyDescent="0.25">
      <c r="B17" s="135"/>
      <c r="C17" s="108"/>
      <c r="D17" s="108"/>
      <c r="E17" s="106"/>
      <c r="F17" s="128">
        <v>0</v>
      </c>
      <c r="G17" s="131"/>
      <c r="H17" s="74">
        <f>H16+F17-G17</f>
        <v>133000000</v>
      </c>
    </row>
    <row r="18" spans="2:8" x14ac:dyDescent="0.25">
      <c r="B18" s="135"/>
      <c r="C18" s="108"/>
      <c r="D18" s="108"/>
      <c r="E18" s="106"/>
      <c r="F18" s="128">
        <v>0</v>
      </c>
      <c r="G18" s="131"/>
      <c r="H18" s="74">
        <f t="shared" ref="H18:H81" si="0">H17+F18-G18</f>
        <v>133000000</v>
      </c>
    </row>
    <row r="19" spans="2:8" x14ac:dyDescent="0.25">
      <c r="B19" s="135"/>
      <c r="C19" s="108"/>
      <c r="D19" s="108"/>
      <c r="E19" s="106"/>
      <c r="F19" s="128">
        <v>0</v>
      </c>
      <c r="G19" s="131"/>
      <c r="H19" s="74">
        <f t="shared" si="0"/>
        <v>133000000</v>
      </c>
    </row>
    <row r="20" spans="2:8" x14ac:dyDescent="0.25">
      <c r="B20" s="135"/>
      <c r="C20" s="108"/>
      <c r="D20" s="108"/>
      <c r="E20" s="106"/>
      <c r="F20" s="128">
        <v>0</v>
      </c>
      <c r="G20" s="131"/>
      <c r="H20" s="74">
        <f t="shared" si="0"/>
        <v>133000000</v>
      </c>
    </row>
    <row r="21" spans="2:8" x14ac:dyDescent="0.25">
      <c r="B21" s="135"/>
      <c r="C21" s="108"/>
      <c r="D21" s="108"/>
      <c r="E21" s="106"/>
      <c r="F21" s="128">
        <v>0</v>
      </c>
      <c r="G21" s="131"/>
      <c r="H21" s="74">
        <f t="shared" si="0"/>
        <v>133000000</v>
      </c>
    </row>
    <row r="22" spans="2:8" x14ac:dyDescent="0.25">
      <c r="B22" s="135"/>
      <c r="C22" s="108"/>
      <c r="D22" s="108"/>
      <c r="E22" s="106"/>
      <c r="F22" s="128">
        <v>0</v>
      </c>
      <c r="G22" s="131"/>
      <c r="H22" s="74">
        <f t="shared" si="0"/>
        <v>133000000</v>
      </c>
    </row>
    <row r="23" spans="2:8" x14ac:dyDescent="0.25">
      <c r="B23" s="135"/>
      <c r="C23" s="108"/>
      <c r="D23" s="108"/>
      <c r="E23" s="106"/>
      <c r="F23" s="128">
        <v>0</v>
      </c>
      <c r="G23" s="131"/>
      <c r="H23" s="74">
        <f t="shared" si="0"/>
        <v>133000000</v>
      </c>
    </row>
    <row r="24" spans="2:8" x14ac:dyDescent="0.25">
      <c r="B24" s="135"/>
      <c r="C24" s="108"/>
      <c r="D24" s="108"/>
      <c r="E24" s="106"/>
      <c r="F24" s="128">
        <v>0</v>
      </c>
      <c r="G24" s="131"/>
      <c r="H24" s="74">
        <f t="shared" si="0"/>
        <v>133000000</v>
      </c>
    </row>
    <row r="25" spans="2:8" x14ac:dyDescent="0.25">
      <c r="B25" s="135"/>
      <c r="C25" s="108"/>
      <c r="D25" s="108"/>
      <c r="E25" s="106"/>
      <c r="F25" s="128">
        <v>0</v>
      </c>
      <c r="G25" s="131"/>
      <c r="H25" s="74">
        <f t="shared" si="0"/>
        <v>133000000</v>
      </c>
    </row>
    <row r="26" spans="2:8" x14ac:dyDescent="0.25">
      <c r="B26" s="135"/>
      <c r="C26" s="108"/>
      <c r="D26" s="108"/>
      <c r="E26" s="106"/>
      <c r="F26" s="128">
        <v>0</v>
      </c>
      <c r="G26" s="131"/>
      <c r="H26" s="74">
        <f t="shared" si="0"/>
        <v>133000000</v>
      </c>
    </row>
    <row r="27" spans="2:8" x14ac:dyDescent="0.25">
      <c r="B27" s="135"/>
      <c r="C27" s="108"/>
      <c r="D27" s="108"/>
      <c r="E27" s="106"/>
      <c r="F27" s="128">
        <v>0</v>
      </c>
      <c r="G27" s="131"/>
      <c r="H27" s="74">
        <f t="shared" si="0"/>
        <v>133000000</v>
      </c>
    </row>
    <row r="28" spans="2:8" x14ac:dyDescent="0.25">
      <c r="B28" s="135"/>
      <c r="C28" s="108"/>
      <c r="D28" s="108"/>
      <c r="E28" s="106"/>
      <c r="F28" s="128">
        <v>0</v>
      </c>
      <c r="G28" s="131"/>
      <c r="H28" s="74">
        <f t="shared" si="0"/>
        <v>133000000</v>
      </c>
    </row>
    <row r="29" spans="2:8" x14ac:dyDescent="0.25">
      <c r="B29" s="135"/>
      <c r="C29" s="108"/>
      <c r="D29" s="108"/>
      <c r="E29" s="106"/>
      <c r="F29" s="128">
        <v>0</v>
      </c>
      <c r="G29" s="131"/>
      <c r="H29" s="74">
        <f t="shared" si="0"/>
        <v>133000000</v>
      </c>
    </row>
    <row r="30" spans="2:8" x14ac:dyDescent="0.25">
      <c r="B30" s="135"/>
      <c r="C30" s="108"/>
      <c r="D30" s="108"/>
      <c r="E30" s="106"/>
      <c r="F30" s="128">
        <v>0</v>
      </c>
      <c r="G30" s="131"/>
      <c r="H30" s="74">
        <f t="shared" si="0"/>
        <v>133000000</v>
      </c>
    </row>
    <row r="31" spans="2:8" x14ac:dyDescent="0.25">
      <c r="B31" s="135"/>
      <c r="C31" s="108"/>
      <c r="D31" s="108"/>
      <c r="E31" s="106"/>
      <c r="F31" s="128">
        <v>0</v>
      </c>
      <c r="G31" s="131"/>
      <c r="H31" s="74">
        <f t="shared" si="0"/>
        <v>133000000</v>
      </c>
    </row>
    <row r="32" spans="2:8" x14ac:dyDescent="0.25">
      <c r="B32" s="135"/>
      <c r="C32" s="108"/>
      <c r="D32" s="108"/>
      <c r="E32" s="106"/>
      <c r="F32" s="128">
        <v>0</v>
      </c>
      <c r="G32" s="131"/>
      <c r="H32" s="74">
        <f t="shared" si="0"/>
        <v>133000000</v>
      </c>
    </row>
    <row r="33" spans="2:8" x14ac:dyDescent="0.25">
      <c r="B33" s="135"/>
      <c r="C33" s="108"/>
      <c r="D33" s="108"/>
      <c r="E33" s="106"/>
      <c r="F33" s="128">
        <v>0</v>
      </c>
      <c r="G33" s="131"/>
      <c r="H33" s="74">
        <f t="shared" si="0"/>
        <v>133000000</v>
      </c>
    </row>
    <row r="34" spans="2:8" x14ac:dyDescent="0.25">
      <c r="B34" s="135"/>
      <c r="C34" s="108"/>
      <c r="D34" s="108"/>
      <c r="E34" s="106"/>
      <c r="F34" s="128">
        <v>0</v>
      </c>
      <c r="G34" s="131"/>
      <c r="H34" s="74">
        <f t="shared" si="0"/>
        <v>133000000</v>
      </c>
    </row>
    <row r="35" spans="2:8" x14ac:dyDescent="0.25">
      <c r="B35" s="135"/>
      <c r="C35" s="108"/>
      <c r="D35" s="108"/>
      <c r="E35" s="106"/>
      <c r="F35" s="128">
        <v>0</v>
      </c>
      <c r="G35" s="131"/>
      <c r="H35" s="74">
        <f t="shared" si="0"/>
        <v>133000000</v>
      </c>
    </row>
    <row r="36" spans="2:8" x14ac:dyDescent="0.25">
      <c r="B36" s="135"/>
      <c r="C36" s="108"/>
      <c r="D36" s="108"/>
      <c r="E36" s="106"/>
      <c r="F36" s="128">
        <v>0</v>
      </c>
      <c r="G36" s="131"/>
      <c r="H36" s="74">
        <f t="shared" si="0"/>
        <v>133000000</v>
      </c>
    </row>
    <row r="37" spans="2:8" x14ac:dyDescent="0.25">
      <c r="B37" s="135"/>
      <c r="C37" s="108"/>
      <c r="D37" s="108"/>
      <c r="E37" s="106"/>
      <c r="F37" s="128">
        <v>0</v>
      </c>
      <c r="G37" s="131"/>
      <c r="H37" s="74">
        <f t="shared" si="0"/>
        <v>133000000</v>
      </c>
    </row>
    <row r="38" spans="2:8" x14ac:dyDescent="0.25">
      <c r="B38" s="135"/>
      <c r="C38" s="108"/>
      <c r="D38" s="108"/>
      <c r="E38" s="106"/>
      <c r="F38" s="128">
        <v>0</v>
      </c>
      <c r="G38" s="131"/>
      <c r="H38" s="74">
        <f t="shared" si="0"/>
        <v>133000000</v>
      </c>
    </row>
    <row r="39" spans="2:8" x14ac:dyDescent="0.25">
      <c r="B39" s="135"/>
      <c r="C39" s="108"/>
      <c r="D39" s="108"/>
      <c r="E39" s="106"/>
      <c r="F39" s="128">
        <v>0</v>
      </c>
      <c r="G39" s="131"/>
      <c r="H39" s="74">
        <f t="shared" si="0"/>
        <v>133000000</v>
      </c>
    </row>
    <row r="40" spans="2:8" x14ac:dyDescent="0.25">
      <c r="B40" s="135"/>
      <c r="C40" s="108"/>
      <c r="D40" s="108"/>
      <c r="E40" s="106"/>
      <c r="F40" s="128">
        <v>0</v>
      </c>
      <c r="G40" s="131"/>
      <c r="H40" s="74">
        <f t="shared" si="0"/>
        <v>133000000</v>
      </c>
    </row>
    <row r="41" spans="2:8" x14ac:dyDescent="0.25">
      <c r="B41" s="135"/>
      <c r="C41" s="108"/>
      <c r="D41" s="108"/>
      <c r="E41" s="106"/>
      <c r="F41" s="128">
        <v>0</v>
      </c>
      <c r="G41" s="131"/>
      <c r="H41" s="74">
        <f t="shared" si="0"/>
        <v>133000000</v>
      </c>
    </row>
    <row r="42" spans="2:8" x14ac:dyDescent="0.25">
      <c r="B42" s="135"/>
      <c r="C42" s="108"/>
      <c r="D42" s="108"/>
      <c r="E42" s="106"/>
      <c r="F42" s="128">
        <v>0</v>
      </c>
      <c r="G42" s="131"/>
      <c r="H42" s="74">
        <f t="shared" si="0"/>
        <v>133000000</v>
      </c>
    </row>
    <row r="43" spans="2:8" x14ac:dyDescent="0.25">
      <c r="B43" s="135"/>
      <c r="C43" s="108"/>
      <c r="D43" s="108"/>
      <c r="E43" s="106"/>
      <c r="F43" s="128">
        <v>0</v>
      </c>
      <c r="G43" s="131"/>
      <c r="H43" s="74">
        <f t="shared" si="0"/>
        <v>133000000</v>
      </c>
    </row>
    <row r="44" spans="2:8" x14ac:dyDescent="0.25">
      <c r="B44" s="135"/>
      <c r="C44" s="108"/>
      <c r="D44" s="108"/>
      <c r="E44" s="106"/>
      <c r="F44" s="128">
        <v>0</v>
      </c>
      <c r="G44" s="131"/>
      <c r="H44" s="74">
        <f t="shared" si="0"/>
        <v>133000000</v>
      </c>
    </row>
    <row r="45" spans="2:8" x14ac:dyDescent="0.25">
      <c r="B45" s="135"/>
      <c r="C45" s="108"/>
      <c r="D45" s="108"/>
      <c r="E45" s="106"/>
      <c r="F45" s="128">
        <v>0</v>
      </c>
      <c r="G45" s="131"/>
      <c r="H45" s="74">
        <f t="shared" si="0"/>
        <v>133000000</v>
      </c>
    </row>
    <row r="46" spans="2:8" x14ac:dyDescent="0.25">
      <c r="B46" s="135"/>
      <c r="C46" s="108"/>
      <c r="D46" s="108"/>
      <c r="E46" s="106"/>
      <c r="F46" s="128">
        <v>0</v>
      </c>
      <c r="G46" s="131"/>
      <c r="H46" s="74">
        <f t="shared" si="0"/>
        <v>133000000</v>
      </c>
    </row>
    <row r="47" spans="2:8" x14ac:dyDescent="0.25">
      <c r="B47" s="135"/>
      <c r="C47" s="108"/>
      <c r="D47" s="108"/>
      <c r="E47" s="106"/>
      <c r="F47" s="128">
        <v>0</v>
      </c>
      <c r="G47" s="131"/>
      <c r="H47" s="74">
        <f t="shared" si="0"/>
        <v>133000000</v>
      </c>
    </row>
    <row r="48" spans="2:8" x14ac:dyDescent="0.25">
      <c r="B48" s="135"/>
      <c r="C48" s="108"/>
      <c r="D48" s="108"/>
      <c r="E48" s="106"/>
      <c r="F48" s="128">
        <v>0</v>
      </c>
      <c r="G48" s="131"/>
      <c r="H48" s="74">
        <f t="shared" si="0"/>
        <v>133000000</v>
      </c>
    </row>
    <row r="49" spans="2:8" x14ac:dyDescent="0.25">
      <c r="B49" s="135"/>
      <c r="C49" s="108"/>
      <c r="D49" s="108"/>
      <c r="E49" s="106"/>
      <c r="F49" s="128">
        <v>0</v>
      </c>
      <c r="G49" s="131"/>
      <c r="H49" s="74">
        <f t="shared" si="0"/>
        <v>133000000</v>
      </c>
    </row>
    <row r="50" spans="2:8" x14ac:dyDescent="0.25">
      <c r="B50" s="135"/>
      <c r="C50" s="108"/>
      <c r="D50" s="108"/>
      <c r="E50" s="106"/>
      <c r="F50" s="128">
        <v>0</v>
      </c>
      <c r="G50" s="131"/>
      <c r="H50" s="74">
        <f t="shared" si="0"/>
        <v>133000000</v>
      </c>
    </row>
    <row r="51" spans="2:8" x14ac:dyDescent="0.25">
      <c r="B51" s="135"/>
      <c r="C51" s="108"/>
      <c r="D51" s="108"/>
      <c r="E51" s="106"/>
      <c r="F51" s="128">
        <v>0</v>
      </c>
      <c r="G51" s="131"/>
      <c r="H51" s="74">
        <f t="shared" si="0"/>
        <v>133000000</v>
      </c>
    </row>
    <row r="52" spans="2:8" x14ac:dyDescent="0.25">
      <c r="B52" s="135"/>
      <c r="C52" s="108"/>
      <c r="D52" s="108"/>
      <c r="E52" s="106"/>
      <c r="F52" s="128">
        <v>0</v>
      </c>
      <c r="G52" s="131"/>
      <c r="H52" s="74">
        <f t="shared" si="0"/>
        <v>133000000</v>
      </c>
    </row>
    <row r="53" spans="2:8" x14ac:dyDescent="0.25">
      <c r="B53" s="135"/>
      <c r="C53" s="108"/>
      <c r="D53" s="108"/>
      <c r="E53" s="106"/>
      <c r="F53" s="128">
        <v>0</v>
      </c>
      <c r="G53" s="131"/>
      <c r="H53" s="74">
        <f t="shared" si="0"/>
        <v>133000000</v>
      </c>
    </row>
    <row r="54" spans="2:8" x14ac:dyDescent="0.25">
      <c r="B54" s="135"/>
      <c r="C54" s="108"/>
      <c r="D54" s="108"/>
      <c r="E54" s="106"/>
      <c r="F54" s="128">
        <v>0</v>
      </c>
      <c r="G54" s="131"/>
      <c r="H54" s="74">
        <f t="shared" si="0"/>
        <v>133000000</v>
      </c>
    </row>
    <row r="55" spans="2:8" x14ac:dyDescent="0.25">
      <c r="B55" s="135"/>
      <c r="C55" s="108"/>
      <c r="D55" s="108"/>
      <c r="E55" s="106"/>
      <c r="F55" s="128">
        <v>0</v>
      </c>
      <c r="G55" s="131"/>
      <c r="H55" s="74">
        <f t="shared" si="0"/>
        <v>133000000</v>
      </c>
    </row>
    <row r="56" spans="2:8" x14ac:dyDescent="0.25">
      <c r="B56" s="135"/>
      <c r="C56" s="108"/>
      <c r="D56" s="108"/>
      <c r="E56" s="106"/>
      <c r="F56" s="128">
        <v>0</v>
      </c>
      <c r="G56" s="131"/>
      <c r="H56" s="74">
        <f t="shared" si="0"/>
        <v>133000000</v>
      </c>
    </row>
    <row r="57" spans="2:8" x14ac:dyDescent="0.25">
      <c r="B57" s="135"/>
      <c r="C57" s="108"/>
      <c r="D57" s="108"/>
      <c r="E57" s="106"/>
      <c r="F57" s="72"/>
      <c r="G57" s="131"/>
      <c r="H57" s="74">
        <f t="shared" si="0"/>
        <v>133000000</v>
      </c>
    </row>
    <row r="58" spans="2:8" x14ac:dyDescent="0.25">
      <c r="B58" s="135"/>
      <c r="C58" s="108"/>
      <c r="D58" s="108"/>
      <c r="E58" s="106"/>
      <c r="F58" s="72"/>
      <c r="G58" s="131"/>
      <c r="H58" s="74">
        <f t="shared" si="0"/>
        <v>133000000</v>
      </c>
    </row>
    <row r="59" spans="2:8" x14ac:dyDescent="0.25">
      <c r="B59" s="135"/>
      <c r="C59" s="108"/>
      <c r="D59" s="108"/>
      <c r="E59" s="106"/>
      <c r="F59" s="72"/>
      <c r="G59" s="131"/>
      <c r="H59" s="74">
        <f t="shared" si="0"/>
        <v>133000000</v>
      </c>
    </row>
    <row r="60" spans="2:8" x14ac:dyDescent="0.25">
      <c r="B60" s="135"/>
      <c r="C60" s="108"/>
      <c r="D60" s="108"/>
      <c r="E60" s="106"/>
      <c r="F60" s="72"/>
      <c r="G60" s="131"/>
      <c r="H60" s="74">
        <f t="shared" si="0"/>
        <v>133000000</v>
      </c>
    </row>
    <row r="61" spans="2:8" x14ac:dyDescent="0.25">
      <c r="B61" s="135"/>
      <c r="C61" s="108"/>
      <c r="D61" s="108"/>
      <c r="E61" s="106"/>
      <c r="F61" s="72"/>
      <c r="G61" s="131"/>
      <c r="H61" s="74">
        <f t="shared" si="0"/>
        <v>133000000</v>
      </c>
    </row>
    <row r="62" spans="2:8" x14ac:dyDescent="0.25">
      <c r="B62" s="135"/>
      <c r="C62" s="108"/>
      <c r="D62" s="108"/>
      <c r="E62" s="106"/>
      <c r="F62" s="72"/>
      <c r="G62" s="131"/>
      <c r="H62" s="74">
        <f t="shared" si="0"/>
        <v>133000000</v>
      </c>
    </row>
    <row r="63" spans="2:8" x14ac:dyDescent="0.25">
      <c r="B63" s="135"/>
      <c r="C63" s="108"/>
      <c r="D63" s="108"/>
      <c r="E63" s="106"/>
      <c r="F63" s="72"/>
      <c r="G63" s="131"/>
      <c r="H63" s="74">
        <f t="shared" si="0"/>
        <v>133000000</v>
      </c>
    </row>
    <row r="64" spans="2:8" x14ac:dyDescent="0.25">
      <c r="B64" s="135"/>
      <c r="C64" s="108"/>
      <c r="D64" s="108"/>
      <c r="E64" s="106"/>
      <c r="F64" s="72"/>
      <c r="G64" s="131"/>
      <c r="H64" s="74">
        <f t="shared" si="0"/>
        <v>133000000</v>
      </c>
    </row>
    <row r="65" spans="2:8" x14ac:dyDescent="0.25">
      <c r="B65" s="135"/>
      <c r="C65" s="108"/>
      <c r="D65" s="108"/>
      <c r="E65" s="106"/>
      <c r="F65" s="72"/>
      <c r="G65" s="131"/>
      <c r="H65" s="74">
        <f t="shared" si="0"/>
        <v>133000000</v>
      </c>
    </row>
    <row r="66" spans="2:8" x14ac:dyDescent="0.25">
      <c r="B66" s="135"/>
      <c r="C66" s="108"/>
      <c r="D66" s="108"/>
      <c r="E66" s="106"/>
      <c r="F66" s="72"/>
      <c r="G66" s="131"/>
      <c r="H66" s="74">
        <f t="shared" si="0"/>
        <v>133000000</v>
      </c>
    </row>
    <row r="67" spans="2:8" x14ac:dyDescent="0.25">
      <c r="B67" s="135"/>
      <c r="C67" s="108"/>
      <c r="D67" s="108"/>
      <c r="E67" s="106"/>
      <c r="F67" s="72"/>
      <c r="G67" s="131"/>
      <c r="H67" s="74">
        <f t="shared" si="0"/>
        <v>133000000</v>
      </c>
    </row>
    <row r="68" spans="2:8" x14ac:dyDescent="0.25">
      <c r="B68" s="135"/>
      <c r="C68" s="108"/>
      <c r="D68" s="108"/>
      <c r="E68" s="106"/>
      <c r="F68" s="72"/>
      <c r="G68" s="131"/>
      <c r="H68" s="74">
        <f t="shared" si="0"/>
        <v>133000000</v>
      </c>
    </row>
    <row r="69" spans="2:8" x14ac:dyDescent="0.25">
      <c r="B69" s="135"/>
      <c r="C69" s="108"/>
      <c r="D69" s="108"/>
      <c r="E69" s="106"/>
      <c r="F69" s="72"/>
      <c r="G69" s="131"/>
      <c r="H69" s="74">
        <f t="shared" si="0"/>
        <v>133000000</v>
      </c>
    </row>
    <row r="70" spans="2:8" x14ac:dyDescent="0.25">
      <c r="B70" s="135"/>
      <c r="C70" s="108"/>
      <c r="D70" s="108"/>
      <c r="E70" s="106"/>
      <c r="F70" s="72"/>
      <c r="G70" s="131"/>
      <c r="H70" s="74">
        <f t="shared" si="0"/>
        <v>133000000</v>
      </c>
    </row>
    <row r="71" spans="2:8" x14ac:dyDescent="0.25">
      <c r="B71" s="135"/>
      <c r="C71" s="108"/>
      <c r="D71" s="108"/>
      <c r="E71" s="106"/>
      <c r="F71" s="72"/>
      <c r="G71" s="131"/>
      <c r="H71" s="74">
        <f t="shared" si="0"/>
        <v>133000000</v>
      </c>
    </row>
    <row r="72" spans="2:8" x14ac:dyDescent="0.25">
      <c r="B72" s="135"/>
      <c r="C72" s="108"/>
      <c r="D72" s="89"/>
      <c r="E72" s="106"/>
      <c r="F72" s="72"/>
      <c r="G72" s="131"/>
      <c r="H72" s="74">
        <f t="shared" si="0"/>
        <v>133000000</v>
      </c>
    </row>
    <row r="73" spans="2:8" x14ac:dyDescent="0.25">
      <c r="B73" s="135"/>
      <c r="C73" s="108"/>
      <c r="D73" s="89"/>
      <c r="E73" s="106"/>
      <c r="F73" s="72"/>
      <c r="G73" s="131"/>
      <c r="H73" s="74">
        <f t="shared" si="0"/>
        <v>133000000</v>
      </c>
    </row>
    <row r="74" spans="2:8" x14ac:dyDescent="0.25">
      <c r="B74" s="135"/>
      <c r="C74" s="108"/>
      <c r="D74" s="89"/>
      <c r="E74" s="106"/>
      <c r="F74" s="72"/>
      <c r="G74" s="131"/>
      <c r="H74" s="74">
        <f t="shared" si="0"/>
        <v>133000000</v>
      </c>
    </row>
    <row r="75" spans="2:8" x14ac:dyDescent="0.25">
      <c r="B75" s="135"/>
      <c r="C75" s="108"/>
      <c r="D75" s="89"/>
      <c r="E75" s="106"/>
      <c r="F75" s="72"/>
      <c r="G75" s="131"/>
      <c r="H75" s="74">
        <f t="shared" si="0"/>
        <v>133000000</v>
      </c>
    </row>
    <row r="76" spans="2:8" x14ac:dyDescent="0.25">
      <c r="B76" s="135"/>
      <c r="C76" s="108"/>
      <c r="D76" s="89"/>
      <c r="E76" s="106"/>
      <c r="F76" s="72"/>
      <c r="G76" s="131"/>
      <c r="H76" s="74">
        <f t="shared" si="0"/>
        <v>133000000</v>
      </c>
    </row>
    <row r="77" spans="2:8" x14ac:dyDescent="0.25">
      <c r="B77" s="135"/>
      <c r="C77" s="89"/>
      <c r="D77" s="89"/>
      <c r="E77" s="106"/>
      <c r="F77" s="72"/>
      <c r="G77" s="131"/>
      <c r="H77" s="74">
        <f t="shared" si="0"/>
        <v>133000000</v>
      </c>
    </row>
    <row r="78" spans="2:8" x14ac:dyDescent="0.25">
      <c r="B78" s="135"/>
      <c r="C78" s="89"/>
      <c r="D78" s="89"/>
      <c r="E78" s="106"/>
      <c r="F78" s="72"/>
      <c r="G78" s="131"/>
      <c r="H78" s="74">
        <f t="shared" si="0"/>
        <v>133000000</v>
      </c>
    </row>
    <row r="79" spans="2:8" x14ac:dyDescent="0.25">
      <c r="B79" s="135"/>
      <c r="C79" s="89"/>
      <c r="D79" s="89"/>
      <c r="E79" s="106"/>
      <c r="F79" s="72"/>
      <c r="G79" s="131"/>
      <c r="H79" s="74">
        <f t="shared" si="0"/>
        <v>133000000</v>
      </c>
    </row>
    <row r="80" spans="2:8" x14ac:dyDescent="0.25">
      <c r="B80" s="135"/>
      <c r="C80" s="89"/>
      <c r="D80" s="89"/>
      <c r="E80" s="106"/>
      <c r="F80" s="72"/>
      <c r="G80" s="131"/>
      <c r="H80" s="74">
        <f t="shared" si="0"/>
        <v>133000000</v>
      </c>
    </row>
    <row r="81" spans="2:8" x14ac:dyDescent="0.25">
      <c r="B81" s="135"/>
      <c r="C81" s="89"/>
      <c r="D81" s="89"/>
      <c r="E81" s="106"/>
      <c r="F81" s="72"/>
      <c r="G81" s="131"/>
      <c r="H81" s="74">
        <f t="shared" si="0"/>
        <v>133000000</v>
      </c>
    </row>
    <row r="82" spans="2:8" x14ac:dyDescent="0.25">
      <c r="B82" s="135"/>
      <c r="C82" s="89"/>
      <c r="D82" s="89"/>
      <c r="E82" s="106"/>
      <c r="F82" s="72"/>
      <c r="G82" s="131"/>
      <c r="H82" s="74">
        <f t="shared" ref="H82:H145" si="1">H81+F82-G82</f>
        <v>133000000</v>
      </c>
    </row>
    <row r="83" spans="2:8" x14ac:dyDescent="0.25">
      <c r="B83" s="135"/>
      <c r="C83" s="89"/>
      <c r="D83" s="89"/>
      <c r="E83" s="106"/>
      <c r="F83" s="72"/>
      <c r="G83" s="131"/>
      <c r="H83" s="74">
        <f t="shared" si="1"/>
        <v>133000000</v>
      </c>
    </row>
    <row r="84" spans="2:8" x14ac:dyDescent="0.25">
      <c r="B84" s="135"/>
      <c r="C84" s="89"/>
      <c r="D84" s="89"/>
      <c r="E84" s="106"/>
      <c r="F84" s="72"/>
      <c r="G84" s="131"/>
      <c r="H84" s="74">
        <f t="shared" si="1"/>
        <v>133000000</v>
      </c>
    </row>
    <row r="85" spans="2:8" x14ac:dyDescent="0.25">
      <c r="B85" s="135"/>
      <c r="C85" s="89"/>
      <c r="D85" s="89"/>
      <c r="E85" s="106"/>
      <c r="F85" s="72"/>
      <c r="G85" s="131"/>
      <c r="H85" s="74">
        <f t="shared" si="1"/>
        <v>133000000</v>
      </c>
    </row>
    <row r="86" spans="2:8" x14ac:dyDescent="0.25">
      <c r="B86" s="135"/>
      <c r="C86" s="89"/>
      <c r="D86" s="89"/>
      <c r="E86" s="106"/>
      <c r="F86" s="72"/>
      <c r="G86" s="131"/>
      <c r="H86" s="74">
        <f t="shared" si="1"/>
        <v>133000000</v>
      </c>
    </row>
    <row r="87" spans="2:8" x14ac:dyDescent="0.25">
      <c r="B87" s="135"/>
      <c r="C87" s="89"/>
      <c r="D87" s="89"/>
      <c r="E87" s="106"/>
      <c r="F87" s="72"/>
      <c r="G87" s="131"/>
      <c r="H87" s="74">
        <f t="shared" si="1"/>
        <v>133000000</v>
      </c>
    </row>
    <row r="88" spans="2:8" x14ac:dyDescent="0.25">
      <c r="B88" s="135"/>
      <c r="C88" s="89"/>
      <c r="D88" s="89"/>
      <c r="E88" s="106"/>
      <c r="F88" s="72"/>
      <c r="G88" s="131"/>
      <c r="H88" s="74">
        <f t="shared" si="1"/>
        <v>133000000</v>
      </c>
    </row>
    <row r="89" spans="2:8" x14ac:dyDescent="0.25">
      <c r="B89" s="135"/>
      <c r="C89" s="89"/>
      <c r="D89" s="89"/>
      <c r="E89" s="106"/>
      <c r="F89" s="72"/>
      <c r="G89" s="131"/>
      <c r="H89" s="74">
        <f t="shared" si="1"/>
        <v>133000000</v>
      </c>
    </row>
    <row r="90" spans="2:8" x14ac:dyDescent="0.25">
      <c r="B90" s="135"/>
      <c r="C90" s="89"/>
      <c r="D90" s="89"/>
      <c r="E90" s="106"/>
      <c r="F90" s="72"/>
      <c r="G90" s="9"/>
      <c r="H90" s="74">
        <f t="shared" si="1"/>
        <v>133000000</v>
      </c>
    </row>
    <row r="91" spans="2:8" x14ac:dyDescent="0.25">
      <c r="B91" s="135"/>
      <c r="C91" s="89"/>
      <c r="D91" s="89"/>
      <c r="E91" s="106"/>
      <c r="F91" s="72"/>
      <c r="G91" s="9"/>
      <c r="H91" s="74">
        <f t="shared" si="1"/>
        <v>133000000</v>
      </c>
    </row>
    <row r="92" spans="2:8" x14ac:dyDescent="0.25">
      <c r="B92" s="135"/>
      <c r="C92" s="89"/>
      <c r="D92" s="89"/>
      <c r="E92" s="106"/>
      <c r="F92" s="72"/>
      <c r="G92" s="9"/>
      <c r="H92" s="74">
        <f t="shared" si="1"/>
        <v>133000000</v>
      </c>
    </row>
    <row r="93" spans="2:8" x14ac:dyDescent="0.25">
      <c r="B93" s="135"/>
      <c r="C93" s="89"/>
      <c r="D93" s="89"/>
      <c r="E93" s="106"/>
      <c r="F93" s="72"/>
      <c r="G93" s="9"/>
      <c r="H93" s="74">
        <f t="shared" si="1"/>
        <v>133000000</v>
      </c>
    </row>
    <row r="94" spans="2:8" x14ac:dyDescent="0.25">
      <c r="B94" s="135"/>
      <c r="C94" s="89"/>
      <c r="D94" s="89"/>
      <c r="E94" s="106"/>
      <c r="F94" s="72"/>
      <c r="G94" s="9"/>
      <c r="H94" s="74">
        <f t="shared" si="1"/>
        <v>133000000</v>
      </c>
    </row>
    <row r="95" spans="2:8" x14ac:dyDescent="0.25">
      <c r="B95" s="135"/>
      <c r="C95" s="89"/>
      <c r="D95" s="89"/>
      <c r="E95" s="106"/>
      <c r="F95" s="72"/>
      <c r="G95" s="9"/>
      <c r="H95" s="74">
        <f t="shared" si="1"/>
        <v>133000000</v>
      </c>
    </row>
    <row r="96" spans="2:8" x14ac:dyDescent="0.25">
      <c r="B96" s="135"/>
      <c r="C96" s="89"/>
      <c r="D96" s="89"/>
      <c r="E96" s="106"/>
      <c r="F96" s="72"/>
      <c r="G96" s="9"/>
      <c r="H96" s="74">
        <f t="shared" si="1"/>
        <v>133000000</v>
      </c>
    </row>
    <row r="97" spans="2:8" x14ac:dyDescent="0.25">
      <c r="B97" s="135"/>
      <c r="C97" s="89"/>
      <c r="D97" s="89"/>
      <c r="E97" s="106"/>
      <c r="F97" s="72"/>
      <c r="G97" s="9"/>
      <c r="H97" s="74">
        <f t="shared" si="1"/>
        <v>133000000</v>
      </c>
    </row>
    <row r="98" spans="2:8" x14ac:dyDescent="0.25">
      <c r="B98" s="135"/>
      <c r="C98" s="89"/>
      <c r="D98" s="89"/>
      <c r="E98" s="106"/>
      <c r="F98" s="72"/>
      <c r="G98" s="9"/>
      <c r="H98" s="74">
        <f t="shared" si="1"/>
        <v>133000000</v>
      </c>
    </row>
    <row r="99" spans="2:8" x14ac:dyDescent="0.25">
      <c r="B99" s="135"/>
      <c r="C99" s="89"/>
      <c r="D99" s="89"/>
      <c r="E99" s="106"/>
      <c r="F99" s="72"/>
      <c r="G99" s="9"/>
      <c r="H99" s="74">
        <f t="shared" si="1"/>
        <v>133000000</v>
      </c>
    </row>
    <row r="100" spans="2:8" x14ac:dyDescent="0.25">
      <c r="B100" s="135"/>
      <c r="C100" s="89"/>
      <c r="D100" s="89"/>
      <c r="E100" s="106"/>
      <c r="F100" s="72"/>
      <c r="G100" s="9"/>
      <c r="H100" s="74">
        <f t="shared" si="1"/>
        <v>133000000</v>
      </c>
    </row>
    <row r="101" spans="2:8" x14ac:dyDescent="0.25">
      <c r="B101" s="135"/>
      <c r="C101" s="89"/>
      <c r="D101" s="89"/>
      <c r="E101" s="106"/>
      <c r="F101" s="72"/>
      <c r="G101" s="9"/>
      <c r="H101" s="74">
        <f t="shared" si="1"/>
        <v>133000000</v>
      </c>
    </row>
    <row r="102" spans="2:8" x14ac:dyDescent="0.25">
      <c r="B102" s="135"/>
      <c r="C102" s="89"/>
      <c r="D102" s="89"/>
      <c r="E102" s="106"/>
      <c r="F102" s="72"/>
      <c r="G102" s="9"/>
      <c r="H102" s="74">
        <f t="shared" si="1"/>
        <v>133000000</v>
      </c>
    </row>
    <row r="103" spans="2:8" x14ac:dyDescent="0.25">
      <c r="B103" s="135"/>
      <c r="C103" s="89"/>
      <c r="D103" s="89"/>
      <c r="E103" s="106"/>
      <c r="F103" s="72"/>
      <c r="G103" s="9"/>
      <c r="H103" s="74">
        <f t="shared" si="1"/>
        <v>133000000</v>
      </c>
    </row>
    <row r="104" spans="2:8" x14ac:dyDescent="0.25">
      <c r="B104" s="135"/>
      <c r="C104" s="89"/>
      <c r="D104" s="89"/>
      <c r="E104" s="106"/>
      <c r="F104" s="72"/>
      <c r="G104" s="9"/>
      <c r="H104" s="74">
        <f t="shared" si="1"/>
        <v>133000000</v>
      </c>
    </row>
    <row r="105" spans="2:8" x14ac:dyDescent="0.25">
      <c r="B105" s="135"/>
      <c r="C105" s="89"/>
      <c r="D105" s="89"/>
      <c r="E105" s="106"/>
      <c r="F105" s="72"/>
      <c r="G105" s="9"/>
      <c r="H105" s="74">
        <f t="shared" si="1"/>
        <v>133000000</v>
      </c>
    </row>
    <row r="106" spans="2:8" x14ac:dyDescent="0.25">
      <c r="B106" s="135"/>
      <c r="C106" s="89"/>
      <c r="D106" s="89"/>
      <c r="E106" s="106"/>
      <c r="F106" s="72"/>
      <c r="G106" s="9"/>
      <c r="H106" s="74">
        <f t="shared" si="1"/>
        <v>133000000</v>
      </c>
    </row>
    <row r="107" spans="2:8" x14ac:dyDescent="0.25">
      <c r="B107" s="135"/>
      <c r="C107" s="89"/>
      <c r="D107" s="89"/>
      <c r="E107" s="106"/>
      <c r="F107" s="72"/>
      <c r="G107" s="9"/>
      <c r="H107" s="74">
        <f t="shared" si="1"/>
        <v>133000000</v>
      </c>
    </row>
    <row r="108" spans="2:8" x14ac:dyDescent="0.25">
      <c r="B108" s="135"/>
      <c r="C108" s="89"/>
      <c r="D108" s="89"/>
      <c r="E108" s="106"/>
      <c r="F108" s="72"/>
      <c r="G108" s="9"/>
      <c r="H108" s="74">
        <f t="shared" si="1"/>
        <v>133000000</v>
      </c>
    </row>
    <row r="109" spans="2:8" x14ac:dyDescent="0.25">
      <c r="B109" s="135"/>
      <c r="C109" s="89"/>
      <c r="D109" s="89"/>
      <c r="E109" s="106"/>
      <c r="F109" s="72"/>
      <c r="G109" s="9"/>
      <c r="H109" s="74">
        <f t="shared" si="1"/>
        <v>133000000</v>
      </c>
    </row>
    <row r="110" spans="2:8" x14ac:dyDescent="0.25">
      <c r="B110" s="135"/>
      <c r="C110" s="89"/>
      <c r="D110" s="89"/>
      <c r="E110" s="106"/>
      <c r="F110" s="72"/>
      <c r="G110" s="9"/>
      <c r="H110" s="74">
        <f t="shared" si="1"/>
        <v>133000000</v>
      </c>
    </row>
    <row r="111" spans="2:8" x14ac:dyDescent="0.25">
      <c r="B111" s="135"/>
      <c r="C111" s="89"/>
      <c r="D111" s="89"/>
      <c r="E111" s="106"/>
      <c r="F111" s="72"/>
      <c r="G111" s="9"/>
      <c r="H111" s="74">
        <f t="shared" si="1"/>
        <v>133000000</v>
      </c>
    </row>
    <row r="112" spans="2:8" x14ac:dyDescent="0.25">
      <c r="B112" s="135"/>
      <c r="C112" s="89"/>
      <c r="D112" s="89"/>
      <c r="E112" s="106"/>
      <c r="F112" s="72"/>
      <c r="G112" s="9"/>
      <c r="H112" s="74">
        <f t="shared" si="1"/>
        <v>133000000</v>
      </c>
    </row>
    <row r="113" spans="2:8" x14ac:dyDescent="0.25">
      <c r="B113" s="135"/>
      <c r="C113" s="89"/>
      <c r="D113" s="89"/>
      <c r="E113" s="106"/>
      <c r="F113" s="72"/>
      <c r="G113" s="9"/>
      <c r="H113" s="74">
        <f t="shared" si="1"/>
        <v>133000000</v>
      </c>
    </row>
    <row r="114" spans="2:8" x14ac:dyDescent="0.25">
      <c r="B114" s="135"/>
      <c r="C114" s="89"/>
      <c r="D114" s="89"/>
      <c r="E114" s="106"/>
      <c r="F114" s="72"/>
      <c r="G114" s="9"/>
      <c r="H114" s="74">
        <f t="shared" si="1"/>
        <v>133000000</v>
      </c>
    </row>
    <row r="115" spans="2:8" x14ac:dyDescent="0.25">
      <c r="B115" s="135"/>
      <c r="C115" s="89"/>
      <c r="D115" s="89"/>
      <c r="E115" s="106"/>
      <c r="F115" s="72"/>
      <c r="G115" s="9"/>
      <c r="H115" s="74">
        <f t="shared" si="1"/>
        <v>133000000</v>
      </c>
    </row>
    <row r="116" spans="2:8" x14ac:dyDescent="0.25">
      <c r="B116" s="135"/>
      <c r="C116" s="89"/>
      <c r="D116" s="89"/>
      <c r="E116" s="106"/>
      <c r="F116" s="72"/>
      <c r="G116" s="9"/>
      <c r="H116" s="74">
        <f t="shared" si="1"/>
        <v>133000000</v>
      </c>
    </row>
    <row r="117" spans="2:8" x14ac:dyDescent="0.25">
      <c r="B117" s="135"/>
      <c r="C117" s="89"/>
      <c r="D117" s="89"/>
      <c r="E117" s="106"/>
      <c r="F117" s="72"/>
      <c r="G117" s="9"/>
      <c r="H117" s="74">
        <f t="shared" si="1"/>
        <v>133000000</v>
      </c>
    </row>
    <row r="118" spans="2:8" x14ac:dyDescent="0.25">
      <c r="B118" s="135"/>
      <c r="C118" s="89"/>
      <c r="D118" s="89"/>
      <c r="E118" s="106"/>
      <c r="F118" s="72"/>
      <c r="G118" s="9"/>
      <c r="H118" s="74">
        <f t="shared" si="1"/>
        <v>133000000</v>
      </c>
    </row>
    <row r="119" spans="2:8" x14ac:dyDescent="0.25">
      <c r="B119" s="135"/>
      <c r="C119" s="89"/>
      <c r="D119" s="89"/>
      <c r="E119" s="106"/>
      <c r="F119" s="72"/>
      <c r="G119" s="9"/>
      <c r="H119" s="74">
        <f t="shared" si="1"/>
        <v>133000000</v>
      </c>
    </row>
    <row r="120" spans="2:8" x14ac:dyDescent="0.25">
      <c r="B120" s="135"/>
      <c r="C120" s="89"/>
      <c r="D120" s="89"/>
      <c r="E120" s="106"/>
      <c r="F120" s="72"/>
      <c r="G120" s="9"/>
      <c r="H120" s="74">
        <f t="shared" si="1"/>
        <v>133000000</v>
      </c>
    </row>
    <row r="121" spans="2:8" x14ac:dyDescent="0.25">
      <c r="B121" s="135"/>
      <c r="C121" s="89"/>
      <c r="D121" s="89"/>
      <c r="E121" s="106"/>
      <c r="F121" s="72"/>
      <c r="G121" s="9"/>
      <c r="H121" s="74">
        <f t="shared" si="1"/>
        <v>133000000</v>
      </c>
    </row>
    <row r="122" spans="2:8" x14ac:dyDescent="0.25">
      <c r="B122" s="135"/>
      <c r="C122" s="89"/>
      <c r="D122" s="89"/>
      <c r="E122" s="106"/>
      <c r="F122" s="72"/>
      <c r="G122" s="9"/>
      <c r="H122" s="74">
        <f t="shared" si="1"/>
        <v>133000000</v>
      </c>
    </row>
    <row r="123" spans="2:8" x14ac:dyDescent="0.25">
      <c r="B123" s="135"/>
      <c r="C123" s="89"/>
      <c r="D123" s="89"/>
      <c r="E123" s="106"/>
      <c r="F123" s="72"/>
      <c r="G123" s="9"/>
      <c r="H123" s="74">
        <f t="shared" si="1"/>
        <v>133000000</v>
      </c>
    </row>
    <row r="124" spans="2:8" x14ac:dyDescent="0.25">
      <c r="B124" s="135"/>
      <c r="C124" s="89"/>
      <c r="D124" s="89"/>
      <c r="E124" s="106"/>
      <c r="F124" s="72"/>
      <c r="G124" s="9"/>
      <c r="H124" s="74">
        <f t="shared" si="1"/>
        <v>133000000</v>
      </c>
    </row>
    <row r="125" spans="2:8" x14ac:dyDescent="0.25">
      <c r="B125" s="135"/>
      <c r="C125" s="89"/>
      <c r="D125" s="89"/>
      <c r="E125" s="106"/>
      <c r="F125" s="72"/>
      <c r="G125" s="9"/>
      <c r="H125" s="74">
        <f t="shared" si="1"/>
        <v>133000000</v>
      </c>
    </row>
    <row r="126" spans="2:8" x14ac:dyDescent="0.25">
      <c r="B126" s="135"/>
      <c r="C126" s="89"/>
      <c r="D126" s="89"/>
      <c r="E126" s="106"/>
      <c r="F126" s="72"/>
      <c r="G126" s="9"/>
      <c r="H126" s="74">
        <f t="shared" si="1"/>
        <v>133000000</v>
      </c>
    </row>
    <row r="127" spans="2:8" x14ac:dyDescent="0.25">
      <c r="B127" s="135"/>
      <c r="C127" s="89"/>
      <c r="D127" s="89"/>
      <c r="E127" s="106"/>
      <c r="F127" s="72"/>
      <c r="G127" s="9"/>
      <c r="H127" s="74">
        <f t="shared" si="1"/>
        <v>133000000</v>
      </c>
    </row>
    <row r="128" spans="2:8" x14ac:dyDescent="0.25">
      <c r="B128" s="135"/>
      <c r="C128" s="89"/>
      <c r="D128" s="89"/>
      <c r="E128" s="106"/>
      <c r="F128" s="72"/>
      <c r="G128" s="9"/>
      <c r="H128" s="74">
        <f t="shared" si="1"/>
        <v>133000000</v>
      </c>
    </row>
    <row r="129" spans="2:8" x14ac:dyDescent="0.25">
      <c r="B129" s="135"/>
      <c r="C129" s="89"/>
      <c r="D129" s="89"/>
      <c r="E129" s="106"/>
      <c r="F129" s="72"/>
      <c r="G129" s="9"/>
      <c r="H129" s="74">
        <f t="shared" si="1"/>
        <v>133000000</v>
      </c>
    </row>
    <row r="130" spans="2:8" x14ac:dyDescent="0.25">
      <c r="B130" s="135"/>
      <c r="C130" s="89"/>
      <c r="D130" s="89"/>
      <c r="E130" s="90"/>
      <c r="F130" s="72"/>
      <c r="G130" s="9"/>
      <c r="H130" s="74">
        <f t="shared" si="1"/>
        <v>133000000</v>
      </c>
    </row>
    <row r="131" spans="2:8" x14ac:dyDescent="0.25">
      <c r="B131" s="135"/>
      <c r="C131" s="89"/>
      <c r="D131" s="89"/>
      <c r="E131" s="90"/>
      <c r="F131" s="72"/>
      <c r="G131" s="9"/>
      <c r="H131" s="74">
        <f t="shared" si="1"/>
        <v>133000000</v>
      </c>
    </row>
    <row r="132" spans="2:8" x14ac:dyDescent="0.25">
      <c r="B132" s="135"/>
      <c r="C132" s="89"/>
      <c r="D132" s="89"/>
      <c r="E132" s="90"/>
      <c r="F132" s="72"/>
      <c r="G132" s="9"/>
      <c r="H132" s="74">
        <f t="shared" si="1"/>
        <v>133000000</v>
      </c>
    </row>
    <row r="133" spans="2:8" x14ac:dyDescent="0.25">
      <c r="B133" s="135"/>
      <c r="C133" s="89"/>
      <c r="D133" s="89"/>
      <c r="E133" s="90"/>
      <c r="F133" s="72"/>
      <c r="G133" s="9"/>
      <c r="H133" s="74">
        <f t="shared" si="1"/>
        <v>133000000</v>
      </c>
    </row>
    <row r="134" spans="2:8" x14ac:dyDescent="0.25">
      <c r="B134" s="135"/>
      <c r="C134" s="89"/>
      <c r="D134" s="89"/>
      <c r="E134" s="90"/>
      <c r="F134" s="72"/>
      <c r="G134" s="9"/>
      <c r="H134" s="74">
        <f t="shared" si="1"/>
        <v>133000000</v>
      </c>
    </row>
    <row r="135" spans="2:8" x14ac:dyDescent="0.25">
      <c r="B135" s="135"/>
      <c r="C135" s="89"/>
      <c r="D135" s="89"/>
      <c r="E135" s="90"/>
      <c r="F135" s="72"/>
      <c r="G135" s="9"/>
      <c r="H135" s="74">
        <f t="shared" si="1"/>
        <v>133000000</v>
      </c>
    </row>
    <row r="136" spans="2:8" x14ac:dyDescent="0.25">
      <c r="B136" s="135"/>
      <c r="C136" s="89"/>
      <c r="D136" s="89"/>
      <c r="E136" s="90"/>
      <c r="F136" s="72"/>
      <c r="G136" s="9"/>
      <c r="H136" s="74">
        <f t="shared" si="1"/>
        <v>133000000</v>
      </c>
    </row>
    <row r="137" spans="2:8" x14ac:dyDescent="0.25">
      <c r="B137" s="135"/>
      <c r="C137" s="89"/>
      <c r="D137" s="89"/>
      <c r="E137" s="90"/>
      <c r="F137" s="72"/>
      <c r="G137" s="9"/>
      <c r="H137" s="74">
        <f t="shared" si="1"/>
        <v>133000000</v>
      </c>
    </row>
    <row r="138" spans="2:8" x14ac:dyDescent="0.25">
      <c r="B138" s="135"/>
      <c r="C138" s="89"/>
      <c r="D138" s="89"/>
      <c r="E138" s="90"/>
      <c r="F138" s="72"/>
      <c r="G138" s="9"/>
      <c r="H138" s="74">
        <f t="shared" si="1"/>
        <v>133000000</v>
      </c>
    </row>
    <row r="139" spans="2:8" x14ac:dyDescent="0.25">
      <c r="B139" s="135"/>
      <c r="C139" s="89"/>
      <c r="D139" s="89"/>
      <c r="E139" s="90"/>
      <c r="F139" s="72"/>
      <c r="G139" s="9"/>
      <c r="H139" s="74">
        <f t="shared" si="1"/>
        <v>133000000</v>
      </c>
    </row>
    <row r="140" spans="2:8" x14ac:dyDescent="0.25">
      <c r="B140" s="135"/>
      <c r="C140" s="89"/>
      <c r="D140" s="89"/>
      <c r="E140" s="90"/>
      <c r="F140" s="72"/>
      <c r="G140" s="9"/>
      <c r="H140" s="74">
        <f t="shared" si="1"/>
        <v>133000000</v>
      </c>
    </row>
    <row r="141" spans="2:8" x14ac:dyDescent="0.25">
      <c r="B141" s="135"/>
      <c r="C141" s="89"/>
      <c r="D141" s="89"/>
      <c r="E141" s="90"/>
      <c r="F141" s="72"/>
      <c r="G141" s="9"/>
      <c r="H141" s="74">
        <f t="shared" si="1"/>
        <v>133000000</v>
      </c>
    </row>
    <row r="142" spans="2:8" x14ac:dyDescent="0.25">
      <c r="B142" s="135"/>
      <c r="C142" s="89"/>
      <c r="D142" s="89"/>
      <c r="E142" s="90"/>
      <c r="F142" s="72"/>
      <c r="G142" s="9"/>
      <c r="H142" s="74">
        <f t="shared" si="1"/>
        <v>133000000</v>
      </c>
    </row>
    <row r="143" spans="2:8" x14ac:dyDescent="0.25">
      <c r="B143" s="135"/>
      <c r="C143" s="89"/>
      <c r="D143" s="89"/>
      <c r="E143" s="90"/>
      <c r="F143" s="72"/>
      <c r="G143" s="9"/>
      <c r="H143" s="74">
        <f t="shared" si="1"/>
        <v>133000000</v>
      </c>
    </row>
    <row r="144" spans="2:8" x14ac:dyDescent="0.25">
      <c r="B144" s="135"/>
      <c r="C144" s="89"/>
      <c r="D144" s="89"/>
      <c r="E144" s="90"/>
      <c r="F144" s="72"/>
      <c r="G144" s="9"/>
      <c r="H144" s="74">
        <f t="shared" si="1"/>
        <v>133000000</v>
      </c>
    </row>
    <row r="145" spans="2:8" x14ac:dyDescent="0.25">
      <c r="B145" s="135"/>
      <c r="C145" s="89"/>
      <c r="D145" s="89"/>
      <c r="E145" s="90"/>
      <c r="F145" s="72"/>
      <c r="G145" s="9"/>
      <c r="H145" s="74">
        <f t="shared" si="1"/>
        <v>133000000</v>
      </c>
    </row>
    <row r="146" spans="2:8" x14ac:dyDescent="0.25">
      <c r="B146" s="135"/>
      <c r="C146" s="89"/>
      <c r="D146" s="89"/>
      <c r="E146" s="90"/>
      <c r="F146" s="72"/>
      <c r="G146" s="9"/>
      <c r="H146" s="74">
        <f t="shared" ref="H146:H209" si="2">H145+F146-G146</f>
        <v>133000000</v>
      </c>
    </row>
    <row r="147" spans="2:8" x14ac:dyDescent="0.25">
      <c r="B147" s="135"/>
      <c r="C147" s="89"/>
      <c r="D147" s="89"/>
      <c r="E147" s="90"/>
      <c r="F147" s="72"/>
      <c r="G147" s="9"/>
      <c r="H147" s="74">
        <f t="shared" si="2"/>
        <v>133000000</v>
      </c>
    </row>
    <row r="148" spans="2:8" x14ac:dyDescent="0.25">
      <c r="B148" s="135"/>
      <c r="C148" s="89"/>
      <c r="D148" s="89"/>
      <c r="E148" s="90"/>
      <c r="F148" s="72"/>
      <c r="G148" s="9"/>
      <c r="H148" s="74">
        <f t="shared" si="2"/>
        <v>133000000</v>
      </c>
    </row>
    <row r="149" spans="2:8" x14ac:dyDescent="0.25">
      <c r="B149" s="135"/>
      <c r="C149" s="89"/>
      <c r="D149" s="89"/>
      <c r="E149" s="90"/>
      <c r="F149" s="72"/>
      <c r="G149" s="9"/>
      <c r="H149" s="74">
        <f t="shared" si="2"/>
        <v>133000000</v>
      </c>
    </row>
    <row r="150" spans="2:8" x14ac:dyDescent="0.25">
      <c r="B150" s="135"/>
      <c r="C150" s="89"/>
      <c r="D150" s="89"/>
      <c r="E150" s="90"/>
      <c r="F150" s="72"/>
      <c r="G150" s="9"/>
      <c r="H150" s="74">
        <f t="shared" si="2"/>
        <v>133000000</v>
      </c>
    </row>
    <row r="151" spans="2:8" x14ac:dyDescent="0.25">
      <c r="B151" s="135"/>
      <c r="C151" s="89"/>
      <c r="D151" s="89"/>
      <c r="E151" s="90"/>
      <c r="F151" s="72"/>
      <c r="G151" s="9"/>
      <c r="H151" s="74">
        <f t="shared" si="2"/>
        <v>133000000</v>
      </c>
    </row>
    <row r="152" spans="2:8" x14ac:dyDescent="0.25">
      <c r="B152" s="135"/>
      <c r="C152" s="89"/>
      <c r="D152" s="89"/>
      <c r="E152" s="90"/>
      <c r="F152" s="72"/>
      <c r="G152" s="9"/>
      <c r="H152" s="74">
        <f t="shared" si="2"/>
        <v>133000000</v>
      </c>
    </row>
    <row r="153" spans="2:8" x14ac:dyDescent="0.25">
      <c r="B153" s="135"/>
      <c r="C153" s="89"/>
      <c r="D153" s="89"/>
      <c r="E153" s="90"/>
      <c r="F153" s="72"/>
      <c r="G153" s="9"/>
      <c r="H153" s="74">
        <f t="shared" si="2"/>
        <v>133000000</v>
      </c>
    </row>
    <row r="154" spans="2:8" x14ac:dyDescent="0.25">
      <c r="B154" s="135"/>
      <c r="C154" s="89"/>
      <c r="D154" s="89"/>
      <c r="E154" s="90"/>
      <c r="F154" s="72"/>
      <c r="G154" s="9"/>
      <c r="H154" s="74">
        <f t="shared" si="2"/>
        <v>133000000</v>
      </c>
    </row>
    <row r="155" spans="2:8" x14ac:dyDescent="0.25">
      <c r="B155" s="135"/>
      <c r="C155" s="89"/>
      <c r="D155" s="89"/>
      <c r="E155" s="90"/>
      <c r="F155" s="72"/>
      <c r="G155" s="9"/>
      <c r="H155" s="74">
        <f t="shared" si="2"/>
        <v>133000000</v>
      </c>
    </row>
    <row r="156" spans="2:8" x14ac:dyDescent="0.25">
      <c r="B156" s="135"/>
      <c r="C156" s="89"/>
      <c r="D156" s="89"/>
      <c r="E156" s="90"/>
      <c r="F156" s="72"/>
      <c r="G156" s="9"/>
      <c r="H156" s="74">
        <f t="shared" si="2"/>
        <v>133000000</v>
      </c>
    </row>
    <row r="157" spans="2:8" x14ac:dyDescent="0.25">
      <c r="B157" s="135"/>
      <c r="C157" s="89"/>
      <c r="D157" s="89"/>
      <c r="E157" s="90"/>
      <c r="F157" s="72"/>
      <c r="G157" s="9"/>
      <c r="H157" s="74">
        <f t="shared" si="2"/>
        <v>133000000</v>
      </c>
    </row>
    <row r="158" spans="2:8" x14ac:dyDescent="0.25">
      <c r="B158" s="135"/>
      <c r="C158" s="89"/>
      <c r="D158" s="89"/>
      <c r="E158" s="90"/>
      <c r="F158" s="72"/>
      <c r="G158" s="9"/>
      <c r="H158" s="74">
        <f t="shared" si="2"/>
        <v>133000000</v>
      </c>
    </row>
    <row r="159" spans="2:8" x14ac:dyDescent="0.25">
      <c r="B159" s="135"/>
      <c r="C159" s="89"/>
      <c r="D159" s="89"/>
      <c r="E159" s="90"/>
      <c r="F159" s="72"/>
      <c r="G159" s="9"/>
      <c r="H159" s="74">
        <f t="shared" si="2"/>
        <v>133000000</v>
      </c>
    </row>
    <row r="160" spans="2:8" x14ac:dyDescent="0.25">
      <c r="B160" s="135"/>
      <c r="C160" s="89"/>
      <c r="D160" s="89"/>
      <c r="E160" s="90"/>
      <c r="F160" s="72"/>
      <c r="G160" s="9"/>
      <c r="H160" s="74">
        <f t="shared" si="2"/>
        <v>133000000</v>
      </c>
    </row>
    <row r="161" spans="2:8" x14ac:dyDescent="0.25">
      <c r="B161" s="135"/>
      <c r="C161" s="89"/>
      <c r="D161" s="89"/>
      <c r="E161" s="90"/>
      <c r="F161" s="72"/>
      <c r="G161" s="9"/>
      <c r="H161" s="74">
        <f t="shared" si="2"/>
        <v>133000000</v>
      </c>
    </row>
    <row r="162" spans="2:8" x14ac:dyDescent="0.25">
      <c r="B162" s="135"/>
      <c r="C162" s="89"/>
      <c r="D162" s="89"/>
      <c r="E162" s="90"/>
      <c r="F162" s="72"/>
      <c r="G162" s="9"/>
      <c r="H162" s="74">
        <f t="shared" si="2"/>
        <v>133000000</v>
      </c>
    </row>
    <row r="163" spans="2:8" x14ac:dyDescent="0.25">
      <c r="B163" s="135"/>
      <c r="C163" s="89"/>
      <c r="D163" s="89"/>
      <c r="E163" s="90"/>
      <c r="F163" s="72"/>
      <c r="G163" s="9"/>
      <c r="H163" s="74">
        <f t="shared" si="2"/>
        <v>133000000</v>
      </c>
    </row>
    <row r="164" spans="2:8" x14ac:dyDescent="0.25">
      <c r="B164" s="135"/>
      <c r="C164" s="89"/>
      <c r="D164" s="89"/>
      <c r="E164" s="90"/>
      <c r="F164" s="72"/>
      <c r="G164" s="9"/>
      <c r="H164" s="74">
        <f t="shared" si="2"/>
        <v>133000000</v>
      </c>
    </row>
    <row r="165" spans="2:8" x14ac:dyDescent="0.25">
      <c r="B165" s="135"/>
      <c r="C165" s="89"/>
      <c r="D165" s="89"/>
      <c r="E165" s="90"/>
      <c r="F165" s="72"/>
      <c r="G165" s="9"/>
      <c r="H165" s="74">
        <f t="shared" si="2"/>
        <v>133000000</v>
      </c>
    </row>
    <row r="166" spans="2:8" x14ac:dyDescent="0.25">
      <c r="B166" s="135"/>
      <c r="C166" s="89"/>
      <c r="D166" s="89"/>
      <c r="E166" s="90"/>
      <c r="F166" s="72"/>
      <c r="G166" s="9"/>
      <c r="H166" s="74">
        <f t="shared" si="2"/>
        <v>133000000</v>
      </c>
    </row>
    <row r="167" spans="2:8" x14ac:dyDescent="0.25">
      <c r="B167" s="135"/>
      <c r="C167" s="89"/>
      <c r="D167" s="89"/>
      <c r="E167" s="90"/>
      <c r="F167" s="72"/>
      <c r="G167" s="9"/>
      <c r="H167" s="74">
        <f t="shared" si="2"/>
        <v>133000000</v>
      </c>
    </row>
    <row r="168" spans="2:8" x14ac:dyDescent="0.25">
      <c r="B168" s="135"/>
      <c r="C168" s="89"/>
      <c r="D168" s="89"/>
      <c r="E168" s="90"/>
      <c r="F168" s="72"/>
      <c r="G168" s="9"/>
      <c r="H168" s="74">
        <f t="shared" si="2"/>
        <v>133000000</v>
      </c>
    </row>
    <row r="169" spans="2:8" x14ac:dyDescent="0.25">
      <c r="B169" s="135"/>
      <c r="C169" s="89"/>
      <c r="D169" s="89"/>
      <c r="E169" s="90"/>
      <c r="F169" s="72"/>
      <c r="G169" s="9"/>
      <c r="H169" s="74">
        <f t="shared" si="2"/>
        <v>133000000</v>
      </c>
    </row>
    <row r="170" spans="2:8" x14ac:dyDescent="0.25">
      <c r="B170" s="135"/>
      <c r="C170" s="89"/>
      <c r="D170" s="89"/>
      <c r="E170" s="90"/>
      <c r="F170" s="72"/>
      <c r="G170" s="9"/>
      <c r="H170" s="74">
        <f t="shared" si="2"/>
        <v>133000000</v>
      </c>
    </row>
    <row r="171" spans="2:8" x14ac:dyDescent="0.25">
      <c r="B171" s="135"/>
      <c r="C171" s="89"/>
      <c r="D171" s="89"/>
      <c r="E171" s="90"/>
      <c r="F171" s="72"/>
      <c r="G171" s="9"/>
      <c r="H171" s="74">
        <f t="shared" si="2"/>
        <v>133000000</v>
      </c>
    </row>
    <row r="172" spans="2:8" x14ac:dyDescent="0.25">
      <c r="B172" s="135"/>
      <c r="C172" s="89"/>
      <c r="D172" s="89"/>
      <c r="E172" s="90"/>
      <c r="F172" s="72"/>
      <c r="G172" s="9"/>
      <c r="H172" s="74">
        <f t="shared" si="2"/>
        <v>133000000</v>
      </c>
    </row>
    <row r="173" spans="2:8" x14ac:dyDescent="0.25">
      <c r="B173" s="135"/>
      <c r="C173" s="89"/>
      <c r="D173" s="89"/>
      <c r="E173" s="90"/>
      <c r="F173" s="72"/>
      <c r="G173" s="9"/>
      <c r="H173" s="74">
        <f t="shared" si="2"/>
        <v>133000000</v>
      </c>
    </row>
    <row r="174" spans="2:8" x14ac:dyDescent="0.25">
      <c r="B174" s="135"/>
      <c r="C174" s="89"/>
      <c r="D174" s="89"/>
      <c r="E174" s="90"/>
      <c r="F174" s="72"/>
      <c r="G174" s="9"/>
      <c r="H174" s="74">
        <f t="shared" si="2"/>
        <v>133000000</v>
      </c>
    </row>
    <row r="175" spans="2:8" x14ac:dyDescent="0.25">
      <c r="B175" s="135"/>
      <c r="C175" s="89"/>
      <c r="D175" s="89"/>
      <c r="E175" s="90"/>
      <c r="F175" s="72"/>
      <c r="G175" s="9"/>
      <c r="H175" s="74">
        <f t="shared" si="2"/>
        <v>133000000</v>
      </c>
    </row>
    <row r="176" spans="2:8" x14ac:dyDescent="0.25">
      <c r="B176" s="135"/>
      <c r="C176" s="89"/>
      <c r="D176" s="89"/>
      <c r="E176" s="90"/>
      <c r="F176" s="72"/>
      <c r="G176" s="9"/>
      <c r="H176" s="74">
        <f t="shared" si="2"/>
        <v>133000000</v>
      </c>
    </row>
    <row r="177" spans="2:8" x14ac:dyDescent="0.25">
      <c r="B177" s="135"/>
      <c r="C177" s="89"/>
      <c r="D177" s="89"/>
      <c r="E177" s="90"/>
      <c r="F177" s="72"/>
      <c r="G177" s="9"/>
      <c r="H177" s="74">
        <f t="shared" si="2"/>
        <v>133000000</v>
      </c>
    </row>
    <row r="178" spans="2:8" x14ac:dyDescent="0.25">
      <c r="B178" s="135"/>
      <c r="C178" s="89"/>
      <c r="D178" s="89"/>
      <c r="E178" s="90"/>
      <c r="F178" s="72"/>
      <c r="G178" s="9"/>
      <c r="H178" s="74">
        <f t="shared" si="2"/>
        <v>133000000</v>
      </c>
    </row>
    <row r="179" spans="2:8" x14ac:dyDescent="0.25">
      <c r="B179" s="135"/>
      <c r="C179" s="89"/>
      <c r="D179" s="89"/>
      <c r="E179" s="90"/>
      <c r="F179" s="72"/>
      <c r="G179" s="9"/>
      <c r="H179" s="74">
        <f t="shared" si="2"/>
        <v>133000000</v>
      </c>
    </row>
    <row r="180" spans="2:8" x14ac:dyDescent="0.25">
      <c r="B180" s="135"/>
      <c r="C180" s="89"/>
      <c r="D180" s="89"/>
      <c r="E180" s="90"/>
      <c r="F180" s="72"/>
      <c r="G180" s="9"/>
      <c r="H180" s="74">
        <f t="shared" si="2"/>
        <v>133000000</v>
      </c>
    </row>
    <row r="181" spans="2:8" x14ac:dyDescent="0.25">
      <c r="B181" s="135"/>
      <c r="C181" s="89"/>
      <c r="D181" s="89"/>
      <c r="E181" s="90"/>
      <c r="F181" s="72"/>
      <c r="G181" s="9"/>
      <c r="H181" s="74">
        <f t="shared" si="2"/>
        <v>133000000</v>
      </c>
    </row>
    <row r="182" spans="2:8" x14ac:dyDescent="0.25">
      <c r="B182" s="135"/>
      <c r="C182" s="89"/>
      <c r="D182" s="89"/>
      <c r="E182" s="90"/>
      <c r="F182" s="72"/>
      <c r="G182" s="9"/>
      <c r="H182" s="74">
        <f t="shared" si="2"/>
        <v>133000000</v>
      </c>
    </row>
    <row r="183" spans="2:8" x14ac:dyDescent="0.25">
      <c r="B183" s="135"/>
      <c r="C183" s="89"/>
      <c r="D183" s="89"/>
      <c r="E183" s="90"/>
      <c r="F183" s="72"/>
      <c r="G183" s="9"/>
      <c r="H183" s="74">
        <f t="shared" si="2"/>
        <v>133000000</v>
      </c>
    </row>
    <row r="184" spans="2:8" x14ac:dyDescent="0.25">
      <c r="B184" s="135"/>
      <c r="C184" s="89"/>
      <c r="D184" s="89"/>
      <c r="E184" s="90"/>
      <c r="F184" s="72"/>
      <c r="G184" s="9"/>
      <c r="H184" s="74">
        <f t="shared" si="2"/>
        <v>133000000</v>
      </c>
    </row>
    <row r="185" spans="2:8" x14ac:dyDescent="0.25">
      <c r="B185" s="135"/>
      <c r="C185" s="89"/>
      <c r="D185" s="89"/>
      <c r="E185" s="90"/>
      <c r="F185" s="72"/>
      <c r="G185" s="9"/>
      <c r="H185" s="74">
        <f t="shared" si="2"/>
        <v>133000000</v>
      </c>
    </row>
    <row r="186" spans="2:8" x14ac:dyDescent="0.25">
      <c r="B186" s="135"/>
      <c r="C186" s="89"/>
      <c r="D186" s="89"/>
      <c r="E186" s="90"/>
      <c r="F186" s="72"/>
      <c r="G186" s="9"/>
      <c r="H186" s="74">
        <f t="shared" si="2"/>
        <v>133000000</v>
      </c>
    </row>
    <row r="187" spans="2:8" x14ac:dyDescent="0.25">
      <c r="B187" s="135"/>
      <c r="C187" s="89"/>
      <c r="D187" s="89"/>
      <c r="E187" s="90"/>
      <c r="F187" s="72"/>
      <c r="G187" s="9"/>
      <c r="H187" s="74">
        <f t="shared" si="2"/>
        <v>133000000</v>
      </c>
    </row>
    <row r="188" spans="2:8" x14ac:dyDescent="0.25">
      <c r="B188" s="135"/>
      <c r="C188" s="89"/>
      <c r="D188" s="89"/>
      <c r="E188" s="90"/>
      <c r="F188" s="72"/>
      <c r="G188" s="9"/>
      <c r="H188" s="74">
        <f t="shared" si="2"/>
        <v>133000000</v>
      </c>
    </row>
    <row r="189" spans="2:8" x14ac:dyDescent="0.25">
      <c r="B189" s="135"/>
      <c r="C189" s="89"/>
      <c r="D189" s="89"/>
      <c r="E189" s="90"/>
      <c r="F189" s="72"/>
      <c r="G189" s="9"/>
      <c r="H189" s="74">
        <f t="shared" si="2"/>
        <v>133000000</v>
      </c>
    </row>
    <row r="190" spans="2:8" x14ac:dyDescent="0.25">
      <c r="B190" s="135"/>
      <c r="C190" s="89"/>
      <c r="D190" s="89"/>
      <c r="E190" s="90"/>
      <c r="F190" s="72"/>
      <c r="G190" s="9"/>
      <c r="H190" s="74">
        <f t="shared" si="2"/>
        <v>133000000</v>
      </c>
    </row>
    <row r="191" spans="2:8" x14ac:dyDescent="0.25">
      <c r="B191" s="135"/>
      <c r="C191" s="89"/>
      <c r="D191" s="89"/>
      <c r="E191" s="90"/>
      <c r="F191" s="72"/>
      <c r="G191" s="9"/>
      <c r="H191" s="74">
        <f t="shared" si="2"/>
        <v>133000000</v>
      </c>
    </row>
    <row r="192" spans="2:8" x14ac:dyDescent="0.25">
      <c r="B192" s="135"/>
      <c r="C192" s="89"/>
      <c r="D192" s="89"/>
      <c r="E192" s="90"/>
      <c r="F192" s="72"/>
      <c r="G192" s="9"/>
      <c r="H192" s="74">
        <f t="shared" si="2"/>
        <v>133000000</v>
      </c>
    </row>
    <row r="193" spans="2:8" x14ac:dyDescent="0.25">
      <c r="B193" s="135"/>
      <c r="C193" s="89"/>
      <c r="D193" s="89"/>
      <c r="E193" s="90"/>
      <c r="F193" s="72"/>
      <c r="G193" s="9"/>
      <c r="H193" s="74">
        <f t="shared" si="2"/>
        <v>133000000</v>
      </c>
    </row>
    <row r="194" spans="2:8" x14ac:dyDescent="0.25">
      <c r="B194" s="135"/>
      <c r="C194" s="89"/>
      <c r="D194" s="89"/>
      <c r="E194" s="90"/>
      <c r="F194" s="72"/>
      <c r="G194" s="9"/>
      <c r="H194" s="74">
        <f t="shared" si="2"/>
        <v>133000000</v>
      </c>
    </row>
    <row r="195" spans="2:8" x14ac:dyDescent="0.25">
      <c r="B195" s="135"/>
      <c r="C195" s="89"/>
      <c r="D195" s="89"/>
      <c r="E195" s="90"/>
      <c r="F195" s="72"/>
      <c r="G195" s="9"/>
      <c r="H195" s="74">
        <f t="shared" si="2"/>
        <v>133000000</v>
      </c>
    </row>
    <row r="196" spans="2:8" x14ac:dyDescent="0.25">
      <c r="B196" s="135"/>
      <c r="C196" s="89"/>
      <c r="D196" s="89"/>
      <c r="E196" s="90"/>
      <c r="F196" s="72"/>
      <c r="G196" s="9"/>
      <c r="H196" s="74">
        <f t="shared" si="2"/>
        <v>133000000</v>
      </c>
    </row>
    <row r="197" spans="2:8" x14ac:dyDescent="0.25">
      <c r="B197" s="135"/>
      <c r="C197" s="89"/>
      <c r="D197" s="89"/>
      <c r="E197" s="90"/>
      <c r="F197" s="72"/>
      <c r="G197" s="9"/>
      <c r="H197" s="74">
        <f t="shared" si="2"/>
        <v>133000000</v>
      </c>
    </row>
    <row r="198" spans="2:8" x14ac:dyDescent="0.25">
      <c r="B198" s="135"/>
      <c r="C198" s="89"/>
      <c r="D198" s="89"/>
      <c r="E198" s="90"/>
      <c r="F198" s="72"/>
      <c r="G198" s="9"/>
      <c r="H198" s="74">
        <f t="shared" si="2"/>
        <v>133000000</v>
      </c>
    </row>
    <row r="199" spans="2:8" x14ac:dyDescent="0.25">
      <c r="B199" s="135"/>
      <c r="C199" s="89"/>
      <c r="D199" s="89"/>
      <c r="E199" s="90"/>
      <c r="F199" s="72"/>
      <c r="G199" s="9"/>
      <c r="H199" s="74">
        <f t="shared" si="2"/>
        <v>133000000</v>
      </c>
    </row>
    <row r="200" spans="2:8" x14ac:dyDescent="0.25">
      <c r="B200" s="135"/>
      <c r="C200" s="89"/>
      <c r="D200" s="89"/>
      <c r="E200" s="90"/>
      <c r="F200" s="72"/>
      <c r="G200" s="9"/>
      <c r="H200" s="74">
        <f t="shared" si="2"/>
        <v>133000000</v>
      </c>
    </row>
    <row r="201" spans="2:8" x14ac:dyDescent="0.25">
      <c r="B201" s="135"/>
      <c r="C201" s="89"/>
      <c r="D201" s="89"/>
      <c r="E201" s="90"/>
      <c r="F201" s="72"/>
      <c r="G201" s="9"/>
      <c r="H201" s="74">
        <f t="shared" si="2"/>
        <v>133000000</v>
      </c>
    </row>
    <row r="202" spans="2:8" x14ac:dyDescent="0.25">
      <c r="B202" s="135"/>
      <c r="C202" s="89"/>
      <c r="D202" s="89"/>
      <c r="E202" s="90"/>
      <c r="F202" s="72"/>
      <c r="G202" s="9"/>
      <c r="H202" s="74">
        <f t="shared" si="2"/>
        <v>133000000</v>
      </c>
    </row>
    <row r="203" spans="2:8" x14ac:dyDescent="0.25">
      <c r="B203" s="135"/>
      <c r="C203" s="89"/>
      <c r="D203" s="89"/>
      <c r="E203" s="90"/>
      <c r="F203" s="72"/>
      <c r="G203" s="9"/>
      <c r="H203" s="74">
        <f t="shared" si="2"/>
        <v>133000000</v>
      </c>
    </row>
    <row r="204" spans="2:8" x14ac:dyDescent="0.25">
      <c r="B204" s="135"/>
      <c r="C204" s="89"/>
      <c r="D204" s="89"/>
      <c r="E204" s="90"/>
      <c r="F204" s="72"/>
      <c r="G204" s="9"/>
      <c r="H204" s="74">
        <f t="shared" si="2"/>
        <v>133000000</v>
      </c>
    </row>
    <row r="205" spans="2:8" x14ac:dyDescent="0.25">
      <c r="B205" s="135"/>
      <c r="C205" s="89"/>
      <c r="D205" s="89"/>
      <c r="E205" s="90"/>
      <c r="F205" s="72"/>
      <c r="G205" s="9"/>
      <c r="H205" s="74">
        <f t="shared" si="2"/>
        <v>133000000</v>
      </c>
    </row>
    <row r="206" spans="2:8" x14ac:dyDescent="0.25">
      <c r="B206" s="135"/>
      <c r="C206" s="89"/>
      <c r="D206" s="89"/>
      <c r="E206" s="90"/>
      <c r="F206" s="72"/>
      <c r="G206" s="9"/>
      <c r="H206" s="74">
        <f t="shared" si="2"/>
        <v>133000000</v>
      </c>
    </row>
    <row r="207" spans="2:8" x14ac:dyDescent="0.25">
      <c r="B207" s="135"/>
      <c r="C207" s="89"/>
      <c r="D207" s="89"/>
      <c r="E207" s="90"/>
      <c r="F207" s="72"/>
      <c r="G207" s="9"/>
      <c r="H207" s="74">
        <f t="shared" si="2"/>
        <v>133000000</v>
      </c>
    </row>
    <row r="208" spans="2:8" x14ac:dyDescent="0.25">
      <c r="B208" s="135"/>
      <c r="C208" s="89"/>
      <c r="D208" s="89"/>
      <c r="E208" s="90"/>
      <c r="F208" s="72"/>
      <c r="G208" s="9"/>
      <c r="H208" s="74">
        <f t="shared" si="2"/>
        <v>133000000</v>
      </c>
    </row>
    <row r="209" spans="2:8" x14ac:dyDescent="0.25">
      <c r="B209" s="135"/>
      <c r="C209" s="89"/>
      <c r="D209" s="89"/>
      <c r="E209" s="90"/>
      <c r="F209" s="72"/>
      <c r="G209" s="9"/>
      <c r="H209" s="74">
        <f t="shared" si="2"/>
        <v>133000000</v>
      </c>
    </row>
    <row r="210" spans="2:8" x14ac:dyDescent="0.25">
      <c r="B210" s="135"/>
      <c r="C210" s="89"/>
      <c r="D210" s="89"/>
      <c r="E210" s="90"/>
      <c r="F210" s="72"/>
      <c r="G210" s="9"/>
      <c r="H210" s="74">
        <f t="shared" ref="H210:H273" si="3">H209+F210-G210</f>
        <v>133000000</v>
      </c>
    </row>
    <row r="211" spans="2:8" x14ac:dyDescent="0.25">
      <c r="B211" s="135"/>
      <c r="C211" s="89"/>
      <c r="D211" s="89"/>
      <c r="E211" s="90"/>
      <c r="F211" s="72"/>
      <c r="G211" s="9"/>
      <c r="H211" s="74">
        <f t="shared" si="3"/>
        <v>133000000</v>
      </c>
    </row>
    <row r="212" spans="2:8" x14ac:dyDescent="0.25">
      <c r="B212" s="135"/>
      <c r="C212" s="89"/>
      <c r="D212" s="89"/>
      <c r="E212" s="90"/>
      <c r="F212" s="72"/>
      <c r="G212" s="9"/>
      <c r="H212" s="74">
        <f t="shared" si="3"/>
        <v>133000000</v>
      </c>
    </row>
    <row r="213" spans="2:8" x14ac:dyDescent="0.25">
      <c r="B213" s="135"/>
      <c r="C213" s="89"/>
      <c r="D213" s="89"/>
      <c r="E213" s="90"/>
      <c r="F213" s="72"/>
      <c r="G213" s="9"/>
      <c r="H213" s="74">
        <f t="shared" si="3"/>
        <v>133000000</v>
      </c>
    </row>
    <row r="214" spans="2:8" x14ac:dyDescent="0.25">
      <c r="B214" s="135"/>
      <c r="C214" s="89"/>
      <c r="D214" s="89"/>
      <c r="E214" s="90"/>
      <c r="F214" s="72"/>
      <c r="G214" s="9"/>
      <c r="H214" s="74">
        <f t="shared" si="3"/>
        <v>133000000</v>
      </c>
    </row>
    <row r="215" spans="2:8" x14ac:dyDescent="0.25">
      <c r="B215" s="135"/>
      <c r="C215" s="89"/>
      <c r="D215" s="89"/>
      <c r="E215" s="90"/>
      <c r="F215" s="72"/>
      <c r="G215" s="9"/>
      <c r="H215" s="74">
        <f t="shared" si="3"/>
        <v>133000000</v>
      </c>
    </row>
    <row r="216" spans="2:8" x14ac:dyDescent="0.25">
      <c r="B216" s="135"/>
      <c r="C216" s="89"/>
      <c r="D216" s="89"/>
      <c r="E216" s="90"/>
      <c r="F216" s="72"/>
      <c r="G216" s="9"/>
      <c r="H216" s="74">
        <f t="shared" si="3"/>
        <v>133000000</v>
      </c>
    </row>
    <row r="217" spans="2:8" x14ac:dyDescent="0.25">
      <c r="B217" s="135"/>
      <c r="C217" s="89"/>
      <c r="D217" s="89"/>
      <c r="E217" s="90"/>
      <c r="F217" s="72"/>
      <c r="G217" s="9"/>
      <c r="H217" s="74">
        <f t="shared" si="3"/>
        <v>133000000</v>
      </c>
    </row>
    <row r="218" spans="2:8" x14ac:dyDescent="0.25">
      <c r="B218" s="135"/>
      <c r="C218" s="89"/>
      <c r="D218" s="89"/>
      <c r="E218" s="90"/>
      <c r="F218" s="72"/>
      <c r="G218" s="9"/>
      <c r="H218" s="74">
        <f t="shared" si="3"/>
        <v>133000000</v>
      </c>
    </row>
    <row r="219" spans="2:8" x14ac:dyDescent="0.25">
      <c r="B219" s="135"/>
      <c r="C219" s="89"/>
      <c r="D219" s="89"/>
      <c r="E219" s="90"/>
      <c r="F219" s="72"/>
      <c r="G219" s="9"/>
      <c r="H219" s="74">
        <f t="shared" si="3"/>
        <v>133000000</v>
      </c>
    </row>
    <row r="220" spans="2:8" x14ac:dyDescent="0.25">
      <c r="B220" s="135"/>
      <c r="C220" s="89"/>
      <c r="D220" s="89"/>
      <c r="E220" s="90"/>
      <c r="F220" s="72"/>
      <c r="G220" s="9"/>
      <c r="H220" s="74">
        <f t="shared" si="3"/>
        <v>133000000</v>
      </c>
    </row>
    <row r="221" spans="2:8" x14ac:dyDescent="0.25">
      <c r="B221" s="135"/>
      <c r="C221" s="89"/>
      <c r="D221" s="89"/>
      <c r="E221" s="90"/>
      <c r="F221" s="72"/>
      <c r="G221" s="9"/>
      <c r="H221" s="74">
        <f t="shared" si="3"/>
        <v>133000000</v>
      </c>
    </row>
    <row r="222" spans="2:8" x14ac:dyDescent="0.25">
      <c r="B222" s="135"/>
      <c r="C222" s="89"/>
      <c r="D222" s="89"/>
      <c r="E222" s="90"/>
      <c r="F222" s="72"/>
      <c r="G222" s="9"/>
      <c r="H222" s="74">
        <f t="shared" si="3"/>
        <v>133000000</v>
      </c>
    </row>
    <row r="223" spans="2:8" x14ac:dyDescent="0.25">
      <c r="B223" s="135"/>
      <c r="C223" s="89"/>
      <c r="D223" s="89"/>
      <c r="E223" s="90"/>
      <c r="F223" s="72"/>
      <c r="G223" s="9"/>
      <c r="H223" s="74">
        <f t="shared" si="3"/>
        <v>133000000</v>
      </c>
    </row>
    <row r="224" spans="2:8" x14ac:dyDescent="0.25">
      <c r="B224" s="135"/>
      <c r="C224" s="89"/>
      <c r="D224" s="89"/>
      <c r="E224" s="90"/>
      <c r="F224" s="72"/>
      <c r="G224" s="9"/>
      <c r="H224" s="74">
        <f t="shared" si="3"/>
        <v>133000000</v>
      </c>
    </row>
    <row r="225" spans="2:8" x14ac:dyDescent="0.25">
      <c r="B225" s="135"/>
      <c r="C225" s="89"/>
      <c r="D225" s="89"/>
      <c r="E225" s="90"/>
      <c r="F225" s="72"/>
      <c r="G225" s="9"/>
      <c r="H225" s="74">
        <f t="shared" si="3"/>
        <v>133000000</v>
      </c>
    </row>
    <row r="226" spans="2:8" x14ac:dyDescent="0.25">
      <c r="B226" s="135"/>
      <c r="C226" s="89"/>
      <c r="D226" s="89"/>
      <c r="E226" s="90"/>
      <c r="F226" s="72"/>
      <c r="G226" s="9"/>
      <c r="H226" s="74">
        <f t="shared" si="3"/>
        <v>133000000</v>
      </c>
    </row>
    <row r="227" spans="2:8" x14ac:dyDescent="0.25">
      <c r="B227" s="135"/>
      <c r="C227" s="89"/>
      <c r="D227" s="89"/>
      <c r="E227" s="90"/>
      <c r="F227" s="72"/>
      <c r="G227" s="9"/>
      <c r="H227" s="74">
        <f t="shared" si="3"/>
        <v>133000000</v>
      </c>
    </row>
    <row r="228" spans="2:8" x14ac:dyDescent="0.25">
      <c r="B228" s="135"/>
      <c r="C228" s="89"/>
      <c r="D228" s="89"/>
      <c r="E228" s="90"/>
      <c r="F228" s="72"/>
      <c r="G228" s="9"/>
      <c r="H228" s="74">
        <f t="shared" si="3"/>
        <v>133000000</v>
      </c>
    </row>
    <row r="229" spans="2:8" x14ac:dyDescent="0.25">
      <c r="B229" s="135"/>
      <c r="C229" s="89"/>
      <c r="D229" s="89"/>
      <c r="E229" s="90"/>
      <c r="F229" s="72"/>
      <c r="G229" s="9"/>
      <c r="H229" s="74">
        <f t="shared" si="3"/>
        <v>133000000</v>
      </c>
    </row>
    <row r="230" spans="2:8" x14ac:dyDescent="0.25">
      <c r="B230" s="135"/>
      <c r="C230" s="89"/>
      <c r="D230" s="89"/>
      <c r="E230" s="90"/>
      <c r="F230" s="72"/>
      <c r="G230" s="9"/>
      <c r="H230" s="74">
        <f t="shared" si="3"/>
        <v>133000000</v>
      </c>
    </row>
    <row r="231" spans="2:8" x14ac:dyDescent="0.25">
      <c r="B231" s="135"/>
      <c r="C231" s="89"/>
      <c r="D231" s="89"/>
      <c r="E231" s="90"/>
      <c r="F231" s="72"/>
      <c r="G231" s="9"/>
      <c r="H231" s="74">
        <f t="shared" si="3"/>
        <v>133000000</v>
      </c>
    </row>
    <row r="232" spans="2:8" x14ac:dyDescent="0.25">
      <c r="B232" s="135"/>
      <c r="C232" s="89"/>
      <c r="D232" s="89"/>
      <c r="E232" s="90"/>
      <c r="F232" s="72"/>
      <c r="G232" s="9"/>
      <c r="H232" s="74">
        <f t="shared" si="3"/>
        <v>133000000</v>
      </c>
    </row>
    <row r="233" spans="2:8" x14ac:dyDescent="0.25">
      <c r="B233" s="135"/>
      <c r="C233" s="89"/>
      <c r="D233" s="89"/>
      <c r="E233" s="90"/>
      <c r="F233" s="72"/>
      <c r="G233" s="9"/>
      <c r="H233" s="74">
        <f t="shared" si="3"/>
        <v>133000000</v>
      </c>
    </row>
    <row r="234" spans="2:8" x14ac:dyDescent="0.25">
      <c r="B234" s="135"/>
      <c r="C234" s="89"/>
      <c r="D234" s="89"/>
      <c r="E234" s="90"/>
      <c r="F234" s="72"/>
      <c r="G234" s="9"/>
      <c r="H234" s="74">
        <f t="shared" si="3"/>
        <v>133000000</v>
      </c>
    </row>
    <row r="235" spans="2:8" x14ac:dyDescent="0.25">
      <c r="B235" s="135"/>
      <c r="C235" s="89"/>
      <c r="D235" s="89"/>
      <c r="E235" s="90"/>
      <c r="F235" s="72"/>
      <c r="G235" s="9"/>
      <c r="H235" s="74">
        <f t="shared" si="3"/>
        <v>133000000</v>
      </c>
    </row>
    <row r="236" spans="2:8" x14ac:dyDescent="0.25">
      <c r="B236" s="135"/>
      <c r="C236" s="89"/>
      <c r="D236" s="89"/>
      <c r="E236" s="90"/>
      <c r="F236" s="72"/>
      <c r="G236" s="9"/>
      <c r="H236" s="74">
        <f t="shared" si="3"/>
        <v>133000000</v>
      </c>
    </row>
    <row r="237" spans="2:8" x14ac:dyDescent="0.25">
      <c r="B237" s="135"/>
      <c r="C237" s="89"/>
      <c r="D237" s="89"/>
      <c r="E237" s="90"/>
      <c r="F237" s="72"/>
      <c r="G237" s="9"/>
      <c r="H237" s="74">
        <f t="shared" si="3"/>
        <v>133000000</v>
      </c>
    </row>
    <row r="238" spans="2:8" x14ac:dyDescent="0.25">
      <c r="B238" s="135"/>
      <c r="C238" s="89"/>
      <c r="D238" s="89"/>
      <c r="E238" s="90"/>
      <c r="F238" s="72"/>
      <c r="G238" s="9"/>
      <c r="H238" s="74">
        <f t="shared" si="3"/>
        <v>133000000</v>
      </c>
    </row>
    <row r="239" spans="2:8" x14ac:dyDescent="0.25">
      <c r="B239" s="135"/>
      <c r="C239" s="89"/>
      <c r="D239" s="89"/>
      <c r="E239" s="90"/>
      <c r="F239" s="72"/>
      <c r="G239" s="9"/>
      <c r="H239" s="74">
        <f t="shared" si="3"/>
        <v>133000000</v>
      </c>
    </row>
    <row r="240" spans="2:8" x14ac:dyDescent="0.25">
      <c r="B240" s="135"/>
      <c r="C240" s="89"/>
      <c r="D240" s="89"/>
      <c r="E240" s="90"/>
      <c r="F240" s="72"/>
      <c r="G240" s="9"/>
      <c r="H240" s="74">
        <f t="shared" si="3"/>
        <v>133000000</v>
      </c>
    </row>
    <row r="241" spans="2:8" x14ac:dyDescent="0.25">
      <c r="B241" s="135"/>
      <c r="C241" s="89"/>
      <c r="D241" s="89"/>
      <c r="E241" s="90"/>
      <c r="F241" s="72"/>
      <c r="G241" s="9"/>
      <c r="H241" s="74">
        <f t="shared" si="3"/>
        <v>133000000</v>
      </c>
    </row>
    <row r="242" spans="2:8" x14ac:dyDescent="0.25">
      <c r="B242" s="135"/>
      <c r="C242" s="89"/>
      <c r="D242" s="89"/>
      <c r="E242" s="90"/>
      <c r="F242" s="72"/>
      <c r="G242" s="9"/>
      <c r="H242" s="74">
        <f t="shared" si="3"/>
        <v>133000000</v>
      </c>
    </row>
    <row r="243" spans="2:8" x14ac:dyDescent="0.25">
      <c r="B243" s="135"/>
      <c r="C243" s="89"/>
      <c r="D243" s="89"/>
      <c r="E243" s="90"/>
      <c r="F243" s="72"/>
      <c r="G243" s="9"/>
      <c r="H243" s="74">
        <f t="shared" si="3"/>
        <v>133000000</v>
      </c>
    </row>
    <row r="244" spans="2:8" x14ac:dyDescent="0.25">
      <c r="B244" s="135"/>
      <c r="C244" s="89"/>
      <c r="D244" s="89"/>
      <c r="E244" s="90"/>
      <c r="F244" s="72"/>
      <c r="G244" s="9"/>
      <c r="H244" s="74">
        <f t="shared" si="3"/>
        <v>133000000</v>
      </c>
    </row>
    <row r="245" spans="2:8" x14ac:dyDescent="0.25">
      <c r="B245" s="135"/>
      <c r="C245" s="89"/>
      <c r="D245" s="89"/>
      <c r="E245" s="90"/>
      <c r="F245" s="72"/>
      <c r="G245" s="9"/>
      <c r="H245" s="74">
        <f t="shared" si="3"/>
        <v>133000000</v>
      </c>
    </row>
    <row r="246" spans="2:8" x14ac:dyDescent="0.25">
      <c r="B246" s="135"/>
      <c r="C246" s="89"/>
      <c r="D246" s="89"/>
      <c r="E246" s="90"/>
      <c r="F246" s="72"/>
      <c r="G246" s="9"/>
      <c r="H246" s="74">
        <f t="shared" si="3"/>
        <v>133000000</v>
      </c>
    </row>
    <row r="247" spans="2:8" x14ac:dyDescent="0.25">
      <c r="B247" s="135"/>
      <c r="C247" s="89"/>
      <c r="D247" s="89"/>
      <c r="E247" s="90"/>
      <c r="F247" s="72"/>
      <c r="G247" s="9"/>
      <c r="H247" s="74">
        <f t="shared" si="3"/>
        <v>133000000</v>
      </c>
    </row>
    <row r="248" spans="2:8" x14ac:dyDescent="0.25">
      <c r="B248" s="135"/>
      <c r="C248" s="89"/>
      <c r="D248" s="89"/>
      <c r="E248" s="90"/>
      <c r="F248" s="72"/>
      <c r="G248" s="9"/>
      <c r="H248" s="74">
        <f t="shared" si="3"/>
        <v>133000000</v>
      </c>
    </row>
    <row r="249" spans="2:8" x14ac:dyDescent="0.25">
      <c r="B249" s="135"/>
      <c r="C249" s="89"/>
      <c r="D249" s="89"/>
      <c r="E249" s="90"/>
      <c r="F249" s="72"/>
      <c r="G249" s="9"/>
      <c r="H249" s="74">
        <f t="shared" si="3"/>
        <v>133000000</v>
      </c>
    </row>
    <row r="250" spans="2:8" x14ac:dyDescent="0.25">
      <c r="B250" s="135"/>
      <c r="C250" s="89"/>
      <c r="D250" s="89"/>
      <c r="E250" s="90"/>
      <c r="F250" s="72"/>
      <c r="G250" s="9"/>
      <c r="H250" s="74">
        <f t="shared" si="3"/>
        <v>133000000</v>
      </c>
    </row>
    <row r="251" spans="2:8" x14ac:dyDescent="0.25">
      <c r="B251" s="135"/>
      <c r="C251" s="89"/>
      <c r="D251" s="89"/>
      <c r="E251" s="90"/>
      <c r="F251" s="72"/>
      <c r="G251" s="9"/>
      <c r="H251" s="74">
        <f t="shared" si="3"/>
        <v>133000000</v>
      </c>
    </row>
    <row r="252" spans="2:8" x14ac:dyDescent="0.25">
      <c r="B252" s="135"/>
      <c r="C252" s="89"/>
      <c r="D252" s="89"/>
      <c r="E252" s="90"/>
      <c r="F252" s="72"/>
      <c r="G252" s="9"/>
      <c r="H252" s="74">
        <f t="shared" si="3"/>
        <v>133000000</v>
      </c>
    </row>
    <row r="253" spans="2:8" x14ac:dyDescent="0.25">
      <c r="B253" s="135"/>
      <c r="C253" s="89"/>
      <c r="D253" s="89"/>
      <c r="E253" s="90"/>
      <c r="F253" s="72"/>
      <c r="G253" s="9"/>
      <c r="H253" s="74">
        <f t="shared" si="3"/>
        <v>133000000</v>
      </c>
    </row>
    <row r="254" spans="2:8" x14ac:dyDescent="0.25">
      <c r="B254" s="135"/>
      <c r="C254" s="89"/>
      <c r="D254" s="89"/>
      <c r="E254" s="90"/>
      <c r="F254" s="72"/>
      <c r="G254" s="9"/>
      <c r="H254" s="74">
        <f t="shared" si="3"/>
        <v>133000000</v>
      </c>
    </row>
    <row r="255" spans="2:8" x14ac:dyDescent="0.25">
      <c r="B255" s="135"/>
      <c r="C255" s="89"/>
      <c r="D255" s="89"/>
      <c r="E255" s="90"/>
      <c r="F255" s="72"/>
      <c r="G255" s="9"/>
      <c r="H255" s="74">
        <f t="shared" si="3"/>
        <v>133000000</v>
      </c>
    </row>
    <row r="256" spans="2:8" x14ac:dyDescent="0.25">
      <c r="B256" s="135"/>
      <c r="C256" s="89"/>
      <c r="D256" s="89"/>
      <c r="E256" s="90"/>
      <c r="F256" s="72"/>
      <c r="G256" s="9"/>
      <c r="H256" s="74">
        <f t="shared" si="3"/>
        <v>133000000</v>
      </c>
    </row>
    <row r="257" spans="2:8" x14ac:dyDescent="0.25">
      <c r="B257" s="135"/>
      <c r="C257" s="89"/>
      <c r="D257" s="89"/>
      <c r="E257" s="90"/>
      <c r="F257" s="72"/>
      <c r="G257" s="9"/>
      <c r="H257" s="74">
        <f t="shared" si="3"/>
        <v>133000000</v>
      </c>
    </row>
    <row r="258" spans="2:8" x14ac:dyDescent="0.25">
      <c r="B258" s="135"/>
      <c r="C258" s="89"/>
      <c r="D258" s="89"/>
      <c r="E258" s="90"/>
      <c r="F258" s="72"/>
      <c r="G258" s="9"/>
      <c r="H258" s="74">
        <f t="shared" si="3"/>
        <v>133000000</v>
      </c>
    </row>
    <row r="259" spans="2:8" x14ac:dyDescent="0.25">
      <c r="B259" s="135"/>
      <c r="C259" s="89"/>
      <c r="D259" s="89"/>
      <c r="E259" s="90"/>
      <c r="F259" s="72"/>
      <c r="G259" s="9"/>
      <c r="H259" s="74">
        <f t="shared" si="3"/>
        <v>133000000</v>
      </c>
    </row>
    <row r="260" spans="2:8" x14ac:dyDescent="0.25">
      <c r="B260" s="135"/>
      <c r="C260" s="89"/>
      <c r="D260" s="89"/>
      <c r="E260" s="90"/>
      <c r="F260" s="72"/>
      <c r="G260" s="9"/>
      <c r="H260" s="74">
        <f t="shared" si="3"/>
        <v>133000000</v>
      </c>
    </row>
    <row r="261" spans="2:8" x14ac:dyDescent="0.25">
      <c r="B261" s="135"/>
      <c r="C261" s="89"/>
      <c r="D261" s="89"/>
      <c r="E261" s="90"/>
      <c r="F261" s="72"/>
      <c r="G261" s="9"/>
      <c r="H261" s="74">
        <f t="shared" si="3"/>
        <v>133000000</v>
      </c>
    </row>
    <row r="262" spans="2:8" x14ac:dyDescent="0.25">
      <c r="B262" s="135"/>
      <c r="C262" s="89"/>
      <c r="D262" s="89"/>
      <c r="E262" s="90"/>
      <c r="F262" s="72"/>
      <c r="G262" s="9"/>
      <c r="H262" s="74">
        <f t="shared" si="3"/>
        <v>133000000</v>
      </c>
    </row>
    <row r="263" spans="2:8" x14ac:dyDescent="0.25">
      <c r="B263" s="135"/>
      <c r="C263" s="89"/>
      <c r="D263" s="89"/>
      <c r="E263" s="90"/>
      <c r="F263" s="72"/>
      <c r="G263" s="9"/>
      <c r="H263" s="74">
        <f t="shared" si="3"/>
        <v>133000000</v>
      </c>
    </row>
    <row r="264" spans="2:8" x14ac:dyDescent="0.25">
      <c r="B264" s="135"/>
      <c r="C264" s="89"/>
      <c r="D264" s="89"/>
      <c r="E264" s="90"/>
      <c r="F264" s="72"/>
      <c r="G264" s="9"/>
      <c r="H264" s="74">
        <f t="shared" si="3"/>
        <v>133000000</v>
      </c>
    </row>
    <row r="265" spans="2:8" x14ac:dyDescent="0.25">
      <c r="B265" s="135"/>
      <c r="C265" s="89"/>
      <c r="D265" s="89"/>
      <c r="E265" s="90"/>
      <c r="F265" s="72"/>
      <c r="G265" s="9"/>
      <c r="H265" s="74">
        <f t="shared" si="3"/>
        <v>133000000</v>
      </c>
    </row>
    <row r="266" spans="2:8" x14ac:dyDescent="0.25">
      <c r="B266" s="135"/>
      <c r="C266" s="89"/>
      <c r="D266" s="89"/>
      <c r="E266" s="90"/>
      <c r="F266" s="72"/>
      <c r="G266" s="9"/>
      <c r="H266" s="74">
        <f t="shared" si="3"/>
        <v>133000000</v>
      </c>
    </row>
    <row r="267" spans="2:8" x14ac:dyDescent="0.25">
      <c r="B267" s="135"/>
      <c r="C267" s="89"/>
      <c r="D267" s="89"/>
      <c r="E267" s="90"/>
      <c r="F267" s="72"/>
      <c r="G267" s="9"/>
      <c r="H267" s="74">
        <f t="shared" si="3"/>
        <v>133000000</v>
      </c>
    </row>
    <row r="268" spans="2:8" x14ac:dyDescent="0.25">
      <c r="B268" s="135"/>
      <c r="C268" s="89"/>
      <c r="D268" s="89"/>
      <c r="E268" s="90"/>
      <c r="F268" s="72"/>
      <c r="G268" s="9"/>
      <c r="H268" s="74">
        <f t="shared" si="3"/>
        <v>133000000</v>
      </c>
    </row>
    <row r="269" spans="2:8" x14ac:dyDescent="0.25">
      <c r="B269" s="135"/>
      <c r="C269" s="89"/>
      <c r="D269" s="89"/>
      <c r="E269" s="90"/>
      <c r="F269" s="72"/>
      <c r="G269" s="9"/>
      <c r="H269" s="74">
        <f t="shared" si="3"/>
        <v>133000000</v>
      </c>
    </row>
    <row r="270" spans="2:8" x14ac:dyDescent="0.25">
      <c r="B270" s="135"/>
      <c r="C270" s="89"/>
      <c r="D270" s="89"/>
      <c r="E270" s="90"/>
      <c r="F270" s="72"/>
      <c r="G270" s="9"/>
      <c r="H270" s="74">
        <f t="shared" si="3"/>
        <v>133000000</v>
      </c>
    </row>
    <row r="271" spans="2:8" x14ac:dyDescent="0.25">
      <c r="B271" s="135"/>
      <c r="C271" s="89"/>
      <c r="D271" s="89"/>
      <c r="E271" s="90"/>
      <c r="F271" s="72"/>
      <c r="G271" s="9"/>
      <c r="H271" s="74">
        <f t="shared" si="3"/>
        <v>133000000</v>
      </c>
    </row>
    <row r="272" spans="2:8" x14ac:dyDescent="0.25">
      <c r="B272" s="135"/>
      <c r="C272" s="89"/>
      <c r="D272" s="89"/>
      <c r="E272" s="90"/>
      <c r="F272" s="72"/>
      <c r="G272" s="9"/>
      <c r="H272" s="74">
        <f t="shared" si="3"/>
        <v>133000000</v>
      </c>
    </row>
    <row r="273" spans="2:8" x14ac:dyDescent="0.25">
      <c r="B273" s="135"/>
      <c r="C273" s="89"/>
      <c r="D273" s="89"/>
      <c r="E273" s="90"/>
      <c r="F273" s="72"/>
      <c r="G273" s="9"/>
      <c r="H273" s="74">
        <f t="shared" si="3"/>
        <v>133000000</v>
      </c>
    </row>
    <row r="274" spans="2:8" x14ac:dyDescent="0.25">
      <c r="B274" s="135"/>
      <c r="C274" s="89"/>
      <c r="D274" s="89"/>
      <c r="E274" s="90"/>
      <c r="F274" s="72"/>
      <c r="G274" s="9"/>
      <c r="H274" s="74">
        <f t="shared" ref="H274:H337" si="4">H273+F274-G274</f>
        <v>133000000</v>
      </c>
    </row>
    <row r="275" spans="2:8" x14ac:dyDescent="0.25">
      <c r="B275" s="135"/>
      <c r="C275" s="89"/>
      <c r="D275" s="89"/>
      <c r="E275" s="90"/>
      <c r="F275" s="72"/>
      <c r="G275" s="9"/>
      <c r="H275" s="74">
        <f t="shared" si="4"/>
        <v>133000000</v>
      </c>
    </row>
    <row r="276" spans="2:8" x14ac:dyDescent="0.25">
      <c r="B276" s="135"/>
      <c r="C276" s="89"/>
      <c r="D276" s="89"/>
      <c r="E276" s="90"/>
      <c r="F276" s="72"/>
      <c r="G276" s="9"/>
      <c r="H276" s="74">
        <f t="shared" si="4"/>
        <v>133000000</v>
      </c>
    </row>
    <row r="277" spans="2:8" x14ac:dyDescent="0.25">
      <c r="B277" s="135"/>
      <c r="C277" s="89"/>
      <c r="D277" s="89"/>
      <c r="E277" s="90"/>
      <c r="F277" s="72"/>
      <c r="G277" s="9"/>
      <c r="H277" s="74">
        <f t="shared" si="4"/>
        <v>133000000</v>
      </c>
    </row>
    <row r="278" spans="2:8" x14ac:dyDescent="0.25">
      <c r="B278" s="135"/>
      <c r="C278" s="89"/>
      <c r="D278" s="89"/>
      <c r="E278" s="90"/>
      <c r="F278" s="72"/>
      <c r="G278" s="9"/>
      <c r="H278" s="74">
        <f t="shared" si="4"/>
        <v>133000000</v>
      </c>
    </row>
    <row r="279" spans="2:8" x14ac:dyDescent="0.25">
      <c r="B279" s="135"/>
      <c r="C279" s="89"/>
      <c r="D279" s="89"/>
      <c r="E279" s="90"/>
      <c r="F279" s="72"/>
      <c r="G279" s="9"/>
      <c r="H279" s="74">
        <f t="shared" si="4"/>
        <v>133000000</v>
      </c>
    </row>
    <row r="280" spans="2:8" x14ac:dyDescent="0.25">
      <c r="B280" s="135"/>
      <c r="C280" s="89"/>
      <c r="D280" s="89"/>
      <c r="E280" s="90"/>
      <c r="F280" s="72"/>
      <c r="G280" s="9"/>
      <c r="H280" s="74">
        <f t="shared" si="4"/>
        <v>133000000</v>
      </c>
    </row>
    <row r="281" spans="2:8" x14ac:dyDescent="0.25">
      <c r="B281" s="135"/>
      <c r="C281" s="89"/>
      <c r="D281" s="89"/>
      <c r="E281" s="90"/>
      <c r="F281" s="72"/>
      <c r="G281" s="9"/>
      <c r="H281" s="74">
        <f t="shared" si="4"/>
        <v>133000000</v>
      </c>
    </row>
    <row r="282" spans="2:8" x14ac:dyDescent="0.25">
      <c r="B282" s="135"/>
      <c r="C282" s="89"/>
      <c r="D282" s="89"/>
      <c r="E282" s="90"/>
      <c r="F282" s="72"/>
      <c r="G282" s="9"/>
      <c r="H282" s="74">
        <f t="shared" si="4"/>
        <v>133000000</v>
      </c>
    </row>
    <row r="283" spans="2:8" x14ac:dyDescent="0.25">
      <c r="B283" s="135"/>
      <c r="C283" s="89"/>
      <c r="D283" s="89"/>
      <c r="E283" s="90"/>
      <c r="F283" s="72"/>
      <c r="G283" s="9"/>
      <c r="H283" s="74">
        <f t="shared" si="4"/>
        <v>133000000</v>
      </c>
    </row>
    <row r="284" spans="2:8" x14ac:dyDescent="0.25">
      <c r="B284" s="135"/>
      <c r="C284" s="89"/>
      <c r="D284" s="89"/>
      <c r="E284" s="90"/>
      <c r="F284" s="72"/>
      <c r="G284" s="9"/>
      <c r="H284" s="74">
        <f t="shared" si="4"/>
        <v>133000000</v>
      </c>
    </row>
    <row r="285" spans="2:8" x14ac:dyDescent="0.25">
      <c r="B285" s="135"/>
      <c r="C285" s="89"/>
      <c r="D285" s="89"/>
      <c r="E285" s="90"/>
      <c r="F285" s="72"/>
      <c r="G285" s="9"/>
      <c r="H285" s="74">
        <f t="shared" si="4"/>
        <v>133000000</v>
      </c>
    </row>
    <row r="286" spans="2:8" x14ac:dyDescent="0.25">
      <c r="B286" s="135"/>
      <c r="C286" s="89"/>
      <c r="D286" s="89"/>
      <c r="E286" s="90"/>
      <c r="F286" s="72"/>
      <c r="G286" s="9"/>
      <c r="H286" s="74">
        <f t="shared" si="4"/>
        <v>133000000</v>
      </c>
    </row>
    <row r="287" spans="2:8" x14ac:dyDescent="0.25">
      <c r="B287" s="135"/>
      <c r="C287" s="89"/>
      <c r="D287" s="89"/>
      <c r="E287" s="90"/>
      <c r="F287" s="72"/>
      <c r="G287" s="9"/>
      <c r="H287" s="74">
        <f t="shared" si="4"/>
        <v>133000000</v>
      </c>
    </row>
    <row r="288" spans="2:8" x14ac:dyDescent="0.25">
      <c r="B288" s="135"/>
      <c r="C288" s="89"/>
      <c r="D288" s="89"/>
      <c r="E288" s="90"/>
      <c r="F288" s="72"/>
      <c r="G288" s="9"/>
      <c r="H288" s="74">
        <f t="shared" si="4"/>
        <v>133000000</v>
      </c>
    </row>
    <row r="289" spans="2:8" x14ac:dyDescent="0.25">
      <c r="B289" s="135"/>
      <c r="C289" s="89"/>
      <c r="D289" s="89"/>
      <c r="E289" s="90"/>
      <c r="F289" s="72"/>
      <c r="G289" s="9"/>
      <c r="H289" s="74">
        <f t="shared" si="4"/>
        <v>133000000</v>
      </c>
    </row>
    <row r="290" spans="2:8" x14ac:dyDescent="0.25">
      <c r="B290" s="135"/>
      <c r="C290" s="89"/>
      <c r="D290" s="89"/>
      <c r="E290" s="90"/>
      <c r="F290" s="72"/>
      <c r="G290" s="9"/>
      <c r="H290" s="74">
        <f t="shared" si="4"/>
        <v>133000000</v>
      </c>
    </row>
    <row r="291" spans="2:8" x14ac:dyDescent="0.25">
      <c r="B291" s="135"/>
      <c r="C291" s="89"/>
      <c r="D291" s="89"/>
      <c r="E291" s="90"/>
      <c r="F291" s="72"/>
      <c r="G291" s="9"/>
      <c r="H291" s="74">
        <f t="shared" si="4"/>
        <v>133000000</v>
      </c>
    </row>
    <row r="292" spans="2:8" x14ac:dyDescent="0.25">
      <c r="B292" s="135"/>
      <c r="C292" s="89"/>
      <c r="D292" s="89"/>
      <c r="E292" s="90"/>
      <c r="F292" s="72"/>
      <c r="G292" s="9"/>
      <c r="H292" s="74">
        <f t="shared" si="4"/>
        <v>133000000</v>
      </c>
    </row>
    <row r="293" spans="2:8" x14ac:dyDescent="0.25">
      <c r="B293" s="135"/>
      <c r="C293" s="89"/>
      <c r="D293" s="89"/>
      <c r="E293" s="90"/>
      <c r="F293" s="72"/>
      <c r="G293" s="9"/>
      <c r="H293" s="74">
        <f t="shared" si="4"/>
        <v>133000000</v>
      </c>
    </row>
    <row r="294" spans="2:8" x14ac:dyDescent="0.25">
      <c r="B294" s="135"/>
      <c r="C294" s="89"/>
      <c r="D294" s="89"/>
      <c r="E294" s="90"/>
      <c r="F294" s="72"/>
      <c r="G294" s="9"/>
      <c r="H294" s="74">
        <f t="shared" si="4"/>
        <v>133000000</v>
      </c>
    </row>
    <row r="295" spans="2:8" x14ac:dyDescent="0.25">
      <c r="B295" s="135"/>
      <c r="C295" s="89"/>
      <c r="D295" s="89"/>
      <c r="E295" s="90"/>
      <c r="F295" s="72"/>
      <c r="G295" s="9"/>
      <c r="H295" s="74">
        <f t="shared" si="4"/>
        <v>133000000</v>
      </c>
    </row>
    <row r="296" spans="2:8" x14ac:dyDescent="0.25">
      <c r="B296" s="135"/>
      <c r="C296" s="89"/>
      <c r="D296" s="89"/>
      <c r="E296" s="90"/>
      <c r="F296" s="72"/>
      <c r="G296" s="9"/>
      <c r="H296" s="74">
        <f t="shared" si="4"/>
        <v>133000000</v>
      </c>
    </row>
    <row r="297" spans="2:8" x14ac:dyDescent="0.25">
      <c r="B297" s="135"/>
      <c r="C297" s="89"/>
      <c r="D297" s="89"/>
      <c r="E297" s="90"/>
      <c r="F297" s="72"/>
      <c r="G297" s="9"/>
      <c r="H297" s="74">
        <f t="shared" si="4"/>
        <v>133000000</v>
      </c>
    </row>
    <row r="298" spans="2:8" x14ac:dyDescent="0.25">
      <c r="B298" s="135"/>
      <c r="C298" s="89"/>
      <c r="D298" s="89"/>
      <c r="E298" s="90"/>
      <c r="F298" s="72"/>
      <c r="G298" s="9"/>
      <c r="H298" s="74">
        <f t="shared" si="4"/>
        <v>133000000</v>
      </c>
    </row>
    <row r="299" spans="2:8" x14ac:dyDescent="0.25">
      <c r="B299" s="135"/>
      <c r="C299" s="89"/>
      <c r="D299" s="89"/>
      <c r="E299" s="90"/>
      <c r="F299" s="72"/>
      <c r="G299" s="9"/>
      <c r="H299" s="74">
        <f t="shared" si="4"/>
        <v>133000000</v>
      </c>
    </row>
    <row r="300" spans="2:8" x14ac:dyDescent="0.25">
      <c r="B300" s="135"/>
      <c r="C300" s="89"/>
      <c r="D300" s="89"/>
      <c r="E300" s="90"/>
      <c r="F300" s="72"/>
      <c r="G300" s="9"/>
      <c r="H300" s="74">
        <f t="shared" si="4"/>
        <v>133000000</v>
      </c>
    </row>
    <row r="301" spans="2:8" x14ac:dyDescent="0.25">
      <c r="B301" s="135"/>
      <c r="C301" s="89"/>
      <c r="D301" s="89"/>
      <c r="E301" s="90"/>
      <c r="F301" s="72"/>
      <c r="G301" s="9"/>
      <c r="H301" s="74">
        <f t="shared" si="4"/>
        <v>133000000</v>
      </c>
    </row>
    <row r="302" spans="2:8" x14ac:dyDescent="0.25">
      <c r="B302" s="135"/>
      <c r="C302" s="89"/>
      <c r="D302" s="89"/>
      <c r="E302" s="90"/>
      <c r="F302" s="72"/>
      <c r="G302" s="9"/>
      <c r="H302" s="74">
        <f t="shared" si="4"/>
        <v>133000000</v>
      </c>
    </row>
    <row r="303" spans="2:8" x14ac:dyDescent="0.25">
      <c r="B303" s="135"/>
      <c r="C303" s="89"/>
      <c r="D303" s="89"/>
      <c r="E303" s="90"/>
      <c r="F303" s="72"/>
      <c r="G303" s="9"/>
      <c r="H303" s="74">
        <f t="shared" si="4"/>
        <v>133000000</v>
      </c>
    </row>
    <row r="304" spans="2:8" x14ac:dyDescent="0.25">
      <c r="B304" s="135"/>
      <c r="C304" s="89"/>
      <c r="D304" s="89"/>
      <c r="E304" s="90"/>
      <c r="F304" s="72"/>
      <c r="G304" s="9"/>
      <c r="H304" s="74">
        <f t="shared" si="4"/>
        <v>133000000</v>
      </c>
    </row>
    <row r="305" spans="2:8" x14ac:dyDescent="0.25">
      <c r="B305" s="135"/>
      <c r="C305" s="89"/>
      <c r="D305" s="89"/>
      <c r="E305" s="90"/>
      <c r="F305" s="72"/>
      <c r="G305" s="9"/>
      <c r="H305" s="74">
        <f t="shared" si="4"/>
        <v>133000000</v>
      </c>
    </row>
    <row r="306" spans="2:8" x14ac:dyDescent="0.25">
      <c r="B306" s="135"/>
      <c r="C306" s="89"/>
      <c r="D306" s="89"/>
      <c r="E306" s="90"/>
      <c r="F306" s="72"/>
      <c r="G306" s="9"/>
      <c r="H306" s="74">
        <f t="shared" si="4"/>
        <v>133000000</v>
      </c>
    </row>
    <row r="307" spans="2:8" x14ac:dyDescent="0.25">
      <c r="B307" s="135"/>
      <c r="C307" s="89"/>
      <c r="D307" s="89"/>
      <c r="E307" s="90"/>
      <c r="F307" s="72"/>
      <c r="G307" s="9"/>
      <c r="H307" s="74">
        <f t="shared" si="4"/>
        <v>133000000</v>
      </c>
    </row>
    <row r="308" spans="2:8" x14ac:dyDescent="0.25">
      <c r="B308" s="135"/>
      <c r="C308" s="89"/>
      <c r="D308" s="89"/>
      <c r="E308" s="90"/>
      <c r="F308" s="72"/>
      <c r="G308" s="9"/>
      <c r="H308" s="74">
        <f t="shared" si="4"/>
        <v>133000000</v>
      </c>
    </row>
    <row r="309" spans="2:8" x14ac:dyDescent="0.25">
      <c r="B309" s="135"/>
      <c r="C309" s="89"/>
      <c r="D309" s="89"/>
      <c r="E309" s="90"/>
      <c r="F309" s="72"/>
      <c r="G309" s="9"/>
      <c r="H309" s="74">
        <f t="shared" si="4"/>
        <v>133000000</v>
      </c>
    </row>
    <row r="310" spans="2:8" x14ac:dyDescent="0.25">
      <c r="B310" s="135"/>
      <c r="C310" s="89"/>
      <c r="D310" s="89"/>
      <c r="E310" s="90"/>
      <c r="F310" s="72"/>
      <c r="G310" s="9"/>
      <c r="H310" s="74">
        <f t="shared" si="4"/>
        <v>133000000</v>
      </c>
    </row>
    <row r="311" spans="2:8" x14ac:dyDescent="0.25">
      <c r="B311" s="135"/>
      <c r="C311" s="89"/>
      <c r="D311" s="89"/>
      <c r="E311" s="90"/>
      <c r="F311" s="72"/>
      <c r="G311" s="9"/>
      <c r="H311" s="74">
        <f t="shared" si="4"/>
        <v>133000000</v>
      </c>
    </row>
    <row r="312" spans="2:8" x14ac:dyDescent="0.25">
      <c r="B312" s="135"/>
      <c r="C312" s="89"/>
      <c r="D312" s="89"/>
      <c r="E312" s="90"/>
      <c r="F312" s="72"/>
      <c r="G312" s="9"/>
      <c r="H312" s="74">
        <f t="shared" si="4"/>
        <v>133000000</v>
      </c>
    </row>
    <row r="313" spans="2:8" x14ac:dyDescent="0.25">
      <c r="B313" s="135"/>
      <c r="C313" s="89"/>
      <c r="D313" s="89"/>
      <c r="E313" s="90"/>
      <c r="F313" s="72"/>
      <c r="G313" s="9"/>
      <c r="H313" s="74">
        <f t="shared" si="4"/>
        <v>133000000</v>
      </c>
    </row>
    <row r="314" spans="2:8" x14ac:dyDescent="0.25">
      <c r="B314" s="135"/>
      <c r="C314" s="89"/>
      <c r="D314" s="89"/>
      <c r="E314" s="90"/>
      <c r="F314" s="72"/>
      <c r="G314" s="9"/>
      <c r="H314" s="74">
        <f t="shared" si="4"/>
        <v>133000000</v>
      </c>
    </row>
    <row r="315" spans="2:8" x14ac:dyDescent="0.25">
      <c r="B315" s="135"/>
      <c r="C315" s="89"/>
      <c r="D315" s="89"/>
      <c r="E315" s="90"/>
      <c r="F315" s="72"/>
      <c r="G315" s="9"/>
      <c r="H315" s="74">
        <f t="shared" si="4"/>
        <v>133000000</v>
      </c>
    </row>
    <row r="316" spans="2:8" x14ac:dyDescent="0.25">
      <c r="B316" s="135"/>
      <c r="C316" s="89"/>
      <c r="D316" s="89"/>
      <c r="E316" s="90"/>
      <c r="F316" s="72"/>
      <c r="G316" s="9"/>
      <c r="H316" s="74">
        <f t="shared" si="4"/>
        <v>133000000</v>
      </c>
    </row>
    <row r="317" spans="2:8" x14ac:dyDescent="0.25">
      <c r="B317" s="135"/>
      <c r="C317" s="89"/>
      <c r="D317" s="89"/>
      <c r="E317" s="90"/>
      <c r="F317" s="72"/>
      <c r="G317" s="9"/>
      <c r="H317" s="74">
        <f t="shared" si="4"/>
        <v>133000000</v>
      </c>
    </row>
    <row r="318" spans="2:8" x14ac:dyDescent="0.25">
      <c r="B318" s="135"/>
      <c r="C318" s="89"/>
      <c r="D318" s="89"/>
      <c r="E318" s="90"/>
      <c r="F318" s="72"/>
      <c r="G318" s="9"/>
      <c r="H318" s="74">
        <f t="shared" si="4"/>
        <v>133000000</v>
      </c>
    </row>
    <row r="319" spans="2:8" x14ac:dyDescent="0.25">
      <c r="B319" s="135"/>
      <c r="C319" s="89"/>
      <c r="D319" s="89"/>
      <c r="E319" s="90"/>
      <c r="F319" s="72"/>
      <c r="G319" s="9"/>
      <c r="H319" s="74">
        <f t="shared" si="4"/>
        <v>133000000</v>
      </c>
    </row>
    <row r="320" spans="2:8" x14ac:dyDescent="0.25">
      <c r="B320" s="135"/>
      <c r="C320" s="89"/>
      <c r="D320" s="89"/>
      <c r="E320" s="90"/>
      <c r="F320" s="72"/>
      <c r="G320" s="9"/>
      <c r="H320" s="74">
        <f t="shared" si="4"/>
        <v>133000000</v>
      </c>
    </row>
    <row r="321" spans="2:8" x14ac:dyDescent="0.25">
      <c r="B321" s="135"/>
      <c r="C321" s="89"/>
      <c r="D321" s="89"/>
      <c r="E321" s="90"/>
      <c r="F321" s="72"/>
      <c r="G321" s="9"/>
      <c r="H321" s="74">
        <f t="shared" si="4"/>
        <v>133000000</v>
      </c>
    </row>
    <row r="322" spans="2:8" x14ac:dyDescent="0.25">
      <c r="B322" s="135"/>
      <c r="C322" s="89"/>
      <c r="D322" s="89"/>
      <c r="E322" s="90"/>
      <c r="F322" s="72"/>
      <c r="G322" s="9"/>
      <c r="H322" s="74">
        <f t="shared" si="4"/>
        <v>133000000</v>
      </c>
    </row>
    <row r="323" spans="2:8" x14ac:dyDescent="0.25">
      <c r="B323" s="135"/>
      <c r="C323" s="89"/>
      <c r="D323" s="89"/>
      <c r="E323" s="90"/>
      <c r="F323" s="72"/>
      <c r="G323" s="9"/>
      <c r="H323" s="74">
        <f t="shared" si="4"/>
        <v>133000000</v>
      </c>
    </row>
    <row r="324" spans="2:8" x14ac:dyDescent="0.25">
      <c r="B324" s="135"/>
      <c r="C324" s="89"/>
      <c r="D324" s="89"/>
      <c r="E324" s="90"/>
      <c r="F324" s="72"/>
      <c r="G324" s="9"/>
      <c r="H324" s="74">
        <f t="shared" si="4"/>
        <v>133000000</v>
      </c>
    </row>
    <row r="325" spans="2:8" x14ac:dyDescent="0.25">
      <c r="B325" s="135"/>
      <c r="C325" s="89"/>
      <c r="D325" s="89"/>
      <c r="E325" s="90"/>
      <c r="F325" s="72"/>
      <c r="G325" s="9"/>
      <c r="H325" s="74">
        <f t="shared" si="4"/>
        <v>133000000</v>
      </c>
    </row>
    <row r="326" spans="2:8" x14ac:dyDescent="0.25">
      <c r="B326" s="135"/>
      <c r="C326" s="89"/>
      <c r="D326" s="89"/>
      <c r="E326" s="90"/>
      <c r="F326" s="72"/>
      <c r="G326" s="9"/>
      <c r="H326" s="74">
        <f t="shared" si="4"/>
        <v>133000000</v>
      </c>
    </row>
    <row r="327" spans="2:8" x14ac:dyDescent="0.25">
      <c r="B327" s="135"/>
      <c r="C327" s="89"/>
      <c r="D327" s="89"/>
      <c r="E327" s="90"/>
      <c r="F327" s="72"/>
      <c r="G327" s="9"/>
      <c r="H327" s="74">
        <f t="shared" si="4"/>
        <v>133000000</v>
      </c>
    </row>
    <row r="328" spans="2:8" x14ac:dyDescent="0.25">
      <c r="B328" s="135"/>
      <c r="C328" s="89"/>
      <c r="D328" s="89"/>
      <c r="E328" s="90"/>
      <c r="F328" s="72"/>
      <c r="G328" s="9"/>
      <c r="H328" s="74">
        <f t="shared" si="4"/>
        <v>133000000</v>
      </c>
    </row>
    <row r="329" spans="2:8" x14ac:dyDescent="0.25">
      <c r="B329" s="135"/>
      <c r="C329" s="89"/>
      <c r="D329" s="89"/>
      <c r="E329" s="90"/>
      <c r="F329" s="72"/>
      <c r="G329" s="9"/>
      <c r="H329" s="74">
        <f t="shared" si="4"/>
        <v>133000000</v>
      </c>
    </row>
    <row r="330" spans="2:8" x14ac:dyDescent="0.25">
      <c r="B330" s="135"/>
      <c r="C330" s="89"/>
      <c r="D330" s="89"/>
      <c r="E330" s="90"/>
      <c r="F330" s="72"/>
      <c r="G330" s="9"/>
      <c r="H330" s="74">
        <f t="shared" si="4"/>
        <v>133000000</v>
      </c>
    </row>
    <row r="331" spans="2:8" x14ac:dyDescent="0.25">
      <c r="B331" s="135"/>
      <c r="C331" s="89"/>
      <c r="D331" s="89"/>
      <c r="E331" s="90"/>
      <c r="F331" s="72"/>
      <c r="G331" s="9"/>
      <c r="H331" s="74">
        <f t="shared" si="4"/>
        <v>133000000</v>
      </c>
    </row>
    <row r="332" spans="2:8" x14ac:dyDescent="0.25">
      <c r="B332" s="135"/>
      <c r="C332" s="89"/>
      <c r="D332" s="89"/>
      <c r="E332" s="90"/>
      <c r="F332" s="72"/>
      <c r="G332" s="9"/>
      <c r="H332" s="74">
        <f t="shared" si="4"/>
        <v>133000000</v>
      </c>
    </row>
    <row r="333" spans="2:8" x14ac:dyDescent="0.25">
      <c r="B333" s="135"/>
      <c r="C333" s="89"/>
      <c r="D333" s="89"/>
      <c r="E333" s="90"/>
      <c r="F333" s="72"/>
      <c r="G333" s="9"/>
      <c r="H333" s="74">
        <f t="shared" si="4"/>
        <v>133000000</v>
      </c>
    </row>
    <row r="334" spans="2:8" x14ac:dyDescent="0.25">
      <c r="B334" s="135"/>
      <c r="C334" s="89"/>
      <c r="D334" s="89"/>
      <c r="E334" s="90"/>
      <c r="F334" s="72"/>
      <c r="G334" s="9"/>
      <c r="H334" s="74">
        <f t="shared" si="4"/>
        <v>133000000</v>
      </c>
    </row>
    <row r="335" spans="2:8" x14ac:dyDescent="0.25">
      <c r="B335" s="135"/>
      <c r="C335" s="89"/>
      <c r="D335" s="89"/>
      <c r="E335" s="90"/>
      <c r="F335" s="72"/>
      <c r="G335" s="9"/>
      <c r="H335" s="74">
        <f t="shared" si="4"/>
        <v>133000000</v>
      </c>
    </row>
    <row r="336" spans="2:8" x14ac:dyDescent="0.25">
      <c r="B336" s="135"/>
      <c r="C336" s="89"/>
      <c r="D336" s="89"/>
      <c r="E336" s="90"/>
      <c r="F336" s="72"/>
      <c r="G336" s="9"/>
      <c r="H336" s="74">
        <f t="shared" si="4"/>
        <v>133000000</v>
      </c>
    </row>
    <row r="337" spans="2:8" x14ac:dyDescent="0.25">
      <c r="B337" s="135"/>
      <c r="C337" s="89"/>
      <c r="D337" s="89"/>
      <c r="E337" s="90"/>
      <c r="F337" s="72"/>
      <c r="G337" s="9"/>
      <c r="H337" s="74">
        <f t="shared" si="4"/>
        <v>133000000</v>
      </c>
    </row>
    <row r="338" spans="2:8" x14ac:dyDescent="0.25">
      <c r="B338" s="135"/>
      <c r="C338" s="89"/>
      <c r="D338" s="89"/>
      <c r="E338" s="90"/>
      <c r="F338" s="72"/>
      <c r="G338" s="9"/>
      <c r="H338" s="74">
        <f t="shared" ref="H338:H401" si="5">H337+F338-G338</f>
        <v>133000000</v>
      </c>
    </row>
    <row r="339" spans="2:8" x14ac:dyDescent="0.25">
      <c r="B339" s="135"/>
      <c r="C339" s="89"/>
      <c r="D339" s="89"/>
      <c r="E339" s="90"/>
      <c r="F339" s="72"/>
      <c r="G339" s="9"/>
      <c r="H339" s="74">
        <f t="shared" si="5"/>
        <v>133000000</v>
      </c>
    </row>
    <row r="340" spans="2:8" x14ac:dyDescent="0.25">
      <c r="B340" s="135"/>
      <c r="C340" s="89"/>
      <c r="D340" s="89"/>
      <c r="E340" s="90"/>
      <c r="F340" s="72"/>
      <c r="G340" s="9"/>
      <c r="H340" s="74">
        <f t="shared" si="5"/>
        <v>133000000</v>
      </c>
    </row>
    <row r="341" spans="2:8" x14ac:dyDescent="0.25">
      <c r="B341" s="135"/>
      <c r="C341" s="89"/>
      <c r="D341" s="89"/>
      <c r="E341" s="90"/>
      <c r="F341" s="72"/>
      <c r="G341" s="9"/>
      <c r="H341" s="74">
        <f t="shared" si="5"/>
        <v>133000000</v>
      </c>
    </row>
    <row r="342" spans="2:8" x14ac:dyDescent="0.25">
      <c r="B342" s="135"/>
      <c r="C342" s="89"/>
      <c r="D342" s="89"/>
      <c r="E342" s="90"/>
      <c r="F342" s="72"/>
      <c r="G342" s="9"/>
      <c r="H342" s="74">
        <f t="shared" si="5"/>
        <v>133000000</v>
      </c>
    </row>
    <row r="343" spans="2:8" x14ac:dyDescent="0.25">
      <c r="B343" s="135"/>
      <c r="C343" s="89"/>
      <c r="D343" s="89"/>
      <c r="E343" s="90"/>
      <c r="F343" s="72"/>
      <c r="G343" s="9"/>
      <c r="H343" s="74">
        <f t="shared" si="5"/>
        <v>133000000</v>
      </c>
    </row>
    <row r="344" spans="2:8" x14ac:dyDescent="0.25">
      <c r="B344" s="135"/>
      <c r="C344" s="89"/>
      <c r="D344" s="89"/>
      <c r="E344" s="90"/>
      <c r="F344" s="72"/>
      <c r="G344" s="9"/>
      <c r="H344" s="74">
        <f t="shared" si="5"/>
        <v>133000000</v>
      </c>
    </row>
    <row r="345" spans="2:8" x14ac:dyDescent="0.25">
      <c r="B345" s="135"/>
      <c r="C345" s="89"/>
      <c r="D345" s="89"/>
      <c r="E345" s="90"/>
      <c r="F345" s="72"/>
      <c r="G345" s="9"/>
      <c r="H345" s="74">
        <f t="shared" si="5"/>
        <v>133000000</v>
      </c>
    </row>
    <row r="346" spans="2:8" x14ac:dyDescent="0.25">
      <c r="B346" s="135"/>
      <c r="C346" s="89"/>
      <c r="D346" s="89"/>
      <c r="E346" s="90"/>
      <c r="F346" s="72"/>
      <c r="G346" s="9"/>
      <c r="H346" s="74">
        <f t="shared" si="5"/>
        <v>133000000</v>
      </c>
    </row>
    <row r="347" spans="2:8" x14ac:dyDescent="0.25">
      <c r="B347" s="135"/>
      <c r="C347" s="89"/>
      <c r="D347" s="89"/>
      <c r="E347" s="90"/>
      <c r="F347" s="72"/>
      <c r="G347" s="9"/>
      <c r="H347" s="74">
        <f t="shared" si="5"/>
        <v>133000000</v>
      </c>
    </row>
    <row r="348" spans="2:8" x14ac:dyDescent="0.25">
      <c r="B348" s="135"/>
      <c r="C348" s="89"/>
      <c r="D348" s="89"/>
      <c r="E348" s="90"/>
      <c r="F348" s="72"/>
      <c r="G348" s="9"/>
      <c r="H348" s="74">
        <f t="shared" si="5"/>
        <v>133000000</v>
      </c>
    </row>
    <row r="349" spans="2:8" x14ac:dyDescent="0.25">
      <c r="B349" s="135"/>
      <c r="C349" s="89"/>
      <c r="D349" s="89"/>
      <c r="E349" s="90"/>
      <c r="F349" s="72"/>
      <c r="G349" s="9"/>
      <c r="H349" s="74">
        <f t="shared" si="5"/>
        <v>133000000</v>
      </c>
    </row>
    <row r="350" spans="2:8" x14ac:dyDescent="0.25">
      <c r="B350" s="135"/>
      <c r="C350" s="89"/>
      <c r="D350" s="89"/>
      <c r="E350" s="90"/>
      <c r="F350" s="72"/>
      <c r="G350" s="9"/>
      <c r="H350" s="74">
        <f t="shared" si="5"/>
        <v>133000000</v>
      </c>
    </row>
    <row r="351" spans="2:8" x14ac:dyDescent="0.25">
      <c r="B351" s="135"/>
      <c r="C351" s="89"/>
      <c r="D351" s="89"/>
      <c r="E351" s="90"/>
      <c r="F351" s="72"/>
      <c r="G351" s="9"/>
      <c r="H351" s="74">
        <f t="shared" si="5"/>
        <v>133000000</v>
      </c>
    </row>
    <row r="352" spans="2:8" x14ac:dyDescent="0.25">
      <c r="B352" s="135"/>
      <c r="C352" s="89"/>
      <c r="D352" s="89"/>
      <c r="E352" s="90"/>
      <c r="F352" s="72"/>
      <c r="G352" s="9"/>
      <c r="H352" s="74">
        <f t="shared" si="5"/>
        <v>133000000</v>
      </c>
    </row>
    <row r="353" spans="2:8" x14ac:dyDescent="0.25">
      <c r="B353" s="135"/>
      <c r="C353" s="89"/>
      <c r="D353" s="89"/>
      <c r="E353" s="90"/>
      <c r="F353" s="72"/>
      <c r="G353" s="9"/>
      <c r="H353" s="74">
        <f t="shared" si="5"/>
        <v>133000000</v>
      </c>
    </row>
    <row r="354" spans="2:8" x14ac:dyDescent="0.25">
      <c r="B354" s="135"/>
      <c r="C354" s="89"/>
      <c r="D354" s="89"/>
      <c r="E354" s="90"/>
      <c r="F354" s="72"/>
      <c r="G354" s="9"/>
      <c r="H354" s="74">
        <f t="shared" si="5"/>
        <v>133000000</v>
      </c>
    </row>
    <row r="355" spans="2:8" x14ac:dyDescent="0.25">
      <c r="B355" s="135"/>
      <c r="C355" s="89"/>
      <c r="D355" s="89"/>
      <c r="E355" s="90"/>
      <c r="F355" s="72"/>
      <c r="G355" s="9"/>
      <c r="H355" s="74">
        <f t="shared" si="5"/>
        <v>133000000</v>
      </c>
    </row>
    <row r="356" spans="2:8" x14ac:dyDescent="0.25">
      <c r="B356" s="135"/>
      <c r="C356" s="89"/>
      <c r="D356" s="89"/>
      <c r="E356" s="90"/>
      <c r="F356" s="72"/>
      <c r="G356" s="9"/>
      <c r="H356" s="74">
        <f t="shared" si="5"/>
        <v>133000000</v>
      </c>
    </row>
    <row r="357" spans="2:8" x14ac:dyDescent="0.25">
      <c r="B357" s="135"/>
      <c r="C357" s="89"/>
      <c r="D357" s="89"/>
      <c r="E357" s="90"/>
      <c r="F357" s="72"/>
      <c r="G357" s="9"/>
      <c r="H357" s="74">
        <f t="shared" si="5"/>
        <v>133000000</v>
      </c>
    </row>
    <row r="358" spans="2:8" x14ac:dyDescent="0.25">
      <c r="B358" s="135"/>
      <c r="C358" s="89"/>
      <c r="D358" s="89"/>
      <c r="E358" s="90"/>
      <c r="F358" s="72"/>
      <c r="G358" s="9"/>
      <c r="H358" s="74">
        <f t="shared" si="5"/>
        <v>133000000</v>
      </c>
    </row>
    <row r="359" spans="2:8" x14ac:dyDescent="0.25">
      <c r="B359" s="135"/>
      <c r="C359" s="89"/>
      <c r="D359" s="89"/>
      <c r="E359" s="90"/>
      <c r="F359" s="72"/>
      <c r="G359" s="9"/>
      <c r="H359" s="74">
        <f t="shared" si="5"/>
        <v>133000000</v>
      </c>
    </row>
    <row r="360" spans="2:8" x14ac:dyDescent="0.25">
      <c r="B360" s="135"/>
      <c r="C360" s="89"/>
      <c r="D360" s="89"/>
      <c r="E360" s="90"/>
      <c r="F360" s="72"/>
      <c r="G360" s="9"/>
      <c r="H360" s="74">
        <f t="shared" si="5"/>
        <v>133000000</v>
      </c>
    </row>
    <row r="361" spans="2:8" x14ac:dyDescent="0.25">
      <c r="B361" s="135"/>
      <c r="C361" s="89"/>
      <c r="D361" s="89"/>
      <c r="E361" s="90"/>
      <c r="F361" s="72"/>
      <c r="G361" s="9"/>
      <c r="H361" s="74">
        <f t="shared" si="5"/>
        <v>133000000</v>
      </c>
    </row>
    <row r="362" spans="2:8" x14ac:dyDescent="0.25">
      <c r="B362" s="135"/>
      <c r="C362" s="89"/>
      <c r="D362" s="89"/>
      <c r="E362" s="90"/>
      <c r="F362" s="72"/>
      <c r="G362" s="9"/>
      <c r="H362" s="74">
        <f t="shared" si="5"/>
        <v>133000000</v>
      </c>
    </row>
    <row r="363" spans="2:8" x14ac:dyDescent="0.25">
      <c r="B363" s="135"/>
      <c r="C363" s="89"/>
      <c r="D363" s="89"/>
      <c r="E363" s="90"/>
      <c r="F363" s="72"/>
      <c r="G363" s="9"/>
      <c r="H363" s="74">
        <f t="shared" si="5"/>
        <v>133000000</v>
      </c>
    </row>
    <row r="364" spans="2:8" x14ac:dyDescent="0.25">
      <c r="B364" s="135"/>
      <c r="C364" s="89"/>
      <c r="D364" s="89"/>
      <c r="E364" s="90"/>
      <c r="F364" s="72"/>
      <c r="G364" s="9"/>
      <c r="H364" s="74">
        <f t="shared" si="5"/>
        <v>133000000</v>
      </c>
    </row>
    <row r="365" spans="2:8" x14ac:dyDescent="0.25">
      <c r="B365" s="135"/>
      <c r="C365" s="89"/>
      <c r="D365" s="89"/>
      <c r="E365" s="90"/>
      <c r="F365" s="72"/>
      <c r="G365" s="9"/>
      <c r="H365" s="74">
        <f t="shared" si="5"/>
        <v>133000000</v>
      </c>
    </row>
    <row r="366" spans="2:8" x14ac:dyDescent="0.25">
      <c r="B366" s="135"/>
      <c r="C366" s="89"/>
      <c r="D366" s="89"/>
      <c r="E366" s="90"/>
      <c r="F366" s="72"/>
      <c r="G366" s="9"/>
      <c r="H366" s="74">
        <f t="shared" si="5"/>
        <v>133000000</v>
      </c>
    </row>
    <row r="367" spans="2:8" x14ac:dyDescent="0.25">
      <c r="B367" s="135"/>
      <c r="C367" s="89"/>
      <c r="D367" s="89"/>
      <c r="E367" s="90"/>
      <c r="F367" s="72"/>
      <c r="G367" s="9"/>
      <c r="H367" s="74">
        <f t="shared" si="5"/>
        <v>133000000</v>
      </c>
    </row>
    <row r="368" spans="2:8" x14ac:dyDescent="0.25">
      <c r="B368" s="135"/>
      <c r="C368" s="89"/>
      <c r="D368" s="89"/>
      <c r="E368" s="90"/>
      <c r="F368" s="72"/>
      <c r="G368" s="9"/>
      <c r="H368" s="74">
        <f t="shared" si="5"/>
        <v>133000000</v>
      </c>
    </row>
    <row r="369" spans="2:8" x14ac:dyDescent="0.25">
      <c r="B369" s="135"/>
      <c r="C369" s="89"/>
      <c r="D369" s="89"/>
      <c r="E369" s="90"/>
      <c r="F369" s="72"/>
      <c r="G369" s="9"/>
      <c r="H369" s="74">
        <f t="shared" si="5"/>
        <v>133000000</v>
      </c>
    </row>
    <row r="370" spans="2:8" x14ac:dyDescent="0.25">
      <c r="B370" s="135"/>
      <c r="C370" s="89"/>
      <c r="D370" s="89"/>
      <c r="E370" s="90"/>
      <c r="F370" s="72"/>
      <c r="G370" s="9"/>
      <c r="H370" s="74">
        <f t="shared" si="5"/>
        <v>133000000</v>
      </c>
    </row>
    <row r="371" spans="2:8" x14ac:dyDescent="0.25">
      <c r="B371" s="135"/>
      <c r="C371" s="89"/>
      <c r="D371" s="89"/>
      <c r="E371" s="90"/>
      <c r="F371" s="72"/>
      <c r="G371" s="9"/>
      <c r="H371" s="74">
        <f t="shared" si="5"/>
        <v>133000000</v>
      </c>
    </row>
    <row r="372" spans="2:8" x14ac:dyDescent="0.25">
      <c r="B372" s="135"/>
      <c r="C372" s="89"/>
      <c r="D372" s="89"/>
      <c r="E372" s="90"/>
      <c r="F372" s="72"/>
      <c r="G372" s="9"/>
      <c r="H372" s="74">
        <f t="shared" si="5"/>
        <v>133000000</v>
      </c>
    </row>
    <row r="373" spans="2:8" x14ac:dyDescent="0.25">
      <c r="B373" s="135"/>
      <c r="C373" s="89"/>
      <c r="D373" s="89"/>
      <c r="E373" s="90"/>
      <c r="F373" s="72"/>
      <c r="G373" s="9"/>
      <c r="H373" s="74">
        <f t="shared" si="5"/>
        <v>133000000</v>
      </c>
    </row>
    <row r="374" spans="2:8" x14ac:dyDescent="0.25">
      <c r="B374" s="135"/>
      <c r="C374" s="89"/>
      <c r="D374" s="89"/>
      <c r="E374" s="90"/>
      <c r="F374" s="72"/>
      <c r="G374" s="9"/>
      <c r="H374" s="74">
        <f t="shared" si="5"/>
        <v>133000000</v>
      </c>
    </row>
    <row r="375" spans="2:8" x14ac:dyDescent="0.25">
      <c r="B375" s="135"/>
      <c r="C375" s="89"/>
      <c r="D375" s="89"/>
      <c r="E375" s="90"/>
      <c r="F375" s="72"/>
      <c r="G375" s="9"/>
      <c r="H375" s="74">
        <f t="shared" si="5"/>
        <v>133000000</v>
      </c>
    </row>
    <row r="376" spans="2:8" x14ac:dyDescent="0.25">
      <c r="B376" s="135"/>
      <c r="C376" s="89"/>
      <c r="D376" s="89"/>
      <c r="E376" s="90"/>
      <c r="F376" s="72"/>
      <c r="G376" s="9"/>
      <c r="H376" s="74">
        <f t="shared" si="5"/>
        <v>133000000</v>
      </c>
    </row>
    <row r="377" spans="2:8" x14ac:dyDescent="0.25">
      <c r="B377" s="135"/>
      <c r="C377" s="89"/>
      <c r="D377" s="89"/>
      <c r="E377" s="90"/>
      <c r="F377" s="72"/>
      <c r="G377" s="9"/>
      <c r="H377" s="74">
        <f t="shared" si="5"/>
        <v>133000000</v>
      </c>
    </row>
    <row r="378" spans="2:8" x14ac:dyDescent="0.25">
      <c r="B378" s="135"/>
      <c r="C378" s="89"/>
      <c r="D378" s="89"/>
      <c r="E378" s="90"/>
      <c r="F378" s="72"/>
      <c r="G378" s="9"/>
      <c r="H378" s="74">
        <f t="shared" si="5"/>
        <v>133000000</v>
      </c>
    </row>
    <row r="379" spans="2:8" x14ac:dyDescent="0.25">
      <c r="B379" s="135"/>
      <c r="C379" s="89"/>
      <c r="D379" s="89"/>
      <c r="E379" s="90"/>
      <c r="F379" s="72"/>
      <c r="G379" s="9"/>
      <c r="H379" s="74">
        <f t="shared" si="5"/>
        <v>133000000</v>
      </c>
    </row>
    <row r="380" spans="2:8" x14ac:dyDescent="0.25">
      <c r="B380" s="135"/>
      <c r="C380" s="89"/>
      <c r="D380" s="89"/>
      <c r="E380" s="90"/>
      <c r="F380" s="72"/>
      <c r="G380" s="9"/>
      <c r="H380" s="74">
        <f t="shared" si="5"/>
        <v>133000000</v>
      </c>
    </row>
    <row r="381" spans="2:8" x14ac:dyDescent="0.25">
      <c r="B381" s="135"/>
      <c r="C381" s="89"/>
      <c r="D381" s="89"/>
      <c r="E381" s="90"/>
      <c r="F381" s="72"/>
      <c r="G381" s="9"/>
      <c r="H381" s="74">
        <f t="shared" si="5"/>
        <v>133000000</v>
      </c>
    </row>
    <row r="382" spans="2:8" x14ac:dyDescent="0.25">
      <c r="B382" s="135"/>
      <c r="C382" s="89"/>
      <c r="D382" s="89"/>
      <c r="E382" s="90"/>
      <c r="F382" s="72"/>
      <c r="G382" s="9"/>
      <c r="H382" s="74">
        <f t="shared" si="5"/>
        <v>133000000</v>
      </c>
    </row>
    <row r="383" spans="2:8" x14ac:dyDescent="0.25">
      <c r="B383" s="135"/>
      <c r="C383" s="89"/>
      <c r="D383" s="89"/>
      <c r="E383" s="90"/>
      <c r="F383" s="72"/>
      <c r="G383" s="9"/>
      <c r="H383" s="74">
        <f t="shared" si="5"/>
        <v>133000000</v>
      </c>
    </row>
    <row r="384" spans="2:8" x14ac:dyDescent="0.25">
      <c r="B384" s="135"/>
      <c r="C384" s="89"/>
      <c r="D384" s="89"/>
      <c r="E384" s="90"/>
      <c r="F384" s="72"/>
      <c r="G384" s="9"/>
      <c r="H384" s="74">
        <f t="shared" si="5"/>
        <v>133000000</v>
      </c>
    </row>
    <row r="385" spans="2:8" x14ac:dyDescent="0.25">
      <c r="B385" s="135"/>
      <c r="C385" s="89"/>
      <c r="D385" s="89"/>
      <c r="E385" s="90"/>
      <c r="F385" s="72"/>
      <c r="G385" s="9"/>
      <c r="H385" s="74">
        <f t="shared" si="5"/>
        <v>133000000</v>
      </c>
    </row>
    <row r="386" spans="2:8" x14ac:dyDescent="0.25">
      <c r="B386" s="135"/>
      <c r="C386" s="89"/>
      <c r="D386" s="89"/>
      <c r="E386" s="90"/>
      <c r="F386" s="72"/>
      <c r="G386" s="9"/>
      <c r="H386" s="74">
        <f t="shared" si="5"/>
        <v>133000000</v>
      </c>
    </row>
    <row r="387" spans="2:8" x14ac:dyDescent="0.25">
      <c r="B387" s="135"/>
      <c r="C387" s="89"/>
      <c r="D387" s="89"/>
      <c r="E387" s="90"/>
      <c r="F387" s="72"/>
      <c r="G387" s="9"/>
      <c r="H387" s="74">
        <f t="shared" si="5"/>
        <v>133000000</v>
      </c>
    </row>
    <row r="388" spans="2:8" x14ac:dyDescent="0.25">
      <c r="B388" s="135"/>
      <c r="C388" s="89"/>
      <c r="D388" s="89"/>
      <c r="E388" s="90"/>
      <c r="F388" s="72"/>
      <c r="G388" s="9"/>
      <c r="H388" s="74">
        <f t="shared" si="5"/>
        <v>133000000</v>
      </c>
    </row>
    <row r="389" spans="2:8" x14ac:dyDescent="0.25">
      <c r="B389" s="135"/>
      <c r="C389" s="89"/>
      <c r="D389" s="89"/>
      <c r="E389" s="90"/>
      <c r="F389" s="72"/>
      <c r="G389" s="9"/>
      <c r="H389" s="74">
        <f t="shared" si="5"/>
        <v>133000000</v>
      </c>
    </row>
    <row r="390" spans="2:8" x14ac:dyDescent="0.25">
      <c r="B390" s="135"/>
      <c r="C390" s="89"/>
      <c r="D390" s="89"/>
      <c r="E390" s="90"/>
      <c r="F390" s="72"/>
      <c r="G390" s="9"/>
      <c r="H390" s="74">
        <f t="shared" si="5"/>
        <v>133000000</v>
      </c>
    </row>
    <row r="391" spans="2:8" x14ac:dyDescent="0.25">
      <c r="B391" s="135"/>
      <c r="C391" s="89"/>
      <c r="D391" s="89"/>
      <c r="E391" s="90"/>
      <c r="F391" s="72"/>
      <c r="G391" s="9"/>
      <c r="H391" s="74">
        <f t="shared" si="5"/>
        <v>133000000</v>
      </c>
    </row>
    <row r="392" spans="2:8" x14ac:dyDescent="0.25">
      <c r="B392" s="135"/>
      <c r="C392" s="89"/>
      <c r="D392" s="89"/>
      <c r="E392" s="90"/>
      <c r="F392" s="72"/>
      <c r="G392" s="9"/>
      <c r="H392" s="74">
        <f t="shared" si="5"/>
        <v>133000000</v>
      </c>
    </row>
    <row r="393" spans="2:8" x14ac:dyDescent="0.25">
      <c r="B393" s="135"/>
      <c r="C393" s="89"/>
      <c r="D393" s="89"/>
      <c r="E393" s="90"/>
      <c r="F393" s="72"/>
      <c r="G393" s="9"/>
      <c r="H393" s="74">
        <f t="shared" si="5"/>
        <v>133000000</v>
      </c>
    </row>
    <row r="394" spans="2:8" x14ac:dyDescent="0.25">
      <c r="B394" s="135"/>
      <c r="C394" s="89"/>
      <c r="D394" s="89"/>
      <c r="E394" s="90"/>
      <c r="F394" s="72"/>
      <c r="G394" s="9"/>
      <c r="H394" s="74">
        <f t="shared" si="5"/>
        <v>133000000</v>
      </c>
    </row>
    <row r="395" spans="2:8" x14ac:dyDescent="0.25">
      <c r="B395" s="135"/>
      <c r="C395" s="89"/>
      <c r="D395" s="89"/>
      <c r="E395" s="90"/>
      <c r="F395" s="72"/>
      <c r="G395" s="9"/>
      <c r="H395" s="74">
        <f t="shared" si="5"/>
        <v>133000000</v>
      </c>
    </row>
    <row r="396" spans="2:8" x14ac:dyDescent="0.25">
      <c r="B396" s="135"/>
      <c r="C396" s="89"/>
      <c r="D396" s="89"/>
      <c r="E396" s="90"/>
      <c r="F396" s="72"/>
      <c r="G396" s="9"/>
      <c r="H396" s="74">
        <f t="shared" si="5"/>
        <v>133000000</v>
      </c>
    </row>
    <row r="397" spans="2:8" x14ac:dyDescent="0.25">
      <c r="B397" s="135"/>
      <c r="C397" s="89"/>
      <c r="D397" s="89"/>
      <c r="E397" s="90"/>
      <c r="F397" s="72"/>
      <c r="G397" s="9"/>
      <c r="H397" s="74">
        <f t="shared" si="5"/>
        <v>133000000</v>
      </c>
    </row>
    <row r="398" spans="2:8" x14ac:dyDescent="0.25">
      <c r="B398" s="135"/>
      <c r="C398" s="89"/>
      <c r="D398" s="89"/>
      <c r="E398" s="90"/>
      <c r="F398" s="72"/>
      <c r="G398" s="9"/>
      <c r="H398" s="74">
        <f t="shared" si="5"/>
        <v>133000000</v>
      </c>
    </row>
    <row r="399" spans="2:8" x14ac:dyDescent="0.25">
      <c r="B399" s="135"/>
      <c r="C399" s="89"/>
      <c r="D399" s="89"/>
      <c r="E399" s="90"/>
      <c r="F399" s="72"/>
      <c r="G399" s="9"/>
      <c r="H399" s="74">
        <f t="shared" si="5"/>
        <v>133000000</v>
      </c>
    </row>
    <row r="400" spans="2:8" x14ac:dyDescent="0.25">
      <c r="B400" s="135"/>
      <c r="C400" s="89"/>
      <c r="D400" s="89"/>
      <c r="E400" s="90"/>
      <c r="F400" s="72"/>
      <c r="G400" s="9"/>
      <c r="H400" s="74">
        <f t="shared" si="5"/>
        <v>133000000</v>
      </c>
    </row>
    <row r="401" spans="2:8" x14ac:dyDescent="0.25">
      <c r="B401" s="135"/>
      <c r="C401" s="89"/>
      <c r="D401" s="89"/>
      <c r="E401" s="90"/>
      <c r="F401" s="72"/>
      <c r="G401" s="9"/>
      <c r="H401" s="74">
        <f t="shared" si="5"/>
        <v>133000000</v>
      </c>
    </row>
    <row r="402" spans="2:8" x14ac:dyDescent="0.25">
      <c r="B402" s="135"/>
      <c r="C402" s="89"/>
      <c r="D402" s="89"/>
      <c r="E402" s="90"/>
      <c r="F402" s="72"/>
      <c r="G402" s="9"/>
      <c r="H402" s="74">
        <f t="shared" ref="H402:H465" si="6">H401+F402-G402</f>
        <v>133000000</v>
      </c>
    </row>
    <row r="403" spans="2:8" x14ac:dyDescent="0.25">
      <c r="B403" s="135"/>
      <c r="C403" s="89"/>
      <c r="D403" s="89"/>
      <c r="E403" s="90"/>
      <c r="F403" s="72"/>
      <c r="G403" s="9"/>
      <c r="H403" s="74">
        <f t="shared" si="6"/>
        <v>133000000</v>
      </c>
    </row>
    <row r="404" spans="2:8" x14ac:dyDescent="0.25">
      <c r="B404" s="135"/>
      <c r="C404" s="89"/>
      <c r="D404" s="89"/>
      <c r="E404" s="90"/>
      <c r="F404" s="72"/>
      <c r="G404" s="9"/>
      <c r="H404" s="74">
        <f t="shared" si="6"/>
        <v>133000000</v>
      </c>
    </row>
    <row r="405" spans="2:8" x14ac:dyDescent="0.25">
      <c r="B405" s="135"/>
      <c r="C405" s="89"/>
      <c r="D405" s="89"/>
      <c r="E405" s="90"/>
      <c r="F405" s="72"/>
      <c r="G405" s="9"/>
      <c r="H405" s="74">
        <f t="shared" si="6"/>
        <v>133000000</v>
      </c>
    </row>
    <row r="406" spans="2:8" x14ac:dyDescent="0.25">
      <c r="B406" s="135"/>
      <c r="C406" s="89"/>
      <c r="D406" s="89"/>
      <c r="E406" s="90"/>
      <c r="F406" s="72"/>
      <c r="G406" s="9"/>
      <c r="H406" s="74">
        <f t="shared" si="6"/>
        <v>133000000</v>
      </c>
    </row>
    <row r="407" spans="2:8" x14ac:dyDescent="0.25">
      <c r="B407" s="135"/>
      <c r="C407" s="89"/>
      <c r="D407" s="89"/>
      <c r="E407" s="90"/>
      <c r="F407" s="72"/>
      <c r="G407" s="9"/>
      <c r="H407" s="74">
        <f t="shared" si="6"/>
        <v>133000000</v>
      </c>
    </row>
    <row r="408" spans="2:8" x14ac:dyDescent="0.25">
      <c r="B408" s="135"/>
      <c r="C408" s="89"/>
      <c r="D408" s="89"/>
      <c r="E408" s="90"/>
      <c r="F408" s="72"/>
      <c r="G408" s="9"/>
      <c r="H408" s="74">
        <f t="shared" si="6"/>
        <v>133000000</v>
      </c>
    </row>
    <row r="409" spans="2:8" x14ac:dyDescent="0.25">
      <c r="B409" s="135"/>
      <c r="C409" s="89"/>
      <c r="D409" s="89"/>
      <c r="E409" s="90"/>
      <c r="F409" s="72"/>
      <c r="G409" s="9"/>
      <c r="H409" s="74">
        <f t="shared" si="6"/>
        <v>133000000</v>
      </c>
    </row>
    <row r="410" spans="2:8" x14ac:dyDescent="0.25">
      <c r="B410" s="135"/>
      <c r="C410" s="89"/>
      <c r="D410" s="89"/>
      <c r="E410" s="90"/>
      <c r="F410" s="72"/>
      <c r="G410" s="9"/>
      <c r="H410" s="74">
        <f t="shared" si="6"/>
        <v>133000000</v>
      </c>
    </row>
    <row r="411" spans="2:8" x14ac:dyDescent="0.25">
      <c r="B411" s="135"/>
      <c r="C411" s="89"/>
      <c r="D411" s="89"/>
      <c r="E411" s="90"/>
      <c r="F411" s="72"/>
      <c r="G411" s="9"/>
      <c r="H411" s="74">
        <f t="shared" si="6"/>
        <v>133000000</v>
      </c>
    </row>
    <row r="412" spans="2:8" x14ac:dyDescent="0.25">
      <c r="B412" s="135"/>
      <c r="C412" s="89"/>
      <c r="D412" s="89"/>
      <c r="E412" s="90"/>
      <c r="F412" s="72"/>
      <c r="G412" s="9"/>
      <c r="H412" s="74">
        <f t="shared" si="6"/>
        <v>133000000</v>
      </c>
    </row>
    <row r="413" spans="2:8" x14ac:dyDescent="0.25">
      <c r="B413" s="135"/>
      <c r="C413" s="89"/>
      <c r="D413" s="89"/>
      <c r="E413" s="90"/>
      <c r="F413" s="72"/>
      <c r="G413" s="9"/>
      <c r="H413" s="74">
        <f t="shared" si="6"/>
        <v>133000000</v>
      </c>
    </row>
    <row r="414" spans="2:8" x14ac:dyDescent="0.25">
      <c r="B414" s="135"/>
      <c r="C414" s="89"/>
      <c r="D414" s="89"/>
      <c r="E414" s="90"/>
      <c r="F414" s="72"/>
      <c r="G414" s="9"/>
      <c r="H414" s="74">
        <f t="shared" si="6"/>
        <v>133000000</v>
      </c>
    </row>
    <row r="415" spans="2:8" x14ac:dyDescent="0.25">
      <c r="B415" s="135"/>
      <c r="C415" s="89"/>
      <c r="D415" s="89"/>
      <c r="E415" s="90"/>
      <c r="F415" s="72"/>
      <c r="G415" s="9"/>
      <c r="H415" s="74">
        <f t="shared" si="6"/>
        <v>133000000</v>
      </c>
    </row>
    <row r="416" spans="2:8" x14ac:dyDescent="0.25">
      <c r="B416" s="135"/>
      <c r="C416" s="89"/>
      <c r="D416" s="89"/>
      <c r="E416" s="90"/>
      <c r="F416" s="72"/>
      <c r="G416" s="9"/>
      <c r="H416" s="74">
        <f t="shared" si="6"/>
        <v>133000000</v>
      </c>
    </row>
    <row r="417" spans="2:8" x14ac:dyDescent="0.25">
      <c r="B417" s="135"/>
      <c r="C417" s="89"/>
      <c r="D417" s="89"/>
      <c r="E417" s="90"/>
      <c r="F417" s="72"/>
      <c r="G417" s="9"/>
      <c r="H417" s="74">
        <f t="shared" si="6"/>
        <v>133000000</v>
      </c>
    </row>
    <row r="418" spans="2:8" x14ac:dyDescent="0.25">
      <c r="B418" s="135"/>
      <c r="C418" s="89"/>
      <c r="D418" s="89"/>
      <c r="E418" s="90"/>
      <c r="F418" s="72"/>
      <c r="G418" s="9"/>
      <c r="H418" s="74">
        <f t="shared" si="6"/>
        <v>133000000</v>
      </c>
    </row>
    <row r="419" spans="2:8" x14ac:dyDescent="0.25">
      <c r="B419" s="135"/>
      <c r="C419" s="89"/>
      <c r="D419" s="89"/>
      <c r="E419" s="90"/>
      <c r="F419" s="72"/>
      <c r="G419" s="9"/>
      <c r="H419" s="74">
        <f t="shared" si="6"/>
        <v>133000000</v>
      </c>
    </row>
    <row r="420" spans="2:8" x14ac:dyDescent="0.25">
      <c r="B420" s="135"/>
      <c r="C420" s="89"/>
      <c r="D420" s="89"/>
      <c r="E420" s="90"/>
      <c r="F420" s="72"/>
      <c r="G420" s="9"/>
      <c r="H420" s="74">
        <f t="shared" si="6"/>
        <v>133000000</v>
      </c>
    </row>
    <row r="421" spans="2:8" x14ac:dyDescent="0.25">
      <c r="B421" s="135"/>
      <c r="C421" s="89"/>
      <c r="D421" s="89"/>
      <c r="E421" s="90"/>
      <c r="F421" s="72"/>
      <c r="G421" s="9"/>
      <c r="H421" s="74">
        <f t="shared" si="6"/>
        <v>133000000</v>
      </c>
    </row>
    <row r="422" spans="2:8" x14ac:dyDescent="0.25">
      <c r="B422" s="135"/>
      <c r="C422" s="89"/>
      <c r="D422" s="89"/>
      <c r="E422" s="90"/>
      <c r="F422" s="72"/>
      <c r="G422" s="9"/>
      <c r="H422" s="74">
        <f t="shared" si="6"/>
        <v>133000000</v>
      </c>
    </row>
    <row r="423" spans="2:8" x14ac:dyDescent="0.25">
      <c r="B423" s="135"/>
      <c r="C423" s="89"/>
      <c r="D423" s="89"/>
      <c r="E423" s="90"/>
      <c r="F423" s="72"/>
      <c r="G423" s="9"/>
      <c r="H423" s="74">
        <f t="shared" si="6"/>
        <v>133000000</v>
      </c>
    </row>
    <row r="424" spans="2:8" x14ac:dyDescent="0.25">
      <c r="B424" s="135"/>
      <c r="C424" s="89"/>
      <c r="D424" s="89"/>
      <c r="E424" s="90"/>
      <c r="F424" s="72"/>
      <c r="G424" s="9"/>
      <c r="H424" s="74">
        <f t="shared" si="6"/>
        <v>133000000</v>
      </c>
    </row>
    <row r="425" spans="2:8" x14ac:dyDescent="0.25">
      <c r="B425" s="135"/>
      <c r="C425" s="89"/>
      <c r="D425" s="89"/>
      <c r="E425" s="90"/>
      <c r="F425" s="72"/>
      <c r="G425" s="9"/>
      <c r="H425" s="74">
        <f t="shared" si="6"/>
        <v>133000000</v>
      </c>
    </row>
    <row r="426" spans="2:8" x14ac:dyDescent="0.25">
      <c r="B426" s="135"/>
      <c r="C426" s="89"/>
      <c r="D426" s="89"/>
      <c r="E426" s="90"/>
      <c r="F426" s="72"/>
      <c r="G426" s="9"/>
      <c r="H426" s="74">
        <f t="shared" si="6"/>
        <v>133000000</v>
      </c>
    </row>
    <row r="427" spans="2:8" x14ac:dyDescent="0.25">
      <c r="B427" s="135"/>
      <c r="C427" s="89"/>
      <c r="D427" s="89"/>
      <c r="E427" s="90"/>
      <c r="F427" s="72"/>
      <c r="G427" s="9"/>
      <c r="H427" s="74">
        <f t="shared" si="6"/>
        <v>133000000</v>
      </c>
    </row>
    <row r="428" spans="2:8" x14ac:dyDescent="0.25">
      <c r="B428" s="135"/>
      <c r="C428" s="89"/>
      <c r="D428" s="89"/>
      <c r="E428" s="90"/>
      <c r="F428" s="72"/>
      <c r="G428" s="9"/>
      <c r="H428" s="74">
        <f t="shared" si="6"/>
        <v>133000000</v>
      </c>
    </row>
    <row r="429" spans="2:8" x14ac:dyDescent="0.25">
      <c r="B429" s="135"/>
      <c r="C429" s="89"/>
      <c r="D429" s="89"/>
      <c r="E429" s="90"/>
      <c r="F429" s="72"/>
      <c r="G429" s="9"/>
      <c r="H429" s="74">
        <f t="shared" si="6"/>
        <v>133000000</v>
      </c>
    </row>
    <row r="430" spans="2:8" x14ac:dyDescent="0.25">
      <c r="B430" s="135"/>
      <c r="C430" s="89"/>
      <c r="D430" s="89"/>
      <c r="E430" s="90"/>
      <c r="F430" s="72"/>
      <c r="G430" s="9"/>
      <c r="H430" s="74">
        <f t="shared" si="6"/>
        <v>133000000</v>
      </c>
    </row>
    <row r="431" spans="2:8" x14ac:dyDescent="0.25">
      <c r="B431" s="135"/>
      <c r="C431" s="89"/>
      <c r="D431" s="89"/>
      <c r="E431" s="90"/>
      <c r="F431" s="72"/>
      <c r="G431" s="9"/>
      <c r="H431" s="74">
        <f t="shared" si="6"/>
        <v>133000000</v>
      </c>
    </row>
    <row r="432" spans="2:8" x14ac:dyDescent="0.25">
      <c r="B432" s="135"/>
      <c r="C432" s="89"/>
      <c r="D432" s="89"/>
      <c r="E432" s="90"/>
      <c r="F432" s="72"/>
      <c r="G432" s="9"/>
      <c r="H432" s="74">
        <f t="shared" si="6"/>
        <v>133000000</v>
      </c>
    </row>
    <row r="433" spans="2:8" x14ac:dyDescent="0.25">
      <c r="B433" s="135"/>
      <c r="C433" s="89"/>
      <c r="D433" s="89"/>
      <c r="E433" s="90"/>
      <c r="F433" s="72"/>
      <c r="G433" s="9"/>
      <c r="H433" s="74">
        <f t="shared" si="6"/>
        <v>133000000</v>
      </c>
    </row>
    <row r="434" spans="2:8" x14ac:dyDescent="0.25">
      <c r="B434" s="135"/>
      <c r="C434" s="89"/>
      <c r="D434" s="89"/>
      <c r="E434" s="90"/>
      <c r="F434" s="72"/>
      <c r="G434" s="9"/>
      <c r="H434" s="74">
        <f t="shared" si="6"/>
        <v>133000000</v>
      </c>
    </row>
    <row r="435" spans="2:8" x14ac:dyDescent="0.25">
      <c r="B435" s="135"/>
      <c r="C435" s="89"/>
      <c r="D435" s="89"/>
      <c r="E435" s="90"/>
      <c r="F435" s="72"/>
      <c r="G435" s="9"/>
      <c r="H435" s="74">
        <f t="shared" si="6"/>
        <v>133000000</v>
      </c>
    </row>
    <row r="436" spans="2:8" x14ac:dyDescent="0.25">
      <c r="B436" s="135"/>
      <c r="C436" s="89"/>
      <c r="D436" s="89"/>
      <c r="E436" s="90"/>
      <c r="F436" s="72"/>
      <c r="G436" s="9"/>
      <c r="H436" s="74">
        <f t="shared" si="6"/>
        <v>133000000</v>
      </c>
    </row>
    <row r="437" spans="2:8" x14ac:dyDescent="0.25">
      <c r="B437" s="135"/>
      <c r="C437" s="89"/>
      <c r="D437" s="89"/>
      <c r="E437" s="90"/>
      <c r="F437" s="72"/>
      <c r="G437" s="9"/>
      <c r="H437" s="74">
        <f t="shared" si="6"/>
        <v>133000000</v>
      </c>
    </row>
    <row r="438" spans="2:8" x14ac:dyDescent="0.25">
      <c r="B438" s="135"/>
      <c r="C438" s="89"/>
      <c r="D438" s="89"/>
      <c r="E438" s="90"/>
      <c r="F438" s="72"/>
      <c r="G438" s="9"/>
      <c r="H438" s="74">
        <f t="shared" si="6"/>
        <v>133000000</v>
      </c>
    </row>
    <row r="439" spans="2:8" x14ac:dyDescent="0.25">
      <c r="B439" s="135"/>
      <c r="C439" s="89"/>
      <c r="D439" s="89"/>
      <c r="E439" s="90"/>
      <c r="F439" s="72"/>
      <c r="G439" s="9"/>
      <c r="H439" s="74">
        <f t="shared" si="6"/>
        <v>133000000</v>
      </c>
    </row>
    <row r="440" spans="2:8" x14ac:dyDescent="0.25">
      <c r="B440" s="135"/>
      <c r="C440" s="89"/>
      <c r="D440" s="89"/>
      <c r="E440" s="90"/>
      <c r="F440" s="72"/>
      <c r="G440" s="9"/>
      <c r="H440" s="74">
        <f t="shared" si="6"/>
        <v>133000000</v>
      </c>
    </row>
    <row r="441" spans="2:8" x14ac:dyDescent="0.25">
      <c r="B441" s="135"/>
      <c r="C441" s="89"/>
      <c r="D441" s="89"/>
      <c r="E441" s="90"/>
      <c r="F441" s="72"/>
      <c r="G441" s="9"/>
      <c r="H441" s="74">
        <f t="shared" si="6"/>
        <v>133000000</v>
      </c>
    </row>
    <row r="442" spans="2:8" x14ac:dyDescent="0.25">
      <c r="B442" s="135"/>
      <c r="C442" s="89"/>
      <c r="D442" s="89"/>
      <c r="E442" s="90"/>
      <c r="F442" s="72"/>
      <c r="G442" s="9"/>
      <c r="H442" s="74">
        <f t="shared" si="6"/>
        <v>133000000</v>
      </c>
    </row>
    <row r="443" spans="2:8" x14ac:dyDescent="0.25">
      <c r="B443" s="135"/>
      <c r="C443" s="89"/>
      <c r="D443" s="89"/>
      <c r="E443" s="90"/>
      <c r="F443" s="72"/>
      <c r="G443" s="9"/>
      <c r="H443" s="74">
        <f t="shared" si="6"/>
        <v>133000000</v>
      </c>
    </row>
    <row r="444" spans="2:8" x14ac:dyDescent="0.25">
      <c r="B444" s="135"/>
      <c r="C444" s="89"/>
      <c r="D444" s="89"/>
      <c r="E444" s="90"/>
      <c r="F444" s="72"/>
      <c r="G444" s="9"/>
      <c r="H444" s="74">
        <f t="shared" si="6"/>
        <v>133000000</v>
      </c>
    </row>
    <row r="445" spans="2:8" x14ac:dyDescent="0.25">
      <c r="B445" s="135"/>
      <c r="C445" s="89"/>
      <c r="D445" s="89"/>
      <c r="E445" s="90"/>
      <c r="F445" s="72"/>
      <c r="G445" s="9"/>
      <c r="H445" s="74">
        <f t="shared" si="6"/>
        <v>133000000</v>
      </c>
    </row>
    <row r="446" spans="2:8" x14ac:dyDescent="0.25">
      <c r="B446" s="135"/>
      <c r="C446" s="89"/>
      <c r="D446" s="89"/>
      <c r="E446" s="90"/>
      <c r="F446" s="72"/>
      <c r="G446" s="9"/>
      <c r="H446" s="74">
        <f t="shared" si="6"/>
        <v>133000000</v>
      </c>
    </row>
    <row r="447" spans="2:8" x14ac:dyDescent="0.25">
      <c r="B447" s="135"/>
      <c r="C447" s="89"/>
      <c r="D447" s="89"/>
      <c r="E447" s="90"/>
      <c r="F447" s="72"/>
      <c r="G447" s="9"/>
      <c r="H447" s="74">
        <f t="shared" si="6"/>
        <v>133000000</v>
      </c>
    </row>
    <row r="448" spans="2:8" x14ac:dyDescent="0.25">
      <c r="B448" s="135"/>
      <c r="C448" s="89"/>
      <c r="D448" s="89"/>
      <c r="E448" s="90"/>
      <c r="F448" s="72"/>
      <c r="G448" s="9"/>
      <c r="H448" s="74">
        <f t="shared" si="6"/>
        <v>133000000</v>
      </c>
    </row>
    <row r="449" spans="2:8" x14ac:dyDescent="0.25">
      <c r="B449" s="135"/>
      <c r="C449" s="89"/>
      <c r="D449" s="89"/>
      <c r="E449" s="90"/>
      <c r="F449" s="72"/>
      <c r="G449" s="9"/>
      <c r="H449" s="74">
        <f t="shared" si="6"/>
        <v>133000000</v>
      </c>
    </row>
    <row r="450" spans="2:8" x14ac:dyDescent="0.25">
      <c r="B450" s="135"/>
      <c r="C450" s="89"/>
      <c r="D450" s="89"/>
      <c r="E450" s="90"/>
      <c r="F450" s="72"/>
      <c r="G450" s="9"/>
      <c r="H450" s="74">
        <f t="shared" si="6"/>
        <v>133000000</v>
      </c>
    </row>
    <row r="451" spans="2:8" x14ac:dyDescent="0.25">
      <c r="B451" s="135"/>
      <c r="C451" s="89"/>
      <c r="D451" s="89"/>
      <c r="E451" s="90"/>
      <c r="F451" s="72"/>
      <c r="G451" s="9"/>
      <c r="H451" s="74">
        <f t="shared" si="6"/>
        <v>133000000</v>
      </c>
    </row>
    <row r="452" spans="2:8" x14ac:dyDescent="0.25">
      <c r="B452" s="135"/>
      <c r="C452" s="89"/>
      <c r="D452" s="89"/>
      <c r="E452" s="90"/>
      <c r="F452" s="72"/>
      <c r="G452" s="9"/>
      <c r="H452" s="74">
        <f t="shared" si="6"/>
        <v>133000000</v>
      </c>
    </row>
    <row r="453" spans="2:8" x14ac:dyDescent="0.25">
      <c r="B453" s="135"/>
      <c r="C453" s="89"/>
      <c r="D453" s="89"/>
      <c r="E453" s="90"/>
      <c r="F453" s="72"/>
      <c r="G453" s="9"/>
      <c r="H453" s="74">
        <f t="shared" si="6"/>
        <v>133000000</v>
      </c>
    </row>
    <row r="454" spans="2:8" x14ac:dyDescent="0.25">
      <c r="B454" s="135"/>
      <c r="C454" s="89"/>
      <c r="D454" s="89"/>
      <c r="E454" s="90"/>
      <c r="F454" s="72"/>
      <c r="G454" s="9"/>
      <c r="H454" s="74">
        <f t="shared" si="6"/>
        <v>133000000</v>
      </c>
    </row>
    <row r="455" spans="2:8" x14ac:dyDescent="0.25">
      <c r="B455" s="135"/>
      <c r="C455" s="89"/>
      <c r="D455" s="89"/>
      <c r="E455" s="90"/>
      <c r="F455" s="72"/>
      <c r="G455" s="9"/>
      <c r="H455" s="74">
        <f t="shared" si="6"/>
        <v>133000000</v>
      </c>
    </row>
    <row r="456" spans="2:8" x14ac:dyDescent="0.25">
      <c r="B456" s="135"/>
      <c r="C456" s="89"/>
      <c r="D456" s="89"/>
      <c r="E456" s="90"/>
      <c r="F456" s="72"/>
      <c r="G456" s="9"/>
      <c r="H456" s="74">
        <f t="shared" si="6"/>
        <v>133000000</v>
      </c>
    </row>
    <row r="457" spans="2:8" x14ac:dyDescent="0.25">
      <c r="B457" s="135"/>
      <c r="C457" s="89"/>
      <c r="D457" s="89"/>
      <c r="E457" s="90"/>
      <c r="F457" s="72"/>
      <c r="G457" s="9"/>
      <c r="H457" s="74">
        <f t="shared" si="6"/>
        <v>133000000</v>
      </c>
    </row>
    <row r="458" spans="2:8" x14ac:dyDescent="0.25">
      <c r="B458" s="135"/>
      <c r="C458" s="89"/>
      <c r="D458" s="89"/>
      <c r="E458" s="90"/>
      <c r="F458" s="72"/>
      <c r="G458" s="9"/>
      <c r="H458" s="74">
        <f t="shared" si="6"/>
        <v>133000000</v>
      </c>
    </row>
    <row r="459" spans="2:8" x14ac:dyDescent="0.25">
      <c r="B459" s="135"/>
      <c r="C459" s="89"/>
      <c r="D459" s="89"/>
      <c r="E459" s="90"/>
      <c r="F459" s="72"/>
      <c r="G459" s="9"/>
      <c r="H459" s="74">
        <f t="shared" si="6"/>
        <v>133000000</v>
      </c>
    </row>
    <row r="460" spans="2:8" x14ac:dyDescent="0.25">
      <c r="B460" s="135"/>
      <c r="C460" s="89"/>
      <c r="D460" s="89"/>
      <c r="E460" s="90"/>
      <c r="F460" s="72"/>
      <c r="G460" s="9"/>
      <c r="H460" s="74">
        <f t="shared" si="6"/>
        <v>133000000</v>
      </c>
    </row>
    <row r="461" spans="2:8" x14ac:dyDescent="0.25">
      <c r="B461" s="135"/>
      <c r="C461" s="89"/>
      <c r="D461" s="89"/>
      <c r="E461" s="90"/>
      <c r="F461" s="72"/>
      <c r="G461" s="9"/>
      <c r="H461" s="74">
        <f t="shared" si="6"/>
        <v>133000000</v>
      </c>
    </row>
    <row r="462" spans="2:8" x14ac:dyDescent="0.25">
      <c r="B462" s="135"/>
      <c r="C462" s="89"/>
      <c r="D462" s="89"/>
      <c r="E462" s="90"/>
      <c r="F462" s="72"/>
      <c r="G462" s="9"/>
      <c r="H462" s="74">
        <f t="shared" si="6"/>
        <v>133000000</v>
      </c>
    </row>
    <row r="463" spans="2:8" x14ac:dyDescent="0.25">
      <c r="B463" s="135"/>
      <c r="C463" s="89"/>
      <c r="D463" s="89"/>
      <c r="E463" s="90"/>
      <c r="F463" s="72"/>
      <c r="G463" s="9"/>
      <c r="H463" s="74">
        <f t="shared" si="6"/>
        <v>133000000</v>
      </c>
    </row>
    <row r="464" spans="2:8" x14ac:dyDescent="0.25">
      <c r="B464" s="135"/>
      <c r="C464" s="89"/>
      <c r="D464" s="89"/>
      <c r="E464" s="90"/>
      <c r="F464" s="72"/>
      <c r="G464" s="9"/>
      <c r="H464" s="74">
        <f t="shared" si="6"/>
        <v>133000000</v>
      </c>
    </row>
    <row r="465" spans="2:8" x14ac:dyDescent="0.25">
      <c r="B465" s="135"/>
      <c r="C465" s="89"/>
      <c r="D465" s="89"/>
      <c r="E465" s="90"/>
      <c r="F465" s="72"/>
      <c r="G465" s="9"/>
      <c r="H465" s="74">
        <f t="shared" si="6"/>
        <v>133000000</v>
      </c>
    </row>
    <row r="466" spans="2:8" x14ac:dyDescent="0.25">
      <c r="B466" s="135"/>
      <c r="C466" s="89"/>
      <c r="D466" s="89"/>
      <c r="E466" s="90"/>
      <c r="F466" s="72"/>
      <c r="G466" s="9"/>
      <c r="H466" s="74">
        <f t="shared" ref="H466:H529" si="7">H465+F466-G466</f>
        <v>133000000</v>
      </c>
    </row>
    <row r="467" spans="2:8" x14ac:dyDescent="0.25">
      <c r="B467" s="135"/>
      <c r="C467" s="89"/>
      <c r="D467" s="89"/>
      <c r="E467" s="90"/>
      <c r="F467" s="72"/>
      <c r="G467" s="9"/>
      <c r="H467" s="74">
        <f t="shared" si="7"/>
        <v>133000000</v>
      </c>
    </row>
    <row r="468" spans="2:8" x14ac:dyDescent="0.25">
      <c r="B468" s="135"/>
      <c r="C468" s="89"/>
      <c r="D468" s="89"/>
      <c r="E468" s="90"/>
      <c r="F468" s="72"/>
      <c r="G468" s="9"/>
      <c r="H468" s="74">
        <f t="shared" si="7"/>
        <v>133000000</v>
      </c>
    </row>
    <row r="469" spans="2:8" x14ac:dyDescent="0.25">
      <c r="B469" s="135"/>
      <c r="C469" s="89"/>
      <c r="D469" s="89"/>
      <c r="E469" s="90"/>
      <c r="F469" s="72"/>
      <c r="G469" s="9"/>
      <c r="H469" s="74">
        <f t="shared" si="7"/>
        <v>133000000</v>
      </c>
    </row>
    <row r="470" spans="2:8" x14ac:dyDescent="0.25">
      <c r="B470" s="135"/>
      <c r="C470" s="89"/>
      <c r="D470" s="89"/>
      <c r="E470" s="90"/>
      <c r="F470" s="72"/>
      <c r="G470" s="9"/>
      <c r="H470" s="74">
        <f t="shared" si="7"/>
        <v>133000000</v>
      </c>
    </row>
    <row r="471" spans="2:8" x14ac:dyDescent="0.25">
      <c r="B471" s="135"/>
      <c r="C471" s="89"/>
      <c r="D471" s="89"/>
      <c r="E471" s="90"/>
      <c r="F471" s="72"/>
      <c r="G471" s="9"/>
      <c r="H471" s="74">
        <f t="shared" si="7"/>
        <v>133000000</v>
      </c>
    </row>
    <row r="472" spans="2:8" x14ac:dyDescent="0.25">
      <c r="B472" s="135"/>
      <c r="C472" s="89"/>
      <c r="D472" s="89"/>
      <c r="E472" s="90"/>
      <c r="F472" s="72"/>
      <c r="G472" s="9"/>
      <c r="H472" s="74">
        <f t="shared" si="7"/>
        <v>133000000</v>
      </c>
    </row>
    <row r="473" spans="2:8" x14ac:dyDescent="0.25">
      <c r="B473" s="135"/>
      <c r="C473" s="89"/>
      <c r="D473" s="89"/>
      <c r="E473" s="90"/>
      <c r="F473" s="72"/>
      <c r="G473" s="9"/>
      <c r="H473" s="74">
        <f t="shared" si="7"/>
        <v>133000000</v>
      </c>
    </row>
    <row r="474" spans="2:8" x14ac:dyDescent="0.25">
      <c r="B474" s="135"/>
      <c r="C474" s="89"/>
      <c r="D474" s="89"/>
      <c r="E474" s="90"/>
      <c r="F474" s="72"/>
      <c r="G474" s="9"/>
      <c r="H474" s="74">
        <f t="shared" si="7"/>
        <v>133000000</v>
      </c>
    </row>
    <row r="475" spans="2:8" x14ac:dyDescent="0.25">
      <c r="B475" s="135"/>
      <c r="C475" s="89"/>
      <c r="D475" s="89"/>
      <c r="E475" s="90"/>
      <c r="F475" s="72"/>
      <c r="G475" s="9"/>
      <c r="H475" s="74">
        <f t="shared" si="7"/>
        <v>133000000</v>
      </c>
    </row>
    <row r="476" spans="2:8" x14ac:dyDescent="0.25">
      <c r="B476" s="135"/>
      <c r="C476" s="89"/>
      <c r="D476" s="89"/>
      <c r="E476" s="90"/>
      <c r="F476" s="72"/>
      <c r="G476" s="9"/>
      <c r="H476" s="74">
        <f t="shared" si="7"/>
        <v>133000000</v>
      </c>
    </row>
    <row r="477" spans="2:8" x14ac:dyDescent="0.25">
      <c r="B477" s="135"/>
      <c r="C477" s="89"/>
      <c r="D477" s="89"/>
      <c r="E477" s="90"/>
      <c r="F477" s="72"/>
      <c r="G477" s="9"/>
      <c r="H477" s="74">
        <f t="shared" si="7"/>
        <v>133000000</v>
      </c>
    </row>
    <row r="478" spans="2:8" x14ac:dyDescent="0.25">
      <c r="B478" s="135"/>
      <c r="C478" s="89"/>
      <c r="D478" s="89"/>
      <c r="E478" s="90"/>
      <c r="F478" s="72"/>
      <c r="G478" s="9"/>
      <c r="H478" s="74">
        <f t="shared" si="7"/>
        <v>133000000</v>
      </c>
    </row>
    <row r="479" spans="2:8" x14ac:dyDescent="0.25">
      <c r="B479" s="135"/>
      <c r="C479" s="89"/>
      <c r="D479" s="89"/>
      <c r="E479" s="90"/>
      <c r="F479" s="72"/>
      <c r="G479" s="9"/>
      <c r="H479" s="74">
        <f t="shared" si="7"/>
        <v>133000000</v>
      </c>
    </row>
    <row r="480" spans="2:8" x14ac:dyDescent="0.25">
      <c r="B480" s="135"/>
      <c r="C480" s="89"/>
      <c r="D480" s="89"/>
      <c r="E480" s="90"/>
      <c r="F480" s="72"/>
      <c r="G480" s="9"/>
      <c r="H480" s="74">
        <f t="shared" si="7"/>
        <v>133000000</v>
      </c>
    </row>
    <row r="481" spans="2:8" x14ac:dyDescent="0.25">
      <c r="B481" s="135"/>
      <c r="C481" s="89"/>
      <c r="D481" s="89"/>
      <c r="E481" s="90"/>
      <c r="F481" s="72"/>
      <c r="G481" s="9"/>
      <c r="H481" s="74">
        <f t="shared" si="7"/>
        <v>133000000</v>
      </c>
    </row>
    <row r="482" spans="2:8" x14ac:dyDescent="0.25">
      <c r="B482" s="135"/>
      <c r="C482" s="89"/>
      <c r="D482" s="89"/>
      <c r="E482" s="90"/>
      <c r="F482" s="72"/>
      <c r="G482" s="9"/>
      <c r="H482" s="74">
        <f t="shared" si="7"/>
        <v>133000000</v>
      </c>
    </row>
    <row r="483" spans="2:8" x14ac:dyDescent="0.25">
      <c r="B483" s="135"/>
      <c r="C483" s="89"/>
      <c r="D483" s="89"/>
      <c r="E483" s="90"/>
      <c r="F483" s="72"/>
      <c r="G483" s="9"/>
      <c r="H483" s="74">
        <f t="shared" si="7"/>
        <v>133000000</v>
      </c>
    </row>
    <row r="484" spans="2:8" x14ac:dyDescent="0.25">
      <c r="B484" s="135"/>
      <c r="C484" s="89"/>
      <c r="D484" s="89"/>
      <c r="E484" s="90"/>
      <c r="F484" s="72"/>
      <c r="G484" s="9"/>
      <c r="H484" s="74">
        <f t="shared" si="7"/>
        <v>133000000</v>
      </c>
    </row>
    <row r="485" spans="2:8" x14ac:dyDescent="0.25">
      <c r="B485" s="135"/>
      <c r="C485" s="89"/>
      <c r="D485" s="89"/>
      <c r="E485" s="90"/>
      <c r="F485" s="72"/>
      <c r="G485" s="9"/>
      <c r="H485" s="74">
        <f t="shared" si="7"/>
        <v>133000000</v>
      </c>
    </row>
    <row r="486" spans="2:8" x14ac:dyDescent="0.25">
      <c r="B486" s="135"/>
      <c r="C486" s="89"/>
      <c r="D486" s="89"/>
      <c r="E486" s="90"/>
      <c r="F486" s="72"/>
      <c r="G486" s="9"/>
      <c r="H486" s="74">
        <f t="shared" si="7"/>
        <v>133000000</v>
      </c>
    </row>
    <row r="487" spans="2:8" x14ac:dyDescent="0.25">
      <c r="B487" s="135"/>
      <c r="C487" s="89"/>
      <c r="D487" s="89"/>
      <c r="E487" s="90"/>
      <c r="F487" s="72"/>
      <c r="G487" s="9"/>
      <c r="H487" s="74">
        <f t="shared" si="7"/>
        <v>133000000</v>
      </c>
    </row>
    <row r="488" spans="2:8" x14ac:dyDescent="0.25">
      <c r="B488" s="135"/>
      <c r="C488" s="89"/>
      <c r="D488" s="89"/>
      <c r="E488" s="90"/>
      <c r="F488" s="72"/>
      <c r="G488" s="9"/>
      <c r="H488" s="74">
        <f t="shared" si="7"/>
        <v>133000000</v>
      </c>
    </row>
    <row r="489" spans="2:8" x14ac:dyDescent="0.25">
      <c r="B489" s="135"/>
      <c r="C489" s="89"/>
      <c r="D489" s="89"/>
      <c r="E489" s="90"/>
      <c r="F489" s="72"/>
      <c r="G489" s="9"/>
      <c r="H489" s="74">
        <f t="shared" si="7"/>
        <v>133000000</v>
      </c>
    </row>
    <row r="490" spans="2:8" x14ac:dyDescent="0.25">
      <c r="B490" s="135"/>
      <c r="C490" s="89"/>
      <c r="D490" s="89"/>
      <c r="E490" s="90"/>
      <c r="F490" s="72"/>
      <c r="G490" s="9"/>
      <c r="H490" s="74">
        <f t="shared" si="7"/>
        <v>133000000</v>
      </c>
    </row>
    <row r="491" spans="2:8" x14ac:dyDescent="0.25">
      <c r="B491" s="135"/>
      <c r="C491" s="89"/>
      <c r="D491" s="89"/>
      <c r="E491" s="90"/>
      <c r="F491" s="72"/>
      <c r="G491" s="9"/>
      <c r="H491" s="74">
        <f t="shared" si="7"/>
        <v>133000000</v>
      </c>
    </row>
    <row r="492" spans="2:8" x14ac:dyDescent="0.25">
      <c r="B492" s="135"/>
      <c r="C492" s="89"/>
      <c r="D492" s="89"/>
      <c r="E492" s="90"/>
      <c r="F492" s="72"/>
      <c r="G492" s="9"/>
      <c r="H492" s="74">
        <f t="shared" si="7"/>
        <v>133000000</v>
      </c>
    </row>
    <row r="493" spans="2:8" x14ac:dyDescent="0.25">
      <c r="B493" s="135"/>
      <c r="C493" s="89"/>
      <c r="D493" s="89"/>
      <c r="E493" s="90"/>
      <c r="F493" s="72"/>
      <c r="G493" s="9"/>
      <c r="H493" s="74">
        <f t="shared" si="7"/>
        <v>133000000</v>
      </c>
    </row>
    <row r="494" spans="2:8" x14ac:dyDescent="0.25">
      <c r="B494" s="135"/>
      <c r="C494" s="89"/>
      <c r="D494" s="91"/>
      <c r="E494" s="92"/>
      <c r="F494" s="75"/>
      <c r="G494" s="9"/>
      <c r="H494" s="74">
        <f t="shared" si="7"/>
        <v>133000000</v>
      </c>
    </row>
    <row r="495" spans="2:8" x14ac:dyDescent="0.25">
      <c r="B495" s="135"/>
      <c r="C495" s="89"/>
      <c r="D495" s="89"/>
      <c r="E495" s="90"/>
      <c r="F495" s="72"/>
      <c r="G495" s="9"/>
      <c r="H495" s="74">
        <f t="shared" si="7"/>
        <v>133000000</v>
      </c>
    </row>
    <row r="496" spans="2:8" x14ac:dyDescent="0.25">
      <c r="B496" s="135"/>
      <c r="C496" s="89"/>
      <c r="D496" s="89"/>
      <c r="E496" s="90"/>
      <c r="F496" s="72"/>
      <c r="G496" s="9"/>
      <c r="H496" s="74">
        <f t="shared" si="7"/>
        <v>133000000</v>
      </c>
    </row>
    <row r="497" spans="2:8" x14ac:dyDescent="0.25">
      <c r="B497" s="135"/>
      <c r="C497" s="89"/>
      <c r="D497" s="89"/>
      <c r="E497" s="90"/>
      <c r="F497" s="72"/>
      <c r="G497" s="9"/>
      <c r="H497" s="74">
        <f t="shared" si="7"/>
        <v>133000000</v>
      </c>
    </row>
    <row r="498" spans="2:8" x14ac:dyDescent="0.25">
      <c r="B498" s="135"/>
      <c r="C498" s="89"/>
      <c r="D498" s="89"/>
      <c r="E498" s="90"/>
      <c r="F498" s="72"/>
      <c r="G498" s="9"/>
      <c r="H498" s="74">
        <f t="shared" si="7"/>
        <v>133000000</v>
      </c>
    </row>
    <row r="499" spans="2:8" x14ac:dyDescent="0.25">
      <c r="B499" s="135"/>
      <c r="C499" s="89"/>
      <c r="D499" s="89"/>
      <c r="E499" s="90"/>
      <c r="F499" s="72"/>
      <c r="G499" s="9"/>
      <c r="H499" s="74">
        <f t="shared" si="7"/>
        <v>133000000</v>
      </c>
    </row>
    <row r="500" spans="2:8" x14ac:dyDescent="0.25">
      <c r="B500" s="135"/>
      <c r="C500" s="89"/>
      <c r="D500" s="89"/>
      <c r="E500" s="90"/>
      <c r="F500" s="72"/>
      <c r="G500" s="9"/>
      <c r="H500" s="74">
        <f t="shared" si="7"/>
        <v>133000000</v>
      </c>
    </row>
    <row r="501" spans="2:8" x14ac:dyDescent="0.25">
      <c r="B501" s="135"/>
      <c r="C501" s="89"/>
      <c r="D501" s="89"/>
      <c r="E501" s="90"/>
      <c r="F501" s="72"/>
      <c r="G501" s="9"/>
      <c r="H501" s="74">
        <f t="shared" si="7"/>
        <v>133000000</v>
      </c>
    </row>
    <row r="502" spans="2:8" x14ac:dyDescent="0.25">
      <c r="B502" s="135"/>
      <c r="C502" s="89"/>
      <c r="D502" s="89"/>
      <c r="E502" s="90"/>
      <c r="F502" s="72"/>
      <c r="G502" s="9"/>
      <c r="H502" s="74">
        <f t="shared" si="7"/>
        <v>133000000</v>
      </c>
    </row>
    <row r="503" spans="2:8" x14ac:dyDescent="0.25">
      <c r="B503" s="135"/>
      <c r="C503" s="89"/>
      <c r="D503" s="89"/>
      <c r="E503" s="90"/>
      <c r="F503" s="72"/>
      <c r="G503" s="9"/>
      <c r="H503" s="74">
        <f t="shared" si="7"/>
        <v>133000000</v>
      </c>
    </row>
    <row r="504" spans="2:8" x14ac:dyDescent="0.25">
      <c r="B504" s="135"/>
      <c r="C504" s="89"/>
      <c r="D504" s="91"/>
      <c r="E504" s="92"/>
      <c r="F504" s="75"/>
      <c r="G504" s="9"/>
      <c r="H504" s="74">
        <f t="shared" si="7"/>
        <v>133000000</v>
      </c>
    </row>
    <row r="505" spans="2:8" x14ac:dyDescent="0.25">
      <c r="B505" s="135"/>
      <c r="C505" s="89"/>
      <c r="D505" s="89"/>
      <c r="E505" s="90"/>
      <c r="F505" s="72"/>
      <c r="G505" s="9"/>
      <c r="H505" s="74">
        <f t="shared" si="7"/>
        <v>133000000</v>
      </c>
    </row>
    <row r="506" spans="2:8" x14ac:dyDescent="0.25">
      <c r="B506" s="135"/>
      <c r="C506" s="89"/>
      <c r="D506" s="89"/>
      <c r="E506" s="90"/>
      <c r="F506" s="72"/>
      <c r="G506" s="9"/>
      <c r="H506" s="74">
        <f t="shared" si="7"/>
        <v>133000000</v>
      </c>
    </row>
    <row r="507" spans="2:8" x14ac:dyDescent="0.25">
      <c r="B507" s="135"/>
      <c r="C507" s="89"/>
      <c r="D507" s="89"/>
      <c r="E507" s="90"/>
      <c r="F507" s="72"/>
      <c r="G507" s="9"/>
      <c r="H507" s="74">
        <f t="shared" si="7"/>
        <v>133000000</v>
      </c>
    </row>
    <row r="508" spans="2:8" x14ac:dyDescent="0.25">
      <c r="B508" s="135"/>
      <c r="C508" s="89"/>
      <c r="D508" s="89"/>
      <c r="E508" s="90"/>
      <c r="F508" s="72"/>
      <c r="G508" s="9"/>
      <c r="H508" s="74">
        <f t="shared" si="7"/>
        <v>133000000</v>
      </c>
    </row>
    <row r="509" spans="2:8" x14ac:dyDescent="0.25">
      <c r="B509" s="135"/>
      <c r="C509" s="89"/>
      <c r="D509" s="89"/>
      <c r="E509" s="90"/>
      <c r="F509" s="72"/>
      <c r="G509" s="9"/>
      <c r="H509" s="74">
        <f t="shared" si="7"/>
        <v>133000000</v>
      </c>
    </row>
    <row r="510" spans="2:8" x14ac:dyDescent="0.25">
      <c r="B510" s="135"/>
      <c r="C510" s="89"/>
      <c r="D510" s="89"/>
      <c r="E510" s="90"/>
      <c r="F510" s="72"/>
      <c r="G510" s="9"/>
      <c r="H510" s="74">
        <f t="shared" si="7"/>
        <v>133000000</v>
      </c>
    </row>
    <row r="511" spans="2:8" x14ac:dyDescent="0.25">
      <c r="B511" s="135"/>
      <c r="C511" s="89"/>
      <c r="D511" s="89"/>
      <c r="E511" s="90"/>
      <c r="F511" s="72"/>
      <c r="G511" s="9"/>
      <c r="H511" s="74">
        <f t="shared" si="7"/>
        <v>133000000</v>
      </c>
    </row>
    <row r="512" spans="2:8" x14ac:dyDescent="0.25">
      <c r="B512" s="135"/>
      <c r="C512" s="89"/>
      <c r="D512" s="89"/>
      <c r="E512" s="90"/>
      <c r="F512" s="72"/>
      <c r="G512" s="9"/>
      <c r="H512" s="74">
        <f t="shared" si="7"/>
        <v>133000000</v>
      </c>
    </row>
    <row r="513" spans="2:8" x14ac:dyDescent="0.25">
      <c r="B513" s="135"/>
      <c r="C513" s="89"/>
      <c r="D513" s="89"/>
      <c r="E513" s="90"/>
      <c r="F513" s="72"/>
      <c r="G513" s="9"/>
      <c r="H513" s="74">
        <f t="shared" si="7"/>
        <v>133000000</v>
      </c>
    </row>
    <row r="514" spans="2:8" x14ac:dyDescent="0.25">
      <c r="B514" s="135"/>
      <c r="C514" s="89"/>
      <c r="D514" s="89"/>
      <c r="E514" s="90"/>
      <c r="F514" s="72"/>
      <c r="G514" s="9"/>
      <c r="H514" s="74">
        <f t="shared" si="7"/>
        <v>133000000</v>
      </c>
    </row>
    <row r="515" spans="2:8" x14ac:dyDescent="0.25">
      <c r="B515" s="135"/>
      <c r="C515" s="89"/>
      <c r="D515" s="89"/>
      <c r="E515" s="90"/>
      <c r="F515" s="72"/>
      <c r="G515" s="9"/>
      <c r="H515" s="74">
        <f t="shared" si="7"/>
        <v>133000000</v>
      </c>
    </row>
    <row r="516" spans="2:8" x14ac:dyDescent="0.25">
      <c r="B516" s="135"/>
      <c r="C516" s="89"/>
      <c r="D516" s="89"/>
      <c r="E516" s="90"/>
      <c r="F516" s="72"/>
      <c r="G516" s="9"/>
      <c r="H516" s="74">
        <f t="shared" si="7"/>
        <v>133000000</v>
      </c>
    </row>
    <row r="517" spans="2:8" x14ac:dyDescent="0.25">
      <c r="B517" s="135"/>
      <c r="C517" s="89"/>
      <c r="D517" s="89"/>
      <c r="E517" s="90"/>
      <c r="F517" s="72"/>
      <c r="G517" s="9"/>
      <c r="H517" s="74">
        <f t="shared" si="7"/>
        <v>133000000</v>
      </c>
    </row>
    <row r="518" spans="2:8" x14ac:dyDescent="0.25">
      <c r="B518" s="135"/>
      <c r="C518" s="89"/>
      <c r="D518" s="89"/>
      <c r="E518" s="90"/>
      <c r="F518" s="72"/>
      <c r="G518" s="9"/>
      <c r="H518" s="74">
        <f t="shared" si="7"/>
        <v>133000000</v>
      </c>
    </row>
    <row r="519" spans="2:8" x14ac:dyDescent="0.25">
      <c r="B519" s="135"/>
      <c r="C519" s="89"/>
      <c r="D519" s="89"/>
      <c r="E519" s="90"/>
      <c r="F519" s="72"/>
      <c r="G519" s="9"/>
      <c r="H519" s="74">
        <f t="shared" si="7"/>
        <v>133000000</v>
      </c>
    </row>
    <row r="520" spans="2:8" x14ac:dyDescent="0.25">
      <c r="B520" s="135"/>
      <c r="C520" s="89"/>
      <c r="D520" s="89"/>
      <c r="E520" s="90"/>
      <c r="F520" s="72"/>
      <c r="G520" s="9"/>
      <c r="H520" s="74">
        <f t="shared" si="7"/>
        <v>133000000</v>
      </c>
    </row>
    <row r="521" spans="2:8" x14ac:dyDescent="0.25">
      <c r="B521" s="135"/>
      <c r="C521" s="89"/>
      <c r="D521" s="89"/>
      <c r="E521" s="90"/>
      <c r="F521" s="72"/>
      <c r="G521" s="9"/>
      <c r="H521" s="74">
        <f t="shared" si="7"/>
        <v>133000000</v>
      </c>
    </row>
    <row r="522" spans="2:8" x14ac:dyDescent="0.25">
      <c r="B522" s="135"/>
      <c r="C522" s="89"/>
      <c r="D522" s="89"/>
      <c r="E522" s="90"/>
      <c r="F522" s="72"/>
      <c r="G522" s="9"/>
      <c r="H522" s="74">
        <f t="shared" si="7"/>
        <v>133000000</v>
      </c>
    </row>
    <row r="523" spans="2:8" x14ac:dyDescent="0.25">
      <c r="B523" s="135"/>
      <c r="C523" s="89"/>
      <c r="D523" s="89"/>
      <c r="E523" s="90"/>
      <c r="F523" s="72"/>
      <c r="G523" s="9"/>
      <c r="H523" s="74">
        <f t="shared" si="7"/>
        <v>133000000</v>
      </c>
    </row>
    <row r="524" spans="2:8" x14ac:dyDescent="0.25">
      <c r="B524" s="135"/>
      <c r="C524" s="89"/>
      <c r="D524" s="89"/>
      <c r="E524" s="90"/>
      <c r="F524" s="72"/>
      <c r="G524" s="9"/>
      <c r="H524" s="74">
        <f t="shared" si="7"/>
        <v>133000000</v>
      </c>
    </row>
    <row r="525" spans="2:8" x14ac:dyDescent="0.25">
      <c r="B525" s="135"/>
      <c r="C525" s="89"/>
      <c r="D525" s="89"/>
      <c r="E525" s="90"/>
      <c r="F525" s="72"/>
      <c r="G525" s="9"/>
      <c r="H525" s="74">
        <f t="shared" si="7"/>
        <v>133000000</v>
      </c>
    </row>
    <row r="526" spans="2:8" x14ac:dyDescent="0.25">
      <c r="B526" s="135"/>
      <c r="C526" s="89"/>
      <c r="D526" s="89"/>
      <c r="E526" s="90"/>
      <c r="F526" s="72"/>
      <c r="G526" s="9"/>
      <c r="H526" s="74">
        <f t="shared" si="7"/>
        <v>133000000</v>
      </c>
    </row>
    <row r="527" spans="2:8" x14ac:dyDescent="0.25">
      <c r="B527" s="135"/>
      <c r="C527" s="89"/>
      <c r="D527" s="89"/>
      <c r="E527" s="90"/>
      <c r="F527" s="72"/>
      <c r="G527" s="9"/>
      <c r="H527" s="74">
        <f t="shared" si="7"/>
        <v>133000000</v>
      </c>
    </row>
    <row r="528" spans="2:8" x14ac:dyDescent="0.25">
      <c r="B528" s="135"/>
      <c r="C528" s="89"/>
      <c r="D528" s="89"/>
      <c r="E528" s="90"/>
      <c r="F528" s="72"/>
      <c r="G528" s="9"/>
      <c r="H528" s="74">
        <f t="shared" si="7"/>
        <v>133000000</v>
      </c>
    </row>
    <row r="529" spans="2:8" x14ac:dyDescent="0.25">
      <c r="B529" s="135"/>
      <c r="C529" s="89"/>
      <c r="D529" s="89"/>
      <c r="E529" s="90"/>
      <c r="F529" s="72"/>
      <c r="G529" s="9"/>
      <c r="H529" s="74">
        <f t="shared" si="7"/>
        <v>133000000</v>
      </c>
    </row>
    <row r="530" spans="2:8" x14ac:dyDescent="0.25">
      <c r="B530" s="135"/>
      <c r="C530" s="89"/>
      <c r="D530" s="89"/>
      <c r="E530" s="90"/>
      <c r="F530" s="72"/>
      <c r="G530" s="9"/>
      <c r="H530" s="74">
        <f t="shared" ref="H530:H589" si="8">H529+F530-G530</f>
        <v>133000000</v>
      </c>
    </row>
    <row r="531" spans="2:8" x14ac:dyDescent="0.25">
      <c r="B531" s="135"/>
      <c r="C531" s="89"/>
      <c r="D531" s="89"/>
      <c r="E531" s="90"/>
      <c r="F531" s="72"/>
      <c r="G531" s="9"/>
      <c r="H531" s="74">
        <f t="shared" si="8"/>
        <v>133000000</v>
      </c>
    </row>
    <row r="532" spans="2:8" x14ac:dyDescent="0.25">
      <c r="B532" s="135"/>
      <c r="C532" s="89"/>
      <c r="D532" s="89"/>
      <c r="E532" s="90"/>
      <c r="F532" s="72"/>
      <c r="G532" s="9"/>
      <c r="H532" s="74">
        <f t="shared" si="8"/>
        <v>133000000</v>
      </c>
    </row>
    <row r="533" spans="2:8" x14ac:dyDescent="0.25">
      <c r="B533" s="135"/>
      <c r="C533" s="89"/>
      <c r="D533" s="89"/>
      <c r="E533" s="90"/>
      <c r="F533" s="72"/>
      <c r="G533" s="9"/>
      <c r="H533" s="74">
        <f t="shared" si="8"/>
        <v>133000000</v>
      </c>
    </row>
    <row r="534" spans="2:8" x14ac:dyDescent="0.25">
      <c r="B534" s="135"/>
      <c r="C534" s="89"/>
      <c r="D534" s="89"/>
      <c r="E534" s="90"/>
      <c r="F534" s="72"/>
      <c r="G534" s="9"/>
      <c r="H534" s="74">
        <f t="shared" si="8"/>
        <v>133000000</v>
      </c>
    </row>
    <row r="535" spans="2:8" x14ac:dyDescent="0.25">
      <c r="B535" s="135"/>
      <c r="C535" s="89"/>
      <c r="D535" s="89"/>
      <c r="E535" s="90"/>
      <c r="F535" s="72"/>
      <c r="G535" s="9"/>
      <c r="H535" s="74">
        <f t="shared" si="8"/>
        <v>133000000</v>
      </c>
    </row>
    <row r="536" spans="2:8" x14ac:dyDescent="0.25">
      <c r="B536" s="135"/>
      <c r="C536" s="89"/>
      <c r="D536" s="89"/>
      <c r="E536" s="90"/>
      <c r="F536" s="72"/>
      <c r="G536" s="9"/>
      <c r="H536" s="74">
        <f t="shared" si="8"/>
        <v>133000000</v>
      </c>
    </row>
    <row r="537" spans="2:8" x14ac:dyDescent="0.25">
      <c r="B537" s="135"/>
      <c r="C537" s="89"/>
      <c r="D537" s="89"/>
      <c r="E537" s="90"/>
      <c r="F537" s="72"/>
      <c r="G537" s="9"/>
      <c r="H537" s="74">
        <f t="shared" si="8"/>
        <v>133000000</v>
      </c>
    </row>
    <row r="538" spans="2:8" x14ac:dyDescent="0.25">
      <c r="B538" s="135"/>
      <c r="C538" s="89"/>
      <c r="D538" s="89"/>
      <c r="E538" s="90"/>
      <c r="F538" s="72"/>
      <c r="G538" s="9"/>
      <c r="H538" s="74">
        <f t="shared" si="8"/>
        <v>133000000</v>
      </c>
    </row>
    <row r="539" spans="2:8" x14ac:dyDescent="0.25">
      <c r="B539" s="135"/>
      <c r="C539" s="89"/>
      <c r="D539" s="89"/>
      <c r="E539" s="90"/>
      <c r="F539" s="72"/>
      <c r="G539" s="9"/>
      <c r="H539" s="74">
        <f t="shared" si="8"/>
        <v>133000000</v>
      </c>
    </row>
    <row r="540" spans="2:8" x14ac:dyDescent="0.25">
      <c r="B540" s="135"/>
      <c r="C540" s="89"/>
      <c r="D540" s="89"/>
      <c r="E540" s="90"/>
      <c r="F540" s="72"/>
      <c r="G540" s="9"/>
      <c r="H540" s="74">
        <f t="shared" si="8"/>
        <v>133000000</v>
      </c>
    </row>
    <row r="541" spans="2:8" x14ac:dyDescent="0.25">
      <c r="B541" s="135"/>
      <c r="C541" s="89"/>
      <c r="D541" s="89"/>
      <c r="E541" s="90"/>
      <c r="F541" s="72"/>
      <c r="G541" s="9"/>
      <c r="H541" s="74">
        <f t="shared" si="8"/>
        <v>133000000</v>
      </c>
    </row>
    <row r="542" spans="2:8" x14ac:dyDescent="0.25">
      <c r="B542" s="135"/>
      <c r="C542" s="89"/>
      <c r="D542" s="89"/>
      <c r="E542" s="90"/>
      <c r="F542" s="72"/>
      <c r="G542" s="9"/>
      <c r="H542" s="74">
        <f t="shared" si="8"/>
        <v>133000000</v>
      </c>
    </row>
    <row r="543" spans="2:8" x14ac:dyDescent="0.25">
      <c r="B543" s="135"/>
      <c r="C543" s="89"/>
      <c r="D543" s="89"/>
      <c r="E543" s="90"/>
      <c r="F543" s="72"/>
      <c r="G543" s="9"/>
      <c r="H543" s="74">
        <f t="shared" si="8"/>
        <v>133000000</v>
      </c>
    </row>
    <row r="544" spans="2:8" x14ac:dyDescent="0.25">
      <c r="B544" s="135"/>
      <c r="C544" s="89"/>
      <c r="D544" s="89"/>
      <c r="E544" s="90"/>
      <c r="F544" s="72"/>
      <c r="G544" s="9"/>
      <c r="H544" s="74">
        <f t="shared" si="8"/>
        <v>133000000</v>
      </c>
    </row>
    <row r="545" spans="2:8" x14ac:dyDescent="0.25">
      <c r="B545" s="135"/>
      <c r="C545" s="89"/>
      <c r="D545" s="89"/>
      <c r="E545" s="90"/>
      <c r="F545" s="72"/>
      <c r="G545" s="9"/>
      <c r="H545" s="74">
        <f t="shared" si="8"/>
        <v>133000000</v>
      </c>
    </row>
    <row r="546" spans="2:8" x14ac:dyDescent="0.25">
      <c r="B546" s="135"/>
      <c r="C546" s="89"/>
      <c r="D546" s="89"/>
      <c r="E546" s="90"/>
      <c r="F546" s="72"/>
      <c r="G546" s="9"/>
      <c r="H546" s="74">
        <f t="shared" si="8"/>
        <v>133000000</v>
      </c>
    </row>
    <row r="547" spans="2:8" x14ac:dyDescent="0.25">
      <c r="B547" s="135"/>
      <c r="C547" s="89"/>
      <c r="D547" s="89"/>
      <c r="E547" s="90"/>
      <c r="F547" s="72"/>
      <c r="G547" s="9"/>
      <c r="H547" s="74">
        <f t="shared" si="8"/>
        <v>133000000</v>
      </c>
    </row>
    <row r="548" spans="2:8" x14ac:dyDescent="0.25">
      <c r="B548" s="135"/>
      <c r="C548" s="89"/>
      <c r="D548" s="89"/>
      <c r="E548" s="90"/>
      <c r="F548" s="72"/>
      <c r="G548" s="9"/>
      <c r="H548" s="74">
        <f t="shared" si="8"/>
        <v>133000000</v>
      </c>
    </row>
    <row r="549" spans="2:8" x14ac:dyDescent="0.25">
      <c r="B549" s="135"/>
      <c r="C549" s="89"/>
      <c r="D549" s="89"/>
      <c r="E549" s="90"/>
      <c r="F549" s="72"/>
      <c r="G549" s="9"/>
      <c r="H549" s="74">
        <f t="shared" si="8"/>
        <v>133000000</v>
      </c>
    </row>
    <row r="550" spans="2:8" x14ac:dyDescent="0.25">
      <c r="B550" s="135"/>
      <c r="C550" s="89"/>
      <c r="D550" s="89"/>
      <c r="E550" s="90"/>
      <c r="F550" s="72"/>
      <c r="G550" s="9"/>
      <c r="H550" s="74">
        <f t="shared" si="8"/>
        <v>133000000</v>
      </c>
    </row>
    <row r="551" spans="2:8" x14ac:dyDescent="0.25">
      <c r="B551" s="135"/>
      <c r="C551" s="89"/>
      <c r="D551" s="89"/>
      <c r="E551" s="90"/>
      <c r="F551" s="72"/>
      <c r="G551" s="9"/>
      <c r="H551" s="74">
        <f t="shared" si="8"/>
        <v>133000000</v>
      </c>
    </row>
    <row r="552" spans="2:8" x14ac:dyDescent="0.25">
      <c r="B552" s="135"/>
      <c r="C552" s="89"/>
      <c r="D552" s="89"/>
      <c r="E552" s="90"/>
      <c r="F552" s="72"/>
      <c r="G552" s="9"/>
      <c r="H552" s="74">
        <f t="shared" si="8"/>
        <v>133000000</v>
      </c>
    </row>
    <row r="553" spans="2:8" x14ac:dyDescent="0.25">
      <c r="B553" s="135"/>
      <c r="C553" s="89"/>
      <c r="D553" s="89"/>
      <c r="E553" s="90"/>
      <c r="F553" s="72"/>
      <c r="G553" s="9"/>
      <c r="H553" s="74">
        <f t="shared" si="8"/>
        <v>133000000</v>
      </c>
    </row>
    <row r="554" spans="2:8" x14ac:dyDescent="0.25">
      <c r="B554" s="135"/>
      <c r="C554" s="89"/>
      <c r="D554" s="89"/>
      <c r="E554" s="90"/>
      <c r="F554" s="72"/>
      <c r="G554" s="9"/>
      <c r="H554" s="74">
        <f t="shared" si="8"/>
        <v>133000000</v>
      </c>
    </row>
    <row r="555" spans="2:8" x14ac:dyDescent="0.25">
      <c r="B555" s="135"/>
      <c r="C555" s="89"/>
      <c r="D555" s="89"/>
      <c r="E555" s="90"/>
      <c r="F555" s="72"/>
      <c r="G555" s="9"/>
      <c r="H555" s="74">
        <f t="shared" si="8"/>
        <v>133000000</v>
      </c>
    </row>
    <row r="556" spans="2:8" x14ac:dyDescent="0.25">
      <c r="B556" s="135"/>
      <c r="C556" s="89"/>
      <c r="D556" s="89"/>
      <c r="E556" s="90"/>
      <c r="F556" s="72"/>
      <c r="G556" s="9"/>
      <c r="H556" s="74">
        <f t="shared" si="8"/>
        <v>133000000</v>
      </c>
    </row>
    <row r="557" spans="2:8" x14ac:dyDescent="0.25">
      <c r="B557" s="135"/>
      <c r="C557" s="89"/>
      <c r="D557" s="89"/>
      <c r="E557" s="90"/>
      <c r="F557" s="72"/>
      <c r="G557" s="9"/>
      <c r="H557" s="74">
        <f t="shared" si="8"/>
        <v>133000000</v>
      </c>
    </row>
    <row r="558" spans="2:8" x14ac:dyDescent="0.25">
      <c r="B558" s="135"/>
      <c r="C558" s="89"/>
      <c r="D558" s="89"/>
      <c r="E558" s="90"/>
      <c r="F558" s="72"/>
      <c r="G558" s="9"/>
      <c r="H558" s="74">
        <f t="shared" si="8"/>
        <v>133000000</v>
      </c>
    </row>
    <row r="559" spans="2:8" x14ac:dyDescent="0.25">
      <c r="B559" s="135"/>
      <c r="C559" s="89"/>
      <c r="D559" s="89"/>
      <c r="E559" s="90"/>
      <c r="F559" s="72"/>
      <c r="G559" s="9"/>
      <c r="H559" s="74">
        <f t="shared" si="8"/>
        <v>133000000</v>
      </c>
    </row>
    <row r="560" spans="2:8" x14ac:dyDescent="0.25">
      <c r="B560" s="135"/>
      <c r="C560" s="89"/>
      <c r="D560" s="89"/>
      <c r="E560" s="90"/>
      <c r="F560" s="72"/>
      <c r="G560" s="9"/>
      <c r="H560" s="74">
        <f t="shared" si="8"/>
        <v>133000000</v>
      </c>
    </row>
    <row r="561" spans="2:8" x14ac:dyDescent="0.25">
      <c r="B561" s="135"/>
      <c r="C561" s="89"/>
      <c r="D561" s="89"/>
      <c r="E561" s="90"/>
      <c r="F561" s="72"/>
      <c r="G561" s="9"/>
      <c r="H561" s="74">
        <f t="shared" si="8"/>
        <v>133000000</v>
      </c>
    </row>
    <row r="562" spans="2:8" x14ac:dyDescent="0.25">
      <c r="B562" s="135"/>
      <c r="C562" s="89"/>
      <c r="D562" s="89"/>
      <c r="E562" s="90"/>
      <c r="F562" s="72"/>
      <c r="G562" s="9"/>
      <c r="H562" s="74">
        <f t="shared" si="8"/>
        <v>133000000</v>
      </c>
    </row>
    <row r="563" spans="2:8" x14ac:dyDescent="0.25">
      <c r="B563" s="135"/>
      <c r="C563" s="89"/>
      <c r="D563" s="89"/>
      <c r="E563" s="90"/>
      <c r="F563" s="72"/>
      <c r="G563" s="9"/>
      <c r="H563" s="74">
        <f t="shared" si="8"/>
        <v>133000000</v>
      </c>
    </row>
    <row r="564" spans="2:8" x14ac:dyDescent="0.25">
      <c r="B564" s="135"/>
      <c r="C564" s="89"/>
      <c r="D564" s="89"/>
      <c r="E564" s="90"/>
      <c r="F564" s="72"/>
      <c r="G564" s="9"/>
      <c r="H564" s="74">
        <f t="shared" si="8"/>
        <v>133000000</v>
      </c>
    </row>
    <row r="565" spans="2:8" x14ac:dyDescent="0.25">
      <c r="B565" s="135"/>
      <c r="C565" s="89"/>
      <c r="D565" s="89"/>
      <c r="E565" s="90"/>
      <c r="F565" s="72"/>
      <c r="G565" s="9"/>
      <c r="H565" s="74">
        <f t="shared" si="8"/>
        <v>133000000</v>
      </c>
    </row>
    <row r="566" spans="2:8" x14ac:dyDescent="0.25">
      <c r="B566" s="135"/>
      <c r="C566" s="89"/>
      <c r="D566" s="89"/>
      <c r="E566" s="90"/>
      <c r="F566" s="72"/>
      <c r="G566" s="9"/>
      <c r="H566" s="74">
        <f t="shared" si="8"/>
        <v>133000000</v>
      </c>
    </row>
    <row r="567" spans="2:8" x14ac:dyDescent="0.25">
      <c r="B567" s="135"/>
      <c r="C567" s="89"/>
      <c r="D567" s="89"/>
      <c r="E567" s="90"/>
      <c r="F567" s="72"/>
      <c r="G567" s="9"/>
      <c r="H567" s="74">
        <f t="shared" si="8"/>
        <v>133000000</v>
      </c>
    </row>
    <row r="568" spans="2:8" x14ac:dyDescent="0.25">
      <c r="B568" s="135"/>
      <c r="C568" s="89"/>
      <c r="D568" s="89"/>
      <c r="E568" s="90"/>
      <c r="F568" s="72"/>
      <c r="G568" s="9"/>
      <c r="H568" s="74">
        <f t="shared" si="8"/>
        <v>133000000</v>
      </c>
    </row>
    <row r="569" spans="2:8" x14ac:dyDescent="0.25">
      <c r="B569" s="135"/>
      <c r="C569" s="89"/>
      <c r="D569" s="89"/>
      <c r="E569" s="90"/>
      <c r="F569" s="72"/>
      <c r="G569" s="9"/>
      <c r="H569" s="74">
        <f t="shared" si="8"/>
        <v>133000000</v>
      </c>
    </row>
    <row r="570" spans="2:8" x14ac:dyDescent="0.25">
      <c r="B570" s="135"/>
      <c r="C570" s="89"/>
      <c r="D570" s="89"/>
      <c r="E570" s="90"/>
      <c r="F570" s="72"/>
      <c r="G570" s="9"/>
      <c r="H570" s="74">
        <f t="shared" si="8"/>
        <v>133000000</v>
      </c>
    </row>
    <row r="571" spans="2:8" x14ac:dyDescent="0.25">
      <c r="B571" s="135"/>
      <c r="C571" s="89"/>
      <c r="D571" s="89"/>
      <c r="E571" s="90"/>
      <c r="F571" s="72"/>
      <c r="G571" s="9"/>
      <c r="H571" s="74">
        <f t="shared" si="8"/>
        <v>133000000</v>
      </c>
    </row>
    <row r="572" spans="2:8" x14ac:dyDescent="0.25">
      <c r="B572" s="135"/>
      <c r="C572" s="89"/>
      <c r="D572" s="89"/>
      <c r="E572" s="90"/>
      <c r="F572" s="72"/>
      <c r="G572" s="9"/>
      <c r="H572" s="74">
        <f t="shared" si="8"/>
        <v>133000000</v>
      </c>
    </row>
    <row r="573" spans="2:8" x14ac:dyDescent="0.25">
      <c r="B573" s="135"/>
      <c r="C573" s="89"/>
      <c r="D573" s="89"/>
      <c r="E573" s="90"/>
      <c r="F573" s="72"/>
      <c r="G573" s="9"/>
      <c r="H573" s="74">
        <f t="shared" si="8"/>
        <v>133000000</v>
      </c>
    </row>
    <row r="574" spans="2:8" x14ac:dyDescent="0.25">
      <c r="B574" s="135"/>
      <c r="C574" s="89"/>
      <c r="D574" s="89"/>
      <c r="E574" s="90"/>
      <c r="F574" s="72"/>
      <c r="G574" s="9"/>
      <c r="H574" s="74">
        <f t="shared" si="8"/>
        <v>133000000</v>
      </c>
    </row>
    <row r="575" spans="2:8" x14ac:dyDescent="0.25">
      <c r="B575" s="135"/>
      <c r="C575" s="89"/>
      <c r="D575" s="89"/>
      <c r="E575" s="90"/>
      <c r="F575" s="72"/>
      <c r="G575" s="9"/>
      <c r="H575" s="74">
        <f t="shared" si="8"/>
        <v>133000000</v>
      </c>
    </row>
    <row r="576" spans="2:8" x14ac:dyDescent="0.25">
      <c r="B576" s="135"/>
      <c r="C576" s="89"/>
      <c r="D576" s="89"/>
      <c r="E576" s="90"/>
      <c r="F576" s="72"/>
      <c r="G576" s="9"/>
      <c r="H576" s="74">
        <f t="shared" si="8"/>
        <v>133000000</v>
      </c>
    </row>
    <row r="577" spans="2:8" x14ac:dyDescent="0.25">
      <c r="B577" s="135"/>
      <c r="C577" s="89"/>
      <c r="D577" s="89"/>
      <c r="E577" s="90"/>
      <c r="F577" s="72"/>
      <c r="G577" s="9"/>
      <c r="H577" s="74">
        <f t="shared" si="8"/>
        <v>133000000</v>
      </c>
    </row>
    <row r="578" spans="2:8" x14ac:dyDescent="0.25">
      <c r="B578" s="135"/>
      <c r="C578" s="89"/>
      <c r="D578" s="89"/>
      <c r="E578" s="90"/>
      <c r="F578" s="72"/>
      <c r="G578" s="9"/>
      <c r="H578" s="74">
        <f t="shared" si="8"/>
        <v>133000000</v>
      </c>
    </row>
    <row r="579" spans="2:8" x14ac:dyDescent="0.25">
      <c r="B579" s="135"/>
      <c r="C579" s="89"/>
      <c r="D579" s="89"/>
      <c r="E579" s="90"/>
      <c r="F579" s="72"/>
      <c r="G579" s="9"/>
      <c r="H579" s="74">
        <f t="shared" si="8"/>
        <v>133000000</v>
      </c>
    </row>
    <row r="580" spans="2:8" x14ac:dyDescent="0.25">
      <c r="B580" s="135"/>
      <c r="C580" s="89"/>
      <c r="D580" s="89"/>
      <c r="E580" s="90"/>
      <c r="F580" s="72"/>
      <c r="G580" s="9"/>
      <c r="H580" s="74">
        <f t="shared" si="8"/>
        <v>133000000</v>
      </c>
    </row>
    <row r="581" spans="2:8" x14ac:dyDescent="0.25">
      <c r="B581" s="135"/>
      <c r="C581" s="89"/>
      <c r="D581" s="89"/>
      <c r="E581" s="90"/>
      <c r="F581" s="72"/>
      <c r="G581" s="9"/>
      <c r="H581" s="74">
        <f t="shared" si="8"/>
        <v>133000000</v>
      </c>
    </row>
    <row r="582" spans="2:8" x14ac:dyDescent="0.25">
      <c r="B582" s="135"/>
      <c r="C582" s="89"/>
      <c r="D582" s="89"/>
      <c r="E582" s="90"/>
      <c r="F582" s="72"/>
      <c r="G582" s="9"/>
      <c r="H582" s="74">
        <f t="shared" si="8"/>
        <v>133000000</v>
      </c>
    </row>
    <row r="583" spans="2:8" x14ac:dyDescent="0.25">
      <c r="B583" s="135"/>
      <c r="C583" s="89"/>
      <c r="D583" s="89"/>
      <c r="E583" s="90"/>
      <c r="F583" s="72"/>
      <c r="G583" s="9"/>
      <c r="H583" s="74">
        <f t="shared" si="8"/>
        <v>133000000</v>
      </c>
    </row>
    <row r="584" spans="2:8" x14ac:dyDescent="0.25">
      <c r="B584" s="135"/>
      <c r="C584" s="89"/>
      <c r="D584" s="89"/>
      <c r="E584" s="90"/>
      <c r="F584" s="72"/>
      <c r="G584" s="9"/>
      <c r="H584" s="74">
        <f t="shared" si="8"/>
        <v>133000000</v>
      </c>
    </row>
    <row r="585" spans="2:8" x14ac:dyDescent="0.25">
      <c r="B585" s="135"/>
      <c r="C585" s="89"/>
      <c r="D585" s="89"/>
      <c r="E585" s="90"/>
      <c r="F585" s="72"/>
      <c r="G585" s="9"/>
      <c r="H585" s="74">
        <f t="shared" si="8"/>
        <v>133000000</v>
      </c>
    </row>
    <row r="586" spans="2:8" x14ac:dyDescent="0.25">
      <c r="B586" s="135"/>
      <c r="C586" s="89"/>
      <c r="D586" s="89"/>
      <c r="E586" s="90"/>
      <c r="F586" s="72"/>
      <c r="G586" s="9"/>
      <c r="H586" s="74">
        <f t="shared" si="8"/>
        <v>133000000</v>
      </c>
    </row>
    <row r="587" spans="2:8" x14ac:dyDescent="0.25">
      <c r="B587" s="135"/>
      <c r="C587" s="89"/>
      <c r="D587" s="89"/>
      <c r="E587" s="90"/>
      <c r="F587" s="72"/>
      <c r="G587" s="9"/>
      <c r="H587" s="74">
        <f t="shared" si="8"/>
        <v>133000000</v>
      </c>
    </row>
    <row r="588" spans="2:8" x14ac:dyDescent="0.25">
      <c r="B588" s="135"/>
      <c r="C588" s="89"/>
      <c r="D588" s="89"/>
      <c r="E588" s="90"/>
      <c r="F588" s="72"/>
      <c r="G588" s="9"/>
      <c r="H588" s="74">
        <f t="shared" si="8"/>
        <v>133000000</v>
      </c>
    </row>
    <row r="589" spans="2:8" ht="10" thickBot="1" x14ac:dyDescent="0.3">
      <c r="B589" s="135"/>
      <c r="C589" s="89"/>
      <c r="D589" s="89"/>
      <c r="E589" s="90"/>
      <c r="F589" s="96"/>
      <c r="G589" s="97"/>
      <c r="H589" s="74">
        <f t="shared" si="8"/>
        <v>133000000</v>
      </c>
    </row>
    <row r="590" spans="2:8" ht="10" thickBot="1" x14ac:dyDescent="0.3">
      <c r="B590" s="136"/>
      <c r="C590" s="94"/>
      <c r="D590" s="94"/>
      <c r="E590" s="95"/>
      <c r="F590" s="99">
        <f>SUM(F12:F589)</f>
        <v>133000000</v>
      </c>
      <c r="G590" s="100">
        <f>SUM(G12:G589)</f>
        <v>0</v>
      </c>
      <c r="H590" s="101"/>
    </row>
    <row r="591" spans="2:8" x14ac:dyDescent="0.25">
      <c r="G591" s="8"/>
      <c r="H591" s="8"/>
    </row>
    <row r="592" spans="2:8" x14ac:dyDescent="0.25">
      <c r="G592" s="8"/>
      <c r="H592" s="8"/>
    </row>
  </sheetData>
  <mergeCells count="7">
    <mergeCell ref="G12:G13"/>
    <mergeCell ref="H12:H13"/>
    <mergeCell ref="B12:B13"/>
    <mergeCell ref="C12:C13"/>
    <mergeCell ref="D12:D13"/>
    <mergeCell ref="E12:E13"/>
    <mergeCell ref="F12:F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38"/>
  <sheetViews>
    <sheetView workbookViewId="0">
      <selection sqref="A1:XFD1048576"/>
    </sheetView>
  </sheetViews>
  <sheetFormatPr defaultColWidth="11.453125" defaultRowHeight="9.5" x14ac:dyDescent="0.25"/>
  <cols>
    <col min="1" max="1" width="2.453125" style="4" customWidth="1"/>
    <col min="2" max="2" width="6.81640625" style="4" bestFit="1" customWidth="1"/>
    <col min="3" max="3" width="25.1796875" style="254" customWidth="1"/>
    <col min="4" max="4" width="17.6328125" style="4" customWidth="1"/>
    <col min="5" max="5" width="11.6328125" style="254" customWidth="1"/>
    <col min="6" max="6" width="9.08984375" style="4" customWidth="1"/>
    <col min="7" max="7" width="17.26953125" style="4" customWidth="1"/>
    <col min="8" max="8" width="9.81640625" style="4" bestFit="1" customWidth="1"/>
    <col min="9" max="16384" width="11.453125" style="4"/>
  </cols>
  <sheetData>
    <row r="1" spans="2:8" x14ac:dyDescent="0.25">
      <c r="B1" s="1"/>
      <c r="C1" s="251"/>
      <c r="D1" s="1"/>
      <c r="E1" s="251"/>
      <c r="F1" s="1"/>
      <c r="G1" s="2"/>
      <c r="H1" s="2"/>
    </row>
    <row r="2" spans="2:8" x14ac:dyDescent="0.25">
      <c r="B2" s="1"/>
      <c r="C2" s="251"/>
      <c r="D2" s="1"/>
      <c r="E2" s="251"/>
      <c r="F2" s="1"/>
      <c r="G2" s="2"/>
      <c r="H2" s="2"/>
    </row>
    <row r="3" spans="2:8" x14ac:dyDescent="0.25">
      <c r="B3" s="1"/>
      <c r="C3" s="251"/>
      <c r="D3" s="1"/>
      <c r="E3" s="251"/>
      <c r="F3" s="1"/>
      <c r="G3" s="2"/>
      <c r="H3" s="2"/>
    </row>
    <row r="4" spans="2:8" x14ac:dyDescent="0.25">
      <c r="B4" s="1"/>
      <c r="C4" s="251"/>
      <c r="D4" s="1"/>
      <c r="E4" s="251"/>
      <c r="F4" s="1"/>
      <c r="G4" s="2"/>
      <c r="H4" s="2"/>
    </row>
    <row r="5" spans="2:8" x14ac:dyDescent="0.25">
      <c r="B5" s="1"/>
      <c r="C5" s="251"/>
      <c r="D5" s="1"/>
      <c r="E5" s="251"/>
      <c r="F5" s="1"/>
      <c r="G5" s="2"/>
      <c r="H5" s="2"/>
    </row>
    <row r="6" spans="2:8" x14ac:dyDescent="0.25">
      <c r="B6" s="1"/>
      <c r="C6" s="251"/>
      <c r="D6" s="1"/>
      <c r="E6" s="251"/>
      <c r="F6" s="1"/>
      <c r="G6" s="2"/>
      <c r="H6" s="2"/>
    </row>
    <row r="7" spans="2:8" x14ac:dyDescent="0.25">
      <c r="B7" s="1"/>
      <c r="C7" s="251"/>
      <c r="D7" s="1"/>
      <c r="E7" s="251"/>
      <c r="F7" s="1"/>
      <c r="G7" s="2"/>
      <c r="H7" s="2"/>
    </row>
    <row r="8" spans="2:8" x14ac:dyDescent="0.25">
      <c r="B8" s="1"/>
      <c r="C8" s="251"/>
      <c r="D8" s="1"/>
      <c r="E8" s="251"/>
      <c r="F8" s="1"/>
      <c r="G8" s="2"/>
      <c r="H8" s="2"/>
    </row>
    <row r="9" spans="2:8" x14ac:dyDescent="0.25">
      <c r="B9" s="1"/>
      <c r="C9" s="251"/>
      <c r="D9" s="1"/>
      <c r="E9" s="251"/>
      <c r="F9" s="1"/>
      <c r="G9" s="2"/>
      <c r="H9" s="2"/>
    </row>
    <row r="10" spans="2:8" x14ac:dyDescent="0.25">
      <c r="B10" s="76" t="s">
        <v>25</v>
      </c>
      <c r="C10" s="260"/>
      <c r="D10" s="1"/>
      <c r="E10" s="251"/>
      <c r="F10" s="1"/>
      <c r="G10" s="2"/>
      <c r="H10" s="2"/>
    </row>
    <row r="11" spans="2:8" ht="10" thickBot="1" x14ac:dyDescent="0.3">
      <c r="B11" s="1"/>
      <c r="C11" s="251"/>
      <c r="D11" s="1"/>
      <c r="E11" s="251"/>
      <c r="F11" s="1"/>
      <c r="G11" s="2"/>
      <c r="H11" s="2"/>
    </row>
    <row r="12" spans="2:8" s="6" customFormat="1" ht="7.5" customHeight="1" x14ac:dyDescent="0.35">
      <c r="B12" s="305" t="s">
        <v>26</v>
      </c>
      <c r="C12" s="299" t="s">
        <v>22</v>
      </c>
      <c r="D12" s="299" t="s">
        <v>27</v>
      </c>
      <c r="E12" s="307" t="s">
        <v>38</v>
      </c>
      <c r="F12" s="301" t="s">
        <v>23</v>
      </c>
      <c r="G12" s="303" t="s">
        <v>20</v>
      </c>
      <c r="H12" s="297" t="s">
        <v>21</v>
      </c>
    </row>
    <row r="13" spans="2:8" s="6" customFormat="1" ht="10" thickBot="1" x14ac:dyDescent="0.4">
      <c r="B13" s="306"/>
      <c r="C13" s="300"/>
      <c r="D13" s="300"/>
      <c r="E13" s="308"/>
      <c r="F13" s="302"/>
      <c r="G13" s="304"/>
      <c r="H13" s="298"/>
    </row>
    <row r="14" spans="2:8" s="119" customFormat="1" x14ac:dyDescent="0.35">
      <c r="B14" s="107"/>
      <c r="C14" s="132"/>
      <c r="D14" s="108"/>
      <c r="E14" s="250"/>
      <c r="F14" s="128" t="s">
        <v>19</v>
      </c>
      <c r="G14" s="130" t="s">
        <v>19</v>
      </c>
      <c r="H14" s="110" t="s">
        <v>19</v>
      </c>
    </row>
    <row r="15" spans="2:8" x14ac:dyDescent="0.25">
      <c r="B15" s="88">
        <v>44829</v>
      </c>
      <c r="C15" s="132" t="s">
        <v>185</v>
      </c>
      <c r="D15" s="108"/>
      <c r="E15" s="149"/>
      <c r="F15" s="128">
        <v>0</v>
      </c>
      <c r="G15" s="131">
        <v>3590000</v>
      </c>
      <c r="H15" s="131">
        <v>-3590000</v>
      </c>
    </row>
    <row r="16" spans="2:8" x14ac:dyDescent="0.25">
      <c r="B16" s="88">
        <v>44839</v>
      </c>
      <c r="C16" s="132" t="s">
        <v>186</v>
      </c>
      <c r="D16" s="108"/>
      <c r="E16" s="149" t="s">
        <v>313</v>
      </c>
      <c r="F16" s="128">
        <v>0</v>
      </c>
      <c r="G16" s="131">
        <v>10000000</v>
      </c>
      <c r="H16" s="74">
        <f t="shared" ref="H16:H35" si="0">H15+F16-G16</f>
        <v>-13590000</v>
      </c>
    </row>
    <row r="17" spans="2:8" x14ac:dyDescent="0.25">
      <c r="B17" s="88">
        <v>44858</v>
      </c>
      <c r="C17" s="132" t="s">
        <v>191</v>
      </c>
      <c r="D17" s="108"/>
      <c r="E17" s="149"/>
      <c r="F17" s="128">
        <v>0</v>
      </c>
      <c r="G17" s="131">
        <v>150000</v>
      </c>
      <c r="H17" s="74">
        <f t="shared" si="0"/>
        <v>-13740000</v>
      </c>
    </row>
    <row r="18" spans="2:8" x14ac:dyDescent="0.25">
      <c r="B18" s="88">
        <v>44858</v>
      </c>
      <c r="C18" s="132" t="s">
        <v>192</v>
      </c>
      <c r="D18" s="108"/>
      <c r="E18" s="149"/>
      <c r="F18" s="128">
        <v>0</v>
      </c>
      <c r="G18" s="131">
        <v>150000</v>
      </c>
      <c r="H18" s="74">
        <f t="shared" si="0"/>
        <v>-13890000</v>
      </c>
    </row>
    <row r="19" spans="2:8" x14ac:dyDescent="0.25">
      <c r="B19" s="88"/>
      <c r="C19" s="132" t="s">
        <v>246</v>
      </c>
      <c r="D19" s="108"/>
      <c r="E19" s="149"/>
      <c r="F19" s="128">
        <v>0</v>
      </c>
      <c r="G19" s="131">
        <v>50000</v>
      </c>
      <c r="H19" s="74">
        <f t="shared" si="0"/>
        <v>-13940000</v>
      </c>
    </row>
    <row r="20" spans="2:8" x14ac:dyDescent="0.25">
      <c r="B20" s="88">
        <v>44887</v>
      </c>
      <c r="C20" s="132" t="s">
        <v>343</v>
      </c>
      <c r="D20" s="108"/>
      <c r="E20" s="149"/>
      <c r="F20" s="128">
        <v>0</v>
      </c>
      <c r="G20" s="131">
        <v>300000</v>
      </c>
      <c r="H20" s="74">
        <f t="shared" si="0"/>
        <v>-14240000</v>
      </c>
    </row>
    <row r="21" spans="2:8" x14ac:dyDescent="0.25">
      <c r="B21" s="88">
        <v>44887</v>
      </c>
      <c r="C21" s="132" t="s">
        <v>298</v>
      </c>
      <c r="D21" s="108"/>
      <c r="E21" s="149"/>
      <c r="F21" s="128">
        <v>0</v>
      </c>
      <c r="G21" s="131">
        <v>150000</v>
      </c>
      <c r="H21" s="74">
        <f t="shared" si="0"/>
        <v>-14390000</v>
      </c>
    </row>
    <row r="22" spans="2:8" x14ac:dyDescent="0.25">
      <c r="B22" s="88">
        <v>44887</v>
      </c>
      <c r="C22" s="132" t="s">
        <v>297</v>
      </c>
      <c r="D22" s="108"/>
      <c r="E22" s="149"/>
      <c r="F22" s="128">
        <v>0</v>
      </c>
      <c r="G22" s="131">
        <v>150000</v>
      </c>
      <c r="H22" s="74">
        <f t="shared" si="0"/>
        <v>-14540000</v>
      </c>
    </row>
    <row r="23" spans="2:8" x14ac:dyDescent="0.25">
      <c r="B23" s="88">
        <v>44887</v>
      </c>
      <c r="C23" s="132" t="s">
        <v>295</v>
      </c>
      <c r="D23" s="108"/>
      <c r="E23" s="149"/>
      <c r="F23" s="128">
        <v>0</v>
      </c>
      <c r="G23" s="131">
        <v>300000</v>
      </c>
      <c r="H23" s="74">
        <f t="shared" si="0"/>
        <v>-14840000</v>
      </c>
    </row>
    <row r="24" spans="2:8" x14ac:dyDescent="0.25">
      <c r="B24" s="88">
        <v>44887</v>
      </c>
      <c r="C24" s="132" t="s">
        <v>296</v>
      </c>
      <c r="D24" s="108"/>
      <c r="E24" s="149"/>
      <c r="F24" s="128">
        <v>0</v>
      </c>
      <c r="G24" s="131">
        <v>300000</v>
      </c>
      <c r="H24" s="74">
        <f t="shared" si="0"/>
        <v>-15140000</v>
      </c>
    </row>
    <row r="25" spans="2:8" x14ac:dyDescent="0.25">
      <c r="B25" s="88">
        <v>44887</v>
      </c>
      <c r="C25" s="132" t="s">
        <v>315</v>
      </c>
      <c r="D25" s="108"/>
      <c r="E25" s="149"/>
      <c r="F25" s="128">
        <v>0</v>
      </c>
      <c r="G25" s="131">
        <v>10000000</v>
      </c>
      <c r="H25" s="74">
        <f t="shared" si="0"/>
        <v>-25140000</v>
      </c>
    </row>
    <row r="26" spans="2:8" x14ac:dyDescent="0.25">
      <c r="B26" s="88">
        <v>44887</v>
      </c>
      <c r="C26" s="132" t="s">
        <v>316</v>
      </c>
      <c r="D26" s="108"/>
      <c r="E26" s="149" t="s">
        <v>317</v>
      </c>
      <c r="F26" s="128">
        <v>0</v>
      </c>
      <c r="G26" s="131">
        <v>200000</v>
      </c>
      <c r="H26" s="74">
        <f t="shared" si="0"/>
        <v>-25340000</v>
      </c>
    </row>
    <row r="27" spans="2:8" x14ac:dyDescent="0.25">
      <c r="B27" s="88">
        <v>44896</v>
      </c>
      <c r="C27" s="132" t="s">
        <v>327</v>
      </c>
      <c r="D27" s="255">
        <v>2500</v>
      </c>
      <c r="E27" s="149" t="s">
        <v>328</v>
      </c>
      <c r="F27" s="128">
        <v>0</v>
      </c>
      <c r="G27" s="131">
        <v>1875000</v>
      </c>
      <c r="H27" s="74">
        <f t="shared" si="0"/>
        <v>-27215000</v>
      </c>
    </row>
    <row r="28" spans="2:8" x14ac:dyDescent="0.25">
      <c r="B28" s="88">
        <v>44901</v>
      </c>
      <c r="C28" s="259" t="s">
        <v>357</v>
      </c>
      <c r="D28" s="89"/>
      <c r="E28" s="252"/>
      <c r="F28" s="72"/>
      <c r="G28" s="9">
        <v>25000</v>
      </c>
      <c r="H28" s="74">
        <f t="shared" si="0"/>
        <v>-27240000</v>
      </c>
    </row>
    <row r="29" spans="2:8" x14ac:dyDescent="0.25">
      <c r="B29" s="88">
        <v>44908</v>
      </c>
      <c r="C29" s="259" t="s">
        <v>367</v>
      </c>
      <c r="D29" s="89"/>
      <c r="E29" s="252" t="s">
        <v>368</v>
      </c>
      <c r="F29" s="72"/>
      <c r="G29" s="9">
        <v>2205000</v>
      </c>
      <c r="H29" s="74">
        <f t="shared" si="0"/>
        <v>-29445000</v>
      </c>
    </row>
    <row r="30" spans="2:8" x14ac:dyDescent="0.25">
      <c r="B30" s="88">
        <v>44909</v>
      </c>
      <c r="C30" s="259" t="s">
        <v>390</v>
      </c>
      <c r="D30" s="89"/>
      <c r="E30" s="252" t="s">
        <v>391</v>
      </c>
      <c r="F30" s="72"/>
      <c r="G30" s="9">
        <v>3352500</v>
      </c>
      <c r="H30" s="74">
        <f t="shared" si="0"/>
        <v>-32797500</v>
      </c>
    </row>
    <row r="31" spans="2:8" x14ac:dyDescent="0.25">
      <c r="B31" s="88">
        <v>44909</v>
      </c>
      <c r="C31" s="259" t="s">
        <v>396</v>
      </c>
      <c r="D31" s="89"/>
      <c r="E31" s="252"/>
      <c r="F31" s="72"/>
      <c r="G31" s="9">
        <v>600000</v>
      </c>
      <c r="H31" s="74">
        <f t="shared" si="0"/>
        <v>-33397500</v>
      </c>
    </row>
    <row r="32" spans="2:8" x14ac:dyDescent="0.25">
      <c r="B32" s="88">
        <v>44909</v>
      </c>
      <c r="C32" s="259" t="s">
        <v>398</v>
      </c>
      <c r="D32" s="89"/>
      <c r="E32" s="252"/>
      <c r="F32" s="72"/>
      <c r="G32" s="9">
        <v>450000</v>
      </c>
      <c r="H32" s="74">
        <f t="shared" si="0"/>
        <v>-33847500</v>
      </c>
    </row>
    <row r="33" spans="2:8" x14ac:dyDescent="0.25">
      <c r="B33" s="88"/>
      <c r="C33" s="259"/>
      <c r="D33" s="89"/>
      <c r="E33" s="252"/>
      <c r="F33" s="72"/>
      <c r="G33" s="9">
        <v>0</v>
      </c>
      <c r="H33" s="74">
        <f t="shared" si="0"/>
        <v>-33847500</v>
      </c>
    </row>
    <row r="34" spans="2:8" x14ac:dyDescent="0.25">
      <c r="B34" s="88">
        <v>44914</v>
      </c>
      <c r="C34" s="259" t="s">
        <v>394</v>
      </c>
      <c r="D34" s="89"/>
      <c r="E34" s="252"/>
      <c r="F34" s="72"/>
      <c r="G34" s="9">
        <v>1000000</v>
      </c>
      <c r="H34" s="74">
        <f t="shared" si="0"/>
        <v>-34847500</v>
      </c>
    </row>
    <row r="35" spans="2:8" ht="10" thickBot="1" x14ac:dyDescent="0.3">
      <c r="B35" s="88"/>
      <c r="C35" s="259"/>
      <c r="D35" s="89"/>
      <c r="E35" s="252"/>
      <c r="F35" s="72"/>
      <c r="G35" s="9">
        <v>0</v>
      </c>
      <c r="H35" s="74">
        <f t="shared" si="0"/>
        <v>-34847500</v>
      </c>
    </row>
    <row r="36" spans="2:8" ht="10" thickBot="1" x14ac:dyDescent="0.3">
      <c r="B36" s="93"/>
      <c r="C36" s="261"/>
      <c r="D36" s="94"/>
      <c r="E36" s="253"/>
      <c r="F36" s="99">
        <f>SUM(F12:F35)</f>
        <v>0</v>
      </c>
      <c r="G36" s="100">
        <f>SUM(G12:G35)</f>
        <v>34847500</v>
      </c>
      <c r="H36" s="101"/>
    </row>
    <row r="37" spans="2:8" x14ac:dyDescent="0.25">
      <c r="G37" s="8"/>
      <c r="H37" s="8"/>
    </row>
    <row r="38" spans="2:8" x14ac:dyDescent="0.25">
      <c r="G38" s="8"/>
      <c r="H38" s="8"/>
    </row>
  </sheetData>
  <mergeCells count="7">
    <mergeCell ref="G12:G13"/>
    <mergeCell ref="H12:H13"/>
    <mergeCell ref="B12:B13"/>
    <mergeCell ref="C12:C13"/>
    <mergeCell ref="D12:D13"/>
    <mergeCell ref="E12:E13"/>
    <mergeCell ref="F12:F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592"/>
  <sheetViews>
    <sheetView topLeftCell="A2" zoomScale="108" zoomScaleNormal="108" workbookViewId="0">
      <pane xSplit="9" ySplit="14" topLeftCell="AJ25" activePane="bottomRight" state="frozen"/>
      <selection activeCell="A2" sqref="A2"/>
      <selection pane="topRight" activeCell="H2" sqref="H2"/>
      <selection pane="bottomLeft" activeCell="A10" sqref="A10"/>
      <selection pane="bottomRight" activeCell="H37" sqref="H37"/>
    </sheetView>
  </sheetViews>
  <sheetFormatPr defaultColWidth="11.453125" defaultRowHeight="9.5" x14ac:dyDescent="0.25"/>
  <cols>
    <col min="1" max="1" width="2.453125" style="4" customWidth="1"/>
    <col min="2" max="2" width="11.1796875" style="4" bestFit="1" customWidth="1"/>
    <col min="3" max="3" width="21.54296875" style="4" customWidth="1"/>
    <col min="4" max="4" width="13.36328125" style="4" customWidth="1"/>
    <col min="5" max="5" width="10.1796875" style="4" bestFit="1" customWidth="1"/>
    <col min="6" max="6" width="10.1796875" style="4" customWidth="1"/>
    <col min="7" max="7" width="7.36328125" style="4" bestFit="1" customWidth="1"/>
    <col min="8" max="8" width="9.81640625" style="4" bestFit="1" customWidth="1"/>
    <col min="9" max="9" width="8.26953125" style="4" customWidth="1"/>
    <col min="10" max="10" width="10.81640625" style="4" customWidth="1"/>
    <col min="11" max="11" width="7.08984375" style="4" customWidth="1"/>
    <col min="12" max="12" width="7.6328125" style="4" customWidth="1"/>
    <col min="13" max="13" width="7.54296875" style="4" customWidth="1"/>
    <col min="14" max="14" width="7.7265625" style="4" customWidth="1"/>
    <col min="15" max="15" width="6.36328125" style="4" bestFit="1" customWidth="1"/>
    <col min="16" max="16" width="7.453125" style="5" bestFit="1" customWidth="1"/>
    <col min="17" max="18" width="8.81640625" style="4" bestFit="1" customWidth="1"/>
    <col min="19" max="20" width="8.1796875" style="5" customWidth="1"/>
    <col min="21" max="21" width="8.453125" style="4" bestFit="1" customWidth="1"/>
    <col min="22" max="22" width="7.81640625" style="4" bestFit="1" customWidth="1"/>
    <col min="23" max="23" width="7.6328125" style="4" bestFit="1" customWidth="1"/>
    <col min="24" max="24" width="9.54296875" style="4" bestFit="1" customWidth="1"/>
    <col min="25" max="25" width="8.26953125" style="5" bestFit="1" customWidth="1"/>
    <col min="26" max="26" width="10" style="4" customWidth="1"/>
    <col min="27" max="27" width="8.453125" style="5" bestFit="1" customWidth="1"/>
    <col min="28" max="30" width="8.453125" style="5" customWidth="1"/>
    <col min="31" max="31" width="9.453125" style="4" bestFit="1" customWidth="1"/>
    <col min="32" max="32" width="9.08984375" style="4" bestFit="1" customWidth="1"/>
    <col min="33" max="33" width="7.81640625" style="5" bestFit="1" customWidth="1"/>
    <col min="34" max="34" width="8.1796875" style="4" bestFit="1" customWidth="1"/>
    <col min="35" max="35" width="9.26953125" style="4" bestFit="1" customWidth="1"/>
    <col min="36" max="37" width="9.26953125" style="4" customWidth="1"/>
    <col min="38" max="38" width="5.90625" style="4" bestFit="1" customWidth="1"/>
    <col min="39" max="39" width="5" style="4" bestFit="1" customWidth="1"/>
    <col min="40" max="16384" width="11.453125" style="4"/>
  </cols>
  <sheetData>
    <row r="1" spans="2:40" x14ac:dyDescent="0.25"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3"/>
    </row>
    <row r="2" spans="2:40" x14ac:dyDescent="0.25"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1"/>
      <c r="S2" s="4"/>
      <c r="T2" s="4"/>
      <c r="Y2" s="4"/>
      <c r="AA2" s="4"/>
      <c r="AB2" s="4"/>
      <c r="AC2" s="4"/>
      <c r="AD2" s="4"/>
      <c r="AG2" s="4"/>
    </row>
    <row r="3" spans="2:40" x14ac:dyDescent="0.25"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1"/>
      <c r="S3" s="4"/>
      <c r="T3" s="4"/>
      <c r="Y3" s="4"/>
      <c r="AA3" s="4"/>
      <c r="AB3" s="4"/>
      <c r="AC3" s="4"/>
      <c r="AD3" s="4"/>
      <c r="AG3" s="4"/>
    </row>
    <row r="4" spans="2:40" x14ac:dyDescent="0.25"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1"/>
      <c r="S4" s="4"/>
      <c r="T4" s="4"/>
      <c r="Y4" s="4"/>
      <c r="AA4" s="4"/>
      <c r="AB4" s="4"/>
      <c r="AC4" s="4"/>
      <c r="AD4" s="4"/>
      <c r="AG4" s="4"/>
    </row>
    <row r="5" spans="2:40" x14ac:dyDescent="0.25"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1"/>
      <c r="S5" s="4"/>
      <c r="T5" s="4"/>
      <c r="Y5" s="4"/>
      <c r="AA5" s="4"/>
      <c r="AB5" s="4"/>
      <c r="AC5" s="4"/>
      <c r="AD5" s="4"/>
      <c r="AG5" s="4"/>
    </row>
    <row r="6" spans="2:40" x14ac:dyDescent="0.25"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1"/>
      <c r="S6" s="4"/>
      <c r="T6" s="4"/>
      <c r="Y6" s="4"/>
      <c r="AA6" s="4"/>
      <c r="AB6" s="4"/>
      <c r="AC6" s="4"/>
      <c r="AD6" s="4"/>
      <c r="AG6" s="4"/>
    </row>
    <row r="7" spans="2:40" x14ac:dyDescent="0.25">
      <c r="B7" s="1"/>
      <c r="C7" s="1"/>
      <c r="D7" s="1"/>
      <c r="E7" s="1"/>
      <c r="F7" s="2"/>
      <c r="G7" s="1"/>
      <c r="H7" s="2"/>
      <c r="I7" s="2"/>
      <c r="J7" s="2"/>
      <c r="K7" s="2"/>
      <c r="L7" s="2"/>
      <c r="M7" s="2"/>
      <c r="N7" s="2"/>
      <c r="O7" s="2"/>
      <c r="P7" s="1"/>
      <c r="S7" s="4"/>
      <c r="T7" s="4"/>
      <c r="Y7" s="4"/>
      <c r="AA7" s="4"/>
      <c r="AB7" s="4"/>
      <c r="AC7" s="4"/>
      <c r="AD7" s="4"/>
      <c r="AG7" s="4"/>
    </row>
    <row r="8" spans="2:40" x14ac:dyDescent="0.25"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1"/>
      <c r="S8" s="4"/>
      <c r="T8" s="4"/>
      <c r="Y8" s="4"/>
      <c r="AA8" s="4"/>
      <c r="AB8" s="4"/>
      <c r="AC8" s="4"/>
      <c r="AD8" s="4"/>
      <c r="AG8" s="4"/>
    </row>
    <row r="9" spans="2:40" x14ac:dyDescent="0.25">
      <c r="B9" s="1"/>
      <c r="C9" s="1"/>
      <c r="D9" s="1"/>
      <c r="E9" s="1"/>
      <c r="F9" s="2">
        <f>SUM(H20,H21,H22,H23,H24,H25,H26)</f>
        <v>33800</v>
      </c>
      <c r="G9" s="1"/>
      <c r="H9" s="2"/>
      <c r="I9" s="2"/>
      <c r="J9" s="2"/>
      <c r="K9" s="2"/>
      <c r="L9" s="2"/>
      <c r="M9" s="2"/>
      <c r="N9" s="2"/>
      <c r="O9" s="2"/>
      <c r="P9" s="1"/>
      <c r="S9" s="4"/>
      <c r="T9" s="4"/>
      <c r="Y9" s="4"/>
      <c r="AA9" s="4"/>
      <c r="AB9" s="4"/>
      <c r="AC9" s="4"/>
      <c r="AD9" s="4"/>
      <c r="AG9" s="4"/>
    </row>
    <row r="10" spans="2:40" x14ac:dyDescent="0.25"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1"/>
      <c r="S10" s="4"/>
      <c r="T10" s="4"/>
      <c r="Y10" s="4"/>
      <c r="AA10" s="4"/>
      <c r="AB10" s="4"/>
      <c r="AC10" s="4"/>
      <c r="AD10" s="4"/>
      <c r="AG10" s="4"/>
    </row>
    <row r="11" spans="2:40" ht="10" thickBot="1" x14ac:dyDescent="0.3">
      <c r="B11" s="76" t="s">
        <v>43</v>
      </c>
      <c r="C11" s="76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1"/>
      <c r="S11" s="4"/>
      <c r="T11" s="4"/>
      <c r="Y11" s="4"/>
      <c r="AA11" s="4"/>
      <c r="AB11" s="4"/>
      <c r="AC11" s="4"/>
      <c r="AD11" s="4"/>
      <c r="AG11" s="4"/>
    </row>
    <row r="12" spans="2:40" s="141" customFormat="1" ht="9.5" customHeight="1" thickBot="1" x14ac:dyDescent="0.3">
      <c r="B12" s="139"/>
      <c r="C12" s="139"/>
      <c r="D12" s="139"/>
      <c r="E12" s="139"/>
      <c r="F12" s="139"/>
      <c r="G12" s="139"/>
      <c r="H12" s="140"/>
      <c r="I12" s="140"/>
      <c r="J12" s="332" t="s">
        <v>28</v>
      </c>
      <c r="K12" s="333"/>
      <c r="L12" s="333"/>
      <c r="M12" s="333"/>
      <c r="N12" s="333"/>
      <c r="O12" s="334"/>
      <c r="P12" s="338" t="s">
        <v>41</v>
      </c>
      <c r="Q12" s="339"/>
      <c r="R12" s="339"/>
      <c r="S12" s="339"/>
      <c r="T12" s="339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40"/>
      <c r="AM12" s="341"/>
    </row>
    <row r="13" spans="2:40" s="142" customFormat="1" ht="14.5" customHeight="1" thickBot="1" x14ac:dyDescent="0.4">
      <c r="B13" s="305" t="s">
        <v>26</v>
      </c>
      <c r="C13" s="299" t="s">
        <v>22</v>
      </c>
      <c r="D13" s="299" t="s">
        <v>27</v>
      </c>
      <c r="E13" s="342" t="s">
        <v>34</v>
      </c>
      <c r="F13" s="307" t="s">
        <v>38</v>
      </c>
      <c r="G13" s="301" t="s">
        <v>23</v>
      </c>
      <c r="H13" s="303" t="s">
        <v>20</v>
      </c>
      <c r="I13" s="297" t="s">
        <v>21</v>
      </c>
      <c r="J13" s="335"/>
      <c r="K13" s="336"/>
      <c r="L13" s="336"/>
      <c r="M13" s="336"/>
      <c r="N13" s="336"/>
      <c r="O13" s="337"/>
      <c r="P13" s="309" t="s">
        <v>32</v>
      </c>
      <c r="Q13" s="310"/>
      <c r="R13" s="311"/>
      <c r="S13" s="329" t="s">
        <v>37</v>
      </c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  <c r="AG13" s="330"/>
      <c r="AH13" s="330"/>
      <c r="AI13" s="330"/>
      <c r="AJ13" s="330"/>
      <c r="AK13" s="331"/>
      <c r="AL13" s="315" t="s">
        <v>40</v>
      </c>
      <c r="AM13" s="316"/>
    </row>
    <row r="14" spans="2:40" s="142" customFormat="1" ht="45.5" thickBot="1" x14ac:dyDescent="0.4">
      <c r="B14" s="306"/>
      <c r="C14" s="300"/>
      <c r="D14" s="300"/>
      <c r="E14" s="343"/>
      <c r="F14" s="308"/>
      <c r="G14" s="302"/>
      <c r="H14" s="304"/>
      <c r="I14" s="298"/>
      <c r="J14" s="68" t="s">
        <v>29</v>
      </c>
      <c r="K14" s="69" t="s">
        <v>30</v>
      </c>
      <c r="L14" s="69" t="s">
        <v>16</v>
      </c>
      <c r="M14" s="69" t="s">
        <v>35</v>
      </c>
      <c r="N14" s="69" t="s">
        <v>36</v>
      </c>
      <c r="O14" s="70" t="s">
        <v>31</v>
      </c>
      <c r="P14" s="143" t="s">
        <v>2</v>
      </c>
      <c r="Q14" s="71" t="s">
        <v>3</v>
      </c>
      <c r="R14" s="144" t="s">
        <v>33</v>
      </c>
      <c r="S14" s="71" t="s">
        <v>0</v>
      </c>
      <c r="T14" s="144" t="s">
        <v>1</v>
      </c>
      <c r="U14" s="144" t="s">
        <v>4</v>
      </c>
      <c r="V14" s="144" t="s">
        <v>5</v>
      </c>
      <c r="W14" s="144" t="s">
        <v>6</v>
      </c>
      <c r="X14" s="144" t="s">
        <v>7</v>
      </c>
      <c r="Y14" s="71" t="s">
        <v>8</v>
      </c>
      <c r="Z14" s="144" t="s">
        <v>9</v>
      </c>
      <c r="AA14" s="71" t="s">
        <v>10</v>
      </c>
      <c r="AB14" s="71" t="s">
        <v>24</v>
      </c>
      <c r="AC14" s="71" t="s">
        <v>17</v>
      </c>
      <c r="AD14" s="71" t="s">
        <v>11</v>
      </c>
      <c r="AE14" s="144" t="s">
        <v>12</v>
      </c>
      <c r="AF14" s="144" t="s">
        <v>13</v>
      </c>
      <c r="AG14" s="71" t="s">
        <v>14</v>
      </c>
      <c r="AH14" s="144" t="s">
        <v>15</v>
      </c>
      <c r="AI14" s="144" t="s">
        <v>18</v>
      </c>
      <c r="AJ14" s="144" t="s">
        <v>55</v>
      </c>
      <c r="AK14" s="144" t="s">
        <v>39</v>
      </c>
      <c r="AL14" s="145" t="s">
        <v>42</v>
      </c>
      <c r="AM14" s="146" t="s">
        <v>16</v>
      </c>
    </row>
    <row r="15" spans="2:40" s="6" customFormat="1" ht="10" thickBot="1" x14ac:dyDescent="0.4">
      <c r="B15" s="147"/>
      <c r="C15" s="105"/>
      <c r="D15" s="105"/>
      <c r="E15" s="148"/>
      <c r="F15" s="149"/>
      <c r="G15" s="150" t="s">
        <v>19</v>
      </c>
      <c r="H15" s="151" t="s">
        <v>19</v>
      </c>
      <c r="I15" s="152" t="s">
        <v>19</v>
      </c>
      <c r="J15" s="56" t="s">
        <v>19</v>
      </c>
      <c r="K15" s="57" t="s">
        <v>19</v>
      </c>
      <c r="L15" s="57" t="s">
        <v>19</v>
      </c>
      <c r="M15" s="57" t="s">
        <v>19</v>
      </c>
      <c r="N15" s="57" t="s">
        <v>19</v>
      </c>
      <c r="O15" s="58" t="s">
        <v>19</v>
      </c>
      <c r="P15" s="153" t="s">
        <v>19</v>
      </c>
      <c r="Q15" s="154" t="s">
        <v>19</v>
      </c>
      <c r="R15" s="154" t="s">
        <v>19</v>
      </c>
      <c r="S15" s="154" t="s">
        <v>19</v>
      </c>
      <c r="T15" s="154" t="s">
        <v>19</v>
      </c>
      <c r="U15" s="154" t="s">
        <v>19</v>
      </c>
      <c r="V15" s="154" t="s">
        <v>19</v>
      </c>
      <c r="W15" s="154" t="s">
        <v>19</v>
      </c>
      <c r="X15" s="154" t="s">
        <v>19</v>
      </c>
      <c r="Y15" s="60" t="s">
        <v>19</v>
      </c>
      <c r="Z15" s="154" t="s">
        <v>19</v>
      </c>
      <c r="AA15" s="154" t="s">
        <v>19</v>
      </c>
      <c r="AB15" s="154" t="s">
        <v>19</v>
      </c>
      <c r="AC15" s="154" t="s">
        <v>19</v>
      </c>
      <c r="AD15" s="154" t="s">
        <v>19</v>
      </c>
      <c r="AE15" s="154" t="s">
        <v>19</v>
      </c>
      <c r="AF15" s="154" t="s">
        <v>19</v>
      </c>
      <c r="AG15" s="154" t="s">
        <v>19</v>
      </c>
      <c r="AH15" s="154" t="s">
        <v>19</v>
      </c>
      <c r="AI15" s="154" t="s">
        <v>19</v>
      </c>
      <c r="AJ15" s="154"/>
      <c r="AK15" s="154" t="s">
        <v>19</v>
      </c>
      <c r="AL15" s="155" t="s">
        <v>19</v>
      </c>
      <c r="AM15" s="156" t="s">
        <v>19</v>
      </c>
    </row>
    <row r="16" spans="2:40" x14ac:dyDescent="0.25">
      <c r="B16" s="147">
        <v>44807</v>
      </c>
      <c r="C16" s="105" t="s">
        <v>58</v>
      </c>
      <c r="D16" s="105" t="s">
        <v>57</v>
      </c>
      <c r="E16" s="148" t="s">
        <v>59</v>
      </c>
      <c r="F16" s="149" t="s">
        <v>54</v>
      </c>
      <c r="G16" s="72"/>
      <c r="H16" s="7">
        <v>5100</v>
      </c>
      <c r="I16" s="73">
        <f>G16-H16</f>
        <v>-5100</v>
      </c>
      <c r="J16" s="62"/>
      <c r="K16" s="63"/>
      <c r="L16" s="63"/>
      <c r="M16" s="63"/>
      <c r="N16" s="63"/>
      <c r="O16" s="64"/>
      <c r="P16" s="65"/>
      <c r="Q16" s="66"/>
      <c r="R16" s="66"/>
      <c r="S16" s="66"/>
      <c r="T16" s="66"/>
      <c r="U16" s="66">
        <v>5100</v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78"/>
      <c r="AM16" s="67"/>
      <c r="AN16" s="8"/>
    </row>
    <row r="17" spans="2:40" x14ac:dyDescent="0.25">
      <c r="B17" s="147">
        <v>44818</v>
      </c>
      <c r="C17" s="105" t="s">
        <v>58</v>
      </c>
      <c r="D17" s="105" t="s">
        <v>57</v>
      </c>
      <c r="E17" s="148" t="s">
        <v>77</v>
      </c>
      <c r="F17" s="149" t="s">
        <v>54</v>
      </c>
      <c r="G17" s="72"/>
      <c r="H17" s="7">
        <v>5100</v>
      </c>
      <c r="I17" s="74">
        <f>I16+G17-H17</f>
        <v>-10200</v>
      </c>
      <c r="J17" s="35"/>
      <c r="K17" s="19"/>
      <c r="L17" s="19"/>
      <c r="M17" s="19"/>
      <c r="N17" s="19"/>
      <c r="O17" s="36"/>
      <c r="P17" s="22"/>
      <c r="Q17" s="12"/>
      <c r="R17" s="11"/>
      <c r="S17" s="11"/>
      <c r="T17" s="11"/>
      <c r="U17" s="66">
        <v>5100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79"/>
      <c r="AM17" s="45"/>
      <c r="AN17" s="8"/>
    </row>
    <row r="18" spans="2:40" x14ac:dyDescent="0.25">
      <c r="B18" s="147">
        <v>44824</v>
      </c>
      <c r="C18" s="105" t="s">
        <v>58</v>
      </c>
      <c r="D18" s="105" t="s">
        <v>57</v>
      </c>
      <c r="E18" s="148" t="s">
        <v>104</v>
      </c>
      <c r="F18" s="149" t="s">
        <v>54</v>
      </c>
      <c r="G18" s="72"/>
      <c r="H18" s="9">
        <v>10200</v>
      </c>
      <c r="I18" s="74">
        <f t="shared" ref="I18:I81" si="0">I17+G18-H18</f>
        <v>-20400</v>
      </c>
      <c r="J18" s="35"/>
      <c r="K18" s="19"/>
      <c r="L18" s="19"/>
      <c r="M18" s="19"/>
      <c r="N18" s="19"/>
      <c r="O18" s="36"/>
      <c r="P18" s="22"/>
      <c r="Q18" s="12"/>
      <c r="R18" s="11"/>
      <c r="S18" s="11"/>
      <c r="T18" s="11"/>
      <c r="U18" s="14">
        <v>10200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79"/>
      <c r="AM18" s="45"/>
      <c r="AN18" s="8"/>
    </row>
    <row r="19" spans="2:40" x14ac:dyDescent="0.25">
      <c r="B19" s="147">
        <v>44824</v>
      </c>
      <c r="C19" s="105" t="s">
        <v>105</v>
      </c>
      <c r="D19" s="105" t="s">
        <v>57</v>
      </c>
      <c r="E19" s="148" t="s">
        <v>106</v>
      </c>
      <c r="F19" s="149" t="s">
        <v>54</v>
      </c>
      <c r="G19" s="72"/>
      <c r="H19" s="9">
        <v>2500</v>
      </c>
      <c r="I19" s="74">
        <f t="shared" si="0"/>
        <v>-22900</v>
      </c>
      <c r="J19" s="35"/>
      <c r="K19" s="19"/>
      <c r="L19" s="19"/>
      <c r="M19" s="19"/>
      <c r="N19" s="19"/>
      <c r="O19" s="36"/>
      <c r="P19" s="22"/>
      <c r="Q19" s="12"/>
      <c r="R19" s="11"/>
      <c r="S19" s="11"/>
      <c r="T19" s="11"/>
      <c r="U19" s="11">
        <v>2500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79"/>
      <c r="AM19" s="45"/>
      <c r="AN19" s="8"/>
    </row>
    <row r="20" spans="2:40" ht="18.5" x14ac:dyDescent="0.25">
      <c r="B20" s="147">
        <v>44839</v>
      </c>
      <c r="C20" s="89" t="s">
        <v>121</v>
      </c>
      <c r="D20" s="89" t="s">
        <v>1</v>
      </c>
      <c r="E20" s="148" t="s">
        <v>122</v>
      </c>
      <c r="F20" s="149" t="s">
        <v>130</v>
      </c>
      <c r="G20" s="72"/>
      <c r="H20" s="10">
        <v>6400</v>
      </c>
      <c r="I20" s="74">
        <f t="shared" si="0"/>
        <v>-29300</v>
      </c>
      <c r="J20" s="37"/>
      <c r="K20" s="20"/>
      <c r="L20" s="20"/>
      <c r="M20" s="20"/>
      <c r="N20" s="20"/>
      <c r="O20" s="38"/>
      <c r="P20" s="22"/>
      <c r="Q20" s="11"/>
      <c r="R20" s="13"/>
      <c r="S20" s="14"/>
      <c r="T20" s="1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79"/>
      <c r="AM20" s="45"/>
      <c r="AN20" s="8"/>
    </row>
    <row r="21" spans="2:40" x14ac:dyDescent="0.25">
      <c r="B21" s="147">
        <v>44839</v>
      </c>
      <c r="C21" s="89" t="s">
        <v>127</v>
      </c>
      <c r="D21" s="89" t="s">
        <v>1</v>
      </c>
      <c r="E21" s="148" t="s">
        <v>123</v>
      </c>
      <c r="F21" s="149" t="s">
        <v>130</v>
      </c>
      <c r="G21" s="72"/>
      <c r="H21" s="9">
        <v>5000</v>
      </c>
      <c r="I21" s="74">
        <f t="shared" si="0"/>
        <v>-34300</v>
      </c>
      <c r="J21" s="35"/>
      <c r="K21" s="19"/>
      <c r="L21" s="19"/>
      <c r="M21" s="19"/>
      <c r="N21" s="19"/>
      <c r="O21" s="36"/>
      <c r="P21" s="22"/>
      <c r="Q21" s="11"/>
      <c r="R21" s="14"/>
      <c r="S21" s="15"/>
      <c r="T21" s="15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79"/>
      <c r="AM21" s="45"/>
      <c r="AN21" s="8"/>
    </row>
    <row r="22" spans="2:40" ht="18.5" x14ac:dyDescent="0.25">
      <c r="B22" s="147">
        <v>44841</v>
      </c>
      <c r="C22" s="89" t="s">
        <v>121</v>
      </c>
      <c r="D22" s="89" t="s">
        <v>1</v>
      </c>
      <c r="E22" s="148" t="s">
        <v>124</v>
      </c>
      <c r="F22" s="149" t="s">
        <v>130</v>
      </c>
      <c r="G22" s="72"/>
      <c r="H22" s="9">
        <v>3000</v>
      </c>
      <c r="I22" s="74">
        <f t="shared" si="0"/>
        <v>-37300</v>
      </c>
      <c r="J22" s="35"/>
      <c r="K22" s="19"/>
      <c r="L22" s="19"/>
      <c r="M22" s="19"/>
      <c r="N22" s="19"/>
      <c r="O22" s="36"/>
      <c r="P22" s="22"/>
      <c r="Q22" s="11"/>
      <c r="R22" s="14"/>
      <c r="S22" s="15"/>
      <c r="T22" s="15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79"/>
      <c r="AM22" s="45"/>
      <c r="AN22" s="8"/>
    </row>
    <row r="23" spans="2:40" x14ac:dyDescent="0.25">
      <c r="B23" s="147">
        <v>44845</v>
      </c>
      <c r="C23" s="105" t="s">
        <v>58</v>
      </c>
      <c r="D23" s="105" t="s">
        <v>57</v>
      </c>
      <c r="E23" s="148" t="s">
        <v>125</v>
      </c>
      <c r="F23" s="149" t="s">
        <v>54</v>
      </c>
      <c r="G23" s="72"/>
      <c r="H23" s="9">
        <v>12500</v>
      </c>
      <c r="I23" s="74">
        <f t="shared" si="0"/>
        <v>-49800</v>
      </c>
      <c r="J23" s="35"/>
      <c r="K23" s="19"/>
      <c r="L23" s="19"/>
      <c r="M23" s="19"/>
      <c r="N23" s="19"/>
      <c r="O23" s="36"/>
      <c r="P23" s="23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79"/>
      <c r="AM23" s="45"/>
      <c r="AN23" s="8"/>
    </row>
    <row r="24" spans="2:40" x14ac:dyDescent="0.25">
      <c r="B24" s="147">
        <v>44853</v>
      </c>
      <c r="C24" s="89" t="s">
        <v>157</v>
      </c>
      <c r="D24" s="89" t="s">
        <v>1</v>
      </c>
      <c r="E24" s="148" t="s">
        <v>126</v>
      </c>
      <c r="F24" s="90" t="s">
        <v>130</v>
      </c>
      <c r="G24" s="72"/>
      <c r="H24" s="9">
        <v>2000</v>
      </c>
      <c r="I24" s="74">
        <f t="shared" si="0"/>
        <v>-51800</v>
      </c>
      <c r="J24" s="35"/>
      <c r="K24" s="19"/>
      <c r="L24" s="19"/>
      <c r="M24" s="19"/>
      <c r="N24" s="19"/>
      <c r="O24" s="36"/>
      <c r="P24" s="22"/>
      <c r="Q24" s="11"/>
      <c r="R24" s="11"/>
      <c r="S24" s="11"/>
      <c r="T24" s="11"/>
      <c r="U24" s="12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79"/>
      <c r="AM24" s="45"/>
      <c r="AN24" s="8"/>
    </row>
    <row r="25" spans="2:40" x14ac:dyDescent="0.25">
      <c r="B25" s="147">
        <v>44860</v>
      </c>
      <c r="C25" s="89" t="s">
        <v>171</v>
      </c>
      <c r="D25" s="89" t="s">
        <v>57</v>
      </c>
      <c r="E25" s="148" t="s">
        <v>172</v>
      </c>
      <c r="F25" s="90" t="s">
        <v>54</v>
      </c>
      <c r="G25" s="72"/>
      <c r="H25" s="9">
        <v>2400</v>
      </c>
      <c r="I25" s="74">
        <f t="shared" si="0"/>
        <v>-54200</v>
      </c>
      <c r="J25" s="35"/>
      <c r="K25" s="19"/>
      <c r="L25" s="19"/>
      <c r="M25" s="19"/>
      <c r="N25" s="19"/>
      <c r="O25" s="36"/>
      <c r="P25" s="22"/>
      <c r="Q25" s="11"/>
      <c r="R25" s="11"/>
      <c r="S25" s="11"/>
      <c r="T25" s="11"/>
      <c r="U25" s="12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79"/>
      <c r="AM25" s="45"/>
      <c r="AN25" s="8"/>
    </row>
    <row r="26" spans="2:40" ht="18.5" x14ac:dyDescent="0.25">
      <c r="B26" s="147">
        <v>44862</v>
      </c>
      <c r="C26" s="89" t="s">
        <v>121</v>
      </c>
      <c r="D26" s="89" t="s">
        <v>1</v>
      </c>
      <c r="E26" s="148" t="s">
        <v>248</v>
      </c>
      <c r="F26" s="90" t="s">
        <v>130</v>
      </c>
      <c r="G26" s="72"/>
      <c r="H26" s="9">
        <v>2500</v>
      </c>
      <c r="I26" s="74">
        <f t="shared" si="0"/>
        <v>-56700</v>
      </c>
      <c r="J26" s="35"/>
      <c r="K26" s="19"/>
      <c r="L26" s="19"/>
      <c r="M26" s="19"/>
      <c r="N26" s="19"/>
      <c r="O26" s="36"/>
      <c r="P26" s="22"/>
      <c r="Q26" s="11"/>
      <c r="R26" s="14"/>
      <c r="S26" s="15"/>
      <c r="T26" s="15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79"/>
      <c r="AM26" s="45"/>
      <c r="AN26" s="8"/>
    </row>
    <row r="27" spans="2:40" ht="18.5" x14ac:dyDescent="0.25">
      <c r="B27" s="147">
        <v>44866</v>
      </c>
      <c r="C27" s="89" t="s">
        <v>179</v>
      </c>
      <c r="D27" s="89" t="s">
        <v>111</v>
      </c>
      <c r="E27" s="148" t="s">
        <v>249</v>
      </c>
      <c r="F27" s="90"/>
      <c r="G27" s="72"/>
      <c r="H27" s="9">
        <v>5000</v>
      </c>
      <c r="I27" s="74">
        <f t="shared" si="0"/>
        <v>-61700</v>
      </c>
      <c r="J27" s="35"/>
      <c r="K27" s="19"/>
      <c r="L27" s="19"/>
      <c r="M27" s="19"/>
      <c r="N27" s="19"/>
      <c r="O27" s="36"/>
      <c r="P27" s="22"/>
      <c r="Q27" s="12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79"/>
      <c r="AM27" s="45"/>
      <c r="AN27" s="8"/>
    </row>
    <row r="28" spans="2:40" x14ac:dyDescent="0.25">
      <c r="B28" s="147">
        <v>44874</v>
      </c>
      <c r="C28" s="89" t="s">
        <v>247</v>
      </c>
      <c r="D28" s="89" t="s">
        <v>57</v>
      </c>
      <c r="E28" s="148" t="s">
        <v>250</v>
      </c>
      <c r="F28" s="90"/>
      <c r="G28" s="72"/>
      <c r="H28" s="9">
        <v>4000</v>
      </c>
      <c r="I28" s="74">
        <f t="shared" si="0"/>
        <v>-65700</v>
      </c>
      <c r="J28" s="35"/>
      <c r="K28" s="19"/>
      <c r="L28" s="19"/>
      <c r="M28" s="19"/>
      <c r="N28" s="19"/>
      <c r="O28" s="36"/>
      <c r="P28" s="22"/>
      <c r="Q28" s="11"/>
      <c r="R28" s="11"/>
      <c r="S28" s="11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79"/>
      <c r="AM28" s="45"/>
      <c r="AN28" s="8"/>
    </row>
    <row r="29" spans="2:40" ht="9.5" customHeight="1" x14ac:dyDescent="0.25">
      <c r="B29" s="147">
        <v>44881</v>
      </c>
      <c r="C29" s="89" t="s">
        <v>273</v>
      </c>
      <c r="D29" s="89"/>
      <c r="E29" s="148" t="s">
        <v>251</v>
      </c>
      <c r="F29" s="90"/>
      <c r="G29" s="72"/>
      <c r="H29" s="9">
        <v>3800</v>
      </c>
      <c r="I29" s="74">
        <f t="shared" si="0"/>
        <v>-69500</v>
      </c>
      <c r="J29" s="35"/>
      <c r="K29" s="19"/>
      <c r="L29" s="19"/>
      <c r="M29" s="19"/>
      <c r="N29" s="19"/>
      <c r="O29" s="36"/>
      <c r="P29" s="22"/>
      <c r="Q29" s="11"/>
      <c r="R29" s="11"/>
      <c r="S29" s="11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79"/>
      <c r="AM29" s="45"/>
      <c r="AN29" s="8"/>
    </row>
    <row r="30" spans="2:40" x14ac:dyDescent="0.25">
      <c r="B30" s="147">
        <v>44881</v>
      </c>
      <c r="C30" s="89" t="s">
        <v>274</v>
      </c>
      <c r="D30" s="89"/>
      <c r="E30" s="148" t="s">
        <v>252</v>
      </c>
      <c r="F30" s="90"/>
      <c r="G30" s="72"/>
      <c r="H30" s="9">
        <v>5000</v>
      </c>
      <c r="I30" s="74">
        <f t="shared" si="0"/>
        <v>-74500</v>
      </c>
      <c r="J30" s="35"/>
      <c r="K30" s="19"/>
      <c r="L30" s="19"/>
      <c r="M30" s="19"/>
      <c r="N30" s="19"/>
      <c r="O30" s="36"/>
      <c r="P30" s="22"/>
      <c r="Q30" s="11"/>
      <c r="R30" s="11"/>
      <c r="S30" s="11"/>
      <c r="T30" s="11"/>
      <c r="U30" s="11"/>
      <c r="V30" s="11"/>
      <c r="W30" s="11"/>
      <c r="X30" s="16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79"/>
      <c r="AM30" s="45"/>
      <c r="AN30" s="8"/>
    </row>
    <row r="31" spans="2:40" x14ac:dyDescent="0.25">
      <c r="B31" s="147">
        <v>44881</v>
      </c>
      <c r="C31" s="89" t="s">
        <v>275</v>
      </c>
      <c r="D31" s="89"/>
      <c r="E31" s="148" t="s">
        <v>253</v>
      </c>
      <c r="F31" s="90"/>
      <c r="G31" s="72"/>
      <c r="H31" s="9">
        <v>5000</v>
      </c>
      <c r="I31" s="74">
        <f t="shared" si="0"/>
        <v>-79500</v>
      </c>
      <c r="J31" s="35"/>
      <c r="K31" s="19"/>
      <c r="L31" s="19"/>
      <c r="M31" s="19"/>
      <c r="N31" s="19"/>
      <c r="O31" s="36"/>
      <c r="P31" s="22"/>
      <c r="Q31" s="11"/>
      <c r="R31" s="11"/>
      <c r="S31" s="11"/>
      <c r="T31" s="11"/>
      <c r="U31" s="11"/>
      <c r="V31" s="11"/>
      <c r="W31" s="11"/>
      <c r="X31" s="16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79"/>
      <c r="AM31" s="45"/>
      <c r="AN31" s="8"/>
    </row>
    <row r="32" spans="2:40" ht="18.5" x14ac:dyDescent="0.25">
      <c r="B32" s="147">
        <v>44882</v>
      </c>
      <c r="C32" s="89" t="s">
        <v>293</v>
      </c>
      <c r="D32" s="89"/>
      <c r="E32" s="148" t="s">
        <v>254</v>
      </c>
      <c r="F32" s="90"/>
      <c r="G32" s="72"/>
      <c r="H32" s="9">
        <v>10000</v>
      </c>
      <c r="I32" s="74">
        <f t="shared" si="0"/>
        <v>-89500</v>
      </c>
      <c r="J32" s="35"/>
      <c r="K32" s="19"/>
      <c r="L32" s="19"/>
      <c r="M32" s="19"/>
      <c r="N32" s="19"/>
      <c r="O32" s="36"/>
      <c r="P32" s="22"/>
      <c r="Q32" s="11"/>
      <c r="R32" s="11"/>
      <c r="S32" s="11"/>
      <c r="T32" s="11"/>
      <c r="U32" s="11"/>
      <c r="V32" s="11"/>
      <c r="W32" s="11"/>
      <c r="X32" s="11"/>
      <c r="Y32" s="14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79"/>
      <c r="AM32" s="45"/>
      <c r="AN32" s="8"/>
    </row>
    <row r="33" spans="2:40" ht="18.5" x14ac:dyDescent="0.25">
      <c r="B33" s="147">
        <v>44888</v>
      </c>
      <c r="C33" s="89" t="s">
        <v>294</v>
      </c>
      <c r="D33" s="89"/>
      <c r="E33" s="148" t="s">
        <v>255</v>
      </c>
      <c r="F33" s="90"/>
      <c r="G33" s="72"/>
      <c r="H33" s="9">
        <v>15000</v>
      </c>
      <c r="I33" s="74">
        <f t="shared" si="0"/>
        <v>-104500</v>
      </c>
      <c r="J33" s="35"/>
      <c r="K33" s="19"/>
      <c r="L33" s="19"/>
      <c r="M33" s="19"/>
      <c r="N33" s="19"/>
      <c r="O33" s="36"/>
      <c r="P33" s="22"/>
      <c r="Q33" s="11"/>
      <c r="R33" s="11"/>
      <c r="S33" s="11"/>
      <c r="T33" s="11"/>
      <c r="U33" s="11"/>
      <c r="V33" s="11"/>
      <c r="W33" s="11"/>
      <c r="X33" s="16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79"/>
      <c r="AM33" s="45"/>
      <c r="AN33" s="8"/>
    </row>
    <row r="34" spans="2:40" x14ac:dyDescent="0.25">
      <c r="B34" s="147">
        <v>44900</v>
      </c>
      <c r="C34" s="89" t="s">
        <v>351</v>
      </c>
      <c r="D34" s="89" t="s">
        <v>352</v>
      </c>
      <c r="E34" s="148" t="s">
        <v>256</v>
      </c>
      <c r="F34" s="90"/>
      <c r="G34" s="72"/>
      <c r="H34" s="9">
        <v>8000</v>
      </c>
      <c r="I34" s="74">
        <f t="shared" si="0"/>
        <v>-112500</v>
      </c>
      <c r="J34" s="35"/>
      <c r="K34" s="19"/>
      <c r="L34" s="19"/>
      <c r="M34" s="19"/>
      <c r="N34" s="19"/>
      <c r="O34" s="36"/>
      <c r="P34" s="22"/>
      <c r="Q34" s="11"/>
      <c r="R34" s="11"/>
      <c r="S34" s="11"/>
      <c r="T34" s="11"/>
      <c r="U34" s="11"/>
      <c r="V34" s="11"/>
      <c r="W34" s="11"/>
      <c r="X34" s="16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79"/>
      <c r="AM34" s="45"/>
      <c r="AN34" s="8"/>
    </row>
    <row r="35" spans="2:40" x14ac:dyDescent="0.25">
      <c r="B35" s="147">
        <v>44903</v>
      </c>
      <c r="C35" s="105" t="s">
        <v>58</v>
      </c>
      <c r="D35" s="89" t="s">
        <v>57</v>
      </c>
      <c r="E35" s="148" t="s">
        <v>257</v>
      </c>
      <c r="F35" s="90"/>
      <c r="G35" s="72"/>
      <c r="H35" s="9">
        <v>12500</v>
      </c>
      <c r="I35" s="74">
        <f t="shared" si="0"/>
        <v>-125000</v>
      </c>
      <c r="J35" s="35"/>
      <c r="K35" s="19"/>
      <c r="L35" s="19"/>
      <c r="M35" s="19"/>
      <c r="N35" s="19"/>
      <c r="O35" s="36"/>
      <c r="P35" s="22"/>
      <c r="Q35" s="11"/>
      <c r="R35" s="11"/>
      <c r="S35" s="11"/>
      <c r="T35" s="11"/>
      <c r="U35" s="11"/>
      <c r="V35" s="11"/>
      <c r="W35" s="11"/>
      <c r="X35" s="16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79"/>
      <c r="AM35" s="45"/>
      <c r="AN35" s="8"/>
    </row>
    <row r="36" spans="2:40" x14ac:dyDescent="0.25">
      <c r="B36" s="147">
        <v>44911</v>
      </c>
      <c r="C36" s="89" t="s">
        <v>399</v>
      </c>
      <c r="D36" s="89"/>
      <c r="E36" s="148" t="s">
        <v>258</v>
      </c>
      <c r="F36" s="90"/>
      <c r="G36" s="72"/>
      <c r="H36" s="9">
        <v>4000</v>
      </c>
      <c r="I36" s="74">
        <f t="shared" si="0"/>
        <v>-129000</v>
      </c>
      <c r="J36" s="35"/>
      <c r="K36" s="19"/>
      <c r="L36" s="19"/>
      <c r="M36" s="19"/>
      <c r="N36" s="19"/>
      <c r="O36" s="36"/>
      <c r="P36" s="22"/>
      <c r="Q36" s="11"/>
      <c r="R36" s="11"/>
      <c r="S36" s="11"/>
      <c r="T36" s="11"/>
      <c r="U36" s="11"/>
      <c r="V36" s="11"/>
      <c r="W36" s="11"/>
      <c r="X36" s="16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79"/>
      <c r="AM36" s="45"/>
      <c r="AN36" s="8"/>
    </row>
    <row r="37" spans="2:40" x14ac:dyDescent="0.25">
      <c r="B37" s="147"/>
      <c r="C37" s="89"/>
      <c r="D37" s="89"/>
      <c r="E37" s="148" t="s">
        <v>259</v>
      </c>
      <c r="F37" s="90"/>
      <c r="G37" s="72"/>
      <c r="H37" s="9"/>
      <c r="I37" s="74">
        <f t="shared" si="0"/>
        <v>-129000</v>
      </c>
      <c r="J37" s="35"/>
      <c r="K37" s="19"/>
      <c r="L37" s="19"/>
      <c r="M37" s="19"/>
      <c r="N37" s="19"/>
      <c r="O37" s="36"/>
      <c r="P37" s="22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79"/>
      <c r="AM37" s="45"/>
      <c r="AN37" s="8"/>
    </row>
    <row r="38" spans="2:40" x14ac:dyDescent="0.25">
      <c r="B38" s="147"/>
      <c r="C38" s="89"/>
      <c r="D38" s="89"/>
      <c r="E38" s="148" t="s">
        <v>260</v>
      </c>
      <c r="F38" s="90"/>
      <c r="G38" s="72"/>
      <c r="H38" s="9"/>
      <c r="I38" s="74">
        <f t="shared" si="0"/>
        <v>-129000</v>
      </c>
      <c r="J38" s="35"/>
      <c r="K38" s="19"/>
      <c r="L38" s="19"/>
      <c r="M38" s="19"/>
      <c r="N38" s="19"/>
      <c r="O38" s="36"/>
      <c r="P38" s="22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79"/>
      <c r="AM38" s="45"/>
      <c r="AN38" s="8"/>
    </row>
    <row r="39" spans="2:40" x14ac:dyDescent="0.25">
      <c r="B39" s="147"/>
      <c r="C39" s="89"/>
      <c r="D39" s="89"/>
      <c r="E39" s="148" t="s">
        <v>261</v>
      </c>
      <c r="F39" s="90"/>
      <c r="G39" s="72"/>
      <c r="H39" s="9"/>
      <c r="I39" s="74">
        <f t="shared" si="0"/>
        <v>-129000</v>
      </c>
      <c r="J39" s="35"/>
      <c r="K39" s="19"/>
      <c r="L39" s="19"/>
      <c r="M39" s="19"/>
      <c r="N39" s="19"/>
      <c r="O39" s="36"/>
      <c r="P39" s="22"/>
      <c r="Q39" s="11"/>
      <c r="R39" s="11"/>
      <c r="S39" s="11"/>
      <c r="T39" s="11"/>
      <c r="U39" s="11"/>
      <c r="V39" s="14"/>
      <c r="W39" s="14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79"/>
      <c r="AM39" s="45"/>
      <c r="AN39" s="8"/>
    </row>
    <row r="40" spans="2:40" x14ac:dyDescent="0.25">
      <c r="B40" s="147"/>
      <c r="C40" s="89"/>
      <c r="D40" s="89"/>
      <c r="E40" s="148" t="s">
        <v>262</v>
      </c>
      <c r="F40" s="90"/>
      <c r="G40" s="72"/>
      <c r="H40" s="9"/>
      <c r="I40" s="74">
        <f t="shared" si="0"/>
        <v>-129000</v>
      </c>
      <c r="J40" s="35"/>
      <c r="K40" s="19"/>
      <c r="L40" s="19"/>
      <c r="M40" s="19"/>
      <c r="N40" s="19"/>
      <c r="O40" s="36"/>
      <c r="P40" s="24"/>
      <c r="Q40" s="11"/>
      <c r="R40" s="11"/>
      <c r="S40" s="11"/>
      <c r="T40" s="11"/>
      <c r="U40" s="14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79"/>
      <c r="AM40" s="45"/>
      <c r="AN40" s="8"/>
    </row>
    <row r="41" spans="2:40" x14ac:dyDescent="0.25">
      <c r="B41" s="147"/>
      <c r="C41" s="89"/>
      <c r="D41" s="89"/>
      <c r="E41" s="148" t="s">
        <v>263</v>
      </c>
      <c r="F41" s="90"/>
      <c r="G41" s="72"/>
      <c r="H41" s="9"/>
      <c r="I41" s="74">
        <f t="shared" si="0"/>
        <v>-129000</v>
      </c>
      <c r="J41" s="35"/>
      <c r="K41" s="19"/>
      <c r="L41" s="19"/>
      <c r="M41" s="19"/>
      <c r="N41" s="19"/>
      <c r="O41" s="36"/>
      <c r="P41" s="22"/>
      <c r="Q41" s="11"/>
      <c r="R41" s="11"/>
      <c r="S41" s="11"/>
      <c r="T41" s="11"/>
      <c r="U41" s="11"/>
      <c r="V41" s="11"/>
      <c r="W41" s="11"/>
      <c r="X41" s="11"/>
      <c r="Y41" s="14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79"/>
      <c r="AM41" s="45"/>
      <c r="AN41" s="8"/>
    </row>
    <row r="42" spans="2:40" x14ac:dyDescent="0.25">
      <c r="B42" s="147"/>
      <c r="C42" s="89"/>
      <c r="D42" s="89"/>
      <c r="E42" s="148" t="s">
        <v>264</v>
      </c>
      <c r="F42" s="90"/>
      <c r="G42" s="72"/>
      <c r="H42" s="9"/>
      <c r="I42" s="74">
        <f t="shared" si="0"/>
        <v>-129000</v>
      </c>
      <c r="J42" s="35"/>
      <c r="K42" s="19"/>
      <c r="L42" s="19"/>
      <c r="M42" s="19"/>
      <c r="N42" s="19"/>
      <c r="O42" s="36"/>
      <c r="P42" s="22"/>
      <c r="Q42" s="11"/>
      <c r="R42" s="11"/>
      <c r="S42" s="11"/>
      <c r="T42" s="11"/>
      <c r="U42" s="14"/>
      <c r="V42" s="11"/>
      <c r="W42" s="11"/>
      <c r="X42" s="11"/>
      <c r="Y42" s="11"/>
      <c r="Z42" s="11"/>
      <c r="AA42" s="11"/>
      <c r="AB42" s="14"/>
      <c r="AC42" s="14"/>
      <c r="AD42" s="11"/>
      <c r="AE42" s="11"/>
      <c r="AF42" s="11"/>
      <c r="AG42" s="11"/>
      <c r="AH42" s="11"/>
      <c r="AI42" s="11"/>
      <c r="AJ42" s="11"/>
      <c r="AK42" s="11"/>
      <c r="AL42" s="79"/>
      <c r="AM42" s="45"/>
      <c r="AN42" s="8"/>
    </row>
    <row r="43" spans="2:40" x14ac:dyDescent="0.25">
      <c r="B43" s="147"/>
      <c r="C43" s="89"/>
      <c r="D43" s="89"/>
      <c r="E43" s="148" t="s">
        <v>265</v>
      </c>
      <c r="F43" s="90"/>
      <c r="G43" s="72"/>
      <c r="H43" s="9"/>
      <c r="I43" s="74">
        <f t="shared" si="0"/>
        <v>-129000</v>
      </c>
      <c r="J43" s="35"/>
      <c r="K43" s="19"/>
      <c r="L43" s="19"/>
      <c r="M43" s="19"/>
      <c r="N43" s="19"/>
      <c r="O43" s="36"/>
      <c r="P43" s="22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79"/>
      <c r="AM43" s="45"/>
      <c r="AN43" s="8"/>
    </row>
    <row r="44" spans="2:40" x14ac:dyDescent="0.25">
      <c r="B44" s="147"/>
      <c r="C44" s="89"/>
      <c r="D44" s="89"/>
      <c r="E44" s="102"/>
      <c r="F44" s="90"/>
      <c r="G44" s="72"/>
      <c r="H44" s="9"/>
      <c r="I44" s="74">
        <f t="shared" si="0"/>
        <v>-129000</v>
      </c>
      <c r="J44" s="35"/>
      <c r="K44" s="19"/>
      <c r="L44" s="19"/>
      <c r="M44" s="19"/>
      <c r="N44" s="19"/>
      <c r="O44" s="36"/>
      <c r="P44" s="22"/>
      <c r="Q44" s="11"/>
      <c r="R44" s="11"/>
      <c r="S44" s="11"/>
      <c r="T44" s="11"/>
      <c r="U44" s="11"/>
      <c r="V44" s="11"/>
      <c r="W44" s="11"/>
      <c r="X44" s="16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79"/>
      <c r="AM44" s="45"/>
      <c r="AN44" s="8"/>
    </row>
    <row r="45" spans="2:40" x14ac:dyDescent="0.25">
      <c r="B45" s="147"/>
      <c r="C45" s="89"/>
      <c r="D45" s="89"/>
      <c r="E45" s="102"/>
      <c r="F45" s="90"/>
      <c r="G45" s="72"/>
      <c r="H45" s="9"/>
      <c r="I45" s="74">
        <f t="shared" si="0"/>
        <v>-129000</v>
      </c>
      <c r="J45" s="35"/>
      <c r="K45" s="19"/>
      <c r="L45" s="19"/>
      <c r="M45" s="19"/>
      <c r="N45" s="19"/>
      <c r="O45" s="36"/>
      <c r="P45" s="22"/>
      <c r="Q45" s="11"/>
      <c r="R45" s="11"/>
      <c r="S45" s="11"/>
      <c r="T45" s="11"/>
      <c r="U45" s="11"/>
      <c r="V45" s="11"/>
      <c r="W45" s="11"/>
      <c r="X45" s="16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79"/>
      <c r="AM45" s="45"/>
      <c r="AN45" s="8"/>
    </row>
    <row r="46" spans="2:40" x14ac:dyDescent="0.25">
      <c r="B46" s="147"/>
      <c r="C46" s="89"/>
      <c r="D46" s="89"/>
      <c r="E46" s="102"/>
      <c r="F46" s="90"/>
      <c r="G46" s="72"/>
      <c r="H46" s="9"/>
      <c r="I46" s="74">
        <f t="shared" si="0"/>
        <v>-129000</v>
      </c>
      <c r="J46" s="35"/>
      <c r="K46" s="19"/>
      <c r="L46" s="19"/>
      <c r="M46" s="19"/>
      <c r="N46" s="19"/>
      <c r="O46" s="36"/>
      <c r="P46" s="22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79"/>
      <c r="AM46" s="45"/>
      <c r="AN46" s="8"/>
    </row>
    <row r="47" spans="2:40" x14ac:dyDescent="0.25">
      <c r="B47" s="147"/>
      <c r="C47" s="89"/>
      <c r="D47" s="89"/>
      <c r="E47" s="102"/>
      <c r="F47" s="90"/>
      <c r="G47" s="72"/>
      <c r="H47" s="9"/>
      <c r="I47" s="74">
        <f t="shared" si="0"/>
        <v>-129000</v>
      </c>
      <c r="J47" s="35"/>
      <c r="K47" s="19"/>
      <c r="L47" s="19"/>
      <c r="M47" s="19"/>
      <c r="N47" s="19"/>
      <c r="O47" s="36"/>
      <c r="P47" s="22"/>
      <c r="Q47" s="11"/>
      <c r="R47" s="11"/>
      <c r="S47" s="11"/>
      <c r="T47" s="11"/>
      <c r="U47" s="11"/>
      <c r="V47" s="11"/>
      <c r="W47" s="11"/>
      <c r="X47" s="16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79"/>
      <c r="AM47" s="45"/>
      <c r="AN47" s="8"/>
    </row>
    <row r="48" spans="2:40" x14ac:dyDescent="0.25">
      <c r="B48" s="147"/>
      <c r="C48" s="89"/>
      <c r="D48" s="89"/>
      <c r="E48" s="102"/>
      <c r="F48" s="90"/>
      <c r="G48" s="72"/>
      <c r="H48" s="9"/>
      <c r="I48" s="74">
        <f t="shared" si="0"/>
        <v>-129000</v>
      </c>
      <c r="J48" s="35"/>
      <c r="K48" s="19"/>
      <c r="L48" s="19"/>
      <c r="M48" s="19"/>
      <c r="N48" s="19"/>
      <c r="O48" s="36"/>
      <c r="P48" s="22"/>
      <c r="Q48" s="11"/>
      <c r="R48" s="11"/>
      <c r="S48" s="11"/>
      <c r="T48" s="11"/>
      <c r="U48" s="11"/>
      <c r="V48" s="11"/>
      <c r="W48" s="11"/>
      <c r="X48" s="16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79"/>
      <c r="AM48" s="45"/>
      <c r="AN48" s="8"/>
    </row>
    <row r="49" spans="2:40" x14ac:dyDescent="0.25">
      <c r="B49" s="147"/>
      <c r="C49" s="89"/>
      <c r="D49" s="89"/>
      <c r="E49" s="102"/>
      <c r="F49" s="90"/>
      <c r="G49" s="72"/>
      <c r="H49" s="9"/>
      <c r="I49" s="74">
        <f t="shared" si="0"/>
        <v>-129000</v>
      </c>
      <c r="J49" s="35"/>
      <c r="K49" s="19"/>
      <c r="L49" s="19"/>
      <c r="M49" s="19"/>
      <c r="N49" s="19"/>
      <c r="O49" s="36"/>
      <c r="P49" s="22"/>
      <c r="Q49" s="11"/>
      <c r="R49" s="11"/>
      <c r="S49" s="11"/>
      <c r="T49" s="11"/>
      <c r="U49" s="11"/>
      <c r="V49" s="11"/>
      <c r="W49" s="11"/>
      <c r="X49" s="16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79"/>
      <c r="AM49" s="45"/>
      <c r="AN49" s="8"/>
    </row>
    <row r="50" spans="2:40" x14ac:dyDescent="0.25">
      <c r="B50" s="147"/>
      <c r="C50" s="89"/>
      <c r="D50" s="89"/>
      <c r="E50" s="102"/>
      <c r="F50" s="90"/>
      <c r="G50" s="72"/>
      <c r="H50" s="9"/>
      <c r="I50" s="74">
        <f t="shared" si="0"/>
        <v>-129000</v>
      </c>
      <c r="J50" s="35"/>
      <c r="K50" s="19"/>
      <c r="L50" s="19"/>
      <c r="M50" s="19"/>
      <c r="N50" s="19"/>
      <c r="O50" s="36"/>
      <c r="P50" s="22"/>
      <c r="Q50" s="11"/>
      <c r="R50" s="11"/>
      <c r="S50" s="11"/>
      <c r="T50" s="11"/>
      <c r="U50" s="11"/>
      <c r="V50" s="14"/>
      <c r="W50" s="14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79"/>
      <c r="AM50" s="45"/>
      <c r="AN50" s="8"/>
    </row>
    <row r="51" spans="2:40" x14ac:dyDescent="0.25">
      <c r="B51" s="147"/>
      <c r="C51" s="89"/>
      <c r="D51" s="89"/>
      <c r="E51" s="102"/>
      <c r="F51" s="90"/>
      <c r="G51" s="72"/>
      <c r="H51" s="9"/>
      <c r="I51" s="74">
        <f t="shared" si="0"/>
        <v>-129000</v>
      </c>
      <c r="J51" s="35"/>
      <c r="K51" s="19"/>
      <c r="L51" s="19"/>
      <c r="M51" s="19"/>
      <c r="N51" s="19"/>
      <c r="O51" s="36"/>
      <c r="P51" s="22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79"/>
      <c r="AM51" s="45"/>
      <c r="AN51" s="8"/>
    </row>
    <row r="52" spans="2:40" x14ac:dyDescent="0.25">
      <c r="B52" s="147"/>
      <c r="C52" s="89"/>
      <c r="D52" s="89"/>
      <c r="E52" s="102"/>
      <c r="F52" s="90"/>
      <c r="G52" s="72"/>
      <c r="H52" s="9"/>
      <c r="I52" s="74">
        <f t="shared" si="0"/>
        <v>-129000</v>
      </c>
      <c r="J52" s="35"/>
      <c r="K52" s="19"/>
      <c r="L52" s="19"/>
      <c r="M52" s="19"/>
      <c r="N52" s="19"/>
      <c r="O52" s="36"/>
      <c r="P52" s="22"/>
      <c r="Q52" s="11"/>
      <c r="R52" s="11"/>
      <c r="S52" s="15"/>
      <c r="T52" s="15"/>
      <c r="U52" s="11"/>
      <c r="V52" s="11"/>
      <c r="W52" s="11"/>
      <c r="X52" s="11"/>
      <c r="Y52" s="11"/>
      <c r="Z52" s="14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79"/>
      <c r="AM52" s="45"/>
      <c r="AN52" s="8"/>
    </row>
    <row r="53" spans="2:40" x14ac:dyDescent="0.25">
      <c r="B53" s="147"/>
      <c r="C53" s="89"/>
      <c r="D53" s="89"/>
      <c r="E53" s="102"/>
      <c r="F53" s="90"/>
      <c r="G53" s="72"/>
      <c r="H53" s="9"/>
      <c r="I53" s="74">
        <f t="shared" si="0"/>
        <v>-129000</v>
      </c>
      <c r="J53" s="35"/>
      <c r="K53" s="19"/>
      <c r="L53" s="19"/>
      <c r="M53" s="19"/>
      <c r="N53" s="19"/>
      <c r="O53" s="36"/>
      <c r="P53" s="22"/>
      <c r="Q53" s="11"/>
      <c r="R53" s="11"/>
      <c r="S53" s="11"/>
      <c r="T53" s="11"/>
      <c r="U53" s="11"/>
      <c r="V53" s="11"/>
      <c r="W53" s="11"/>
      <c r="X53" s="11"/>
      <c r="Y53" s="11"/>
      <c r="Z53" s="14"/>
      <c r="AA53" s="14"/>
      <c r="AB53" s="14"/>
      <c r="AC53" s="14"/>
      <c r="AD53" s="14"/>
      <c r="AE53" s="11"/>
      <c r="AF53" s="11"/>
      <c r="AG53" s="11"/>
      <c r="AH53" s="11"/>
      <c r="AI53" s="11"/>
      <c r="AJ53" s="11"/>
      <c r="AK53" s="11"/>
      <c r="AL53" s="79"/>
      <c r="AM53" s="45"/>
      <c r="AN53" s="8"/>
    </row>
    <row r="54" spans="2:40" x14ac:dyDescent="0.25">
      <c r="B54" s="147"/>
      <c r="C54" s="89"/>
      <c r="D54" s="89"/>
      <c r="E54" s="102"/>
      <c r="F54" s="90"/>
      <c r="G54" s="72"/>
      <c r="H54" s="9"/>
      <c r="I54" s="74">
        <f t="shared" si="0"/>
        <v>-129000</v>
      </c>
      <c r="J54" s="35"/>
      <c r="K54" s="19"/>
      <c r="L54" s="19"/>
      <c r="M54" s="19"/>
      <c r="N54" s="19"/>
      <c r="O54" s="36"/>
      <c r="P54" s="22"/>
      <c r="Q54" s="11"/>
      <c r="R54" s="11"/>
      <c r="S54" s="11"/>
      <c r="T54" s="11"/>
      <c r="U54" s="11"/>
      <c r="V54" s="11"/>
      <c r="W54" s="11"/>
      <c r="X54" s="11"/>
      <c r="Y54" s="11"/>
      <c r="Z54" s="14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79"/>
      <c r="AM54" s="45"/>
      <c r="AN54" s="8"/>
    </row>
    <row r="55" spans="2:40" x14ac:dyDescent="0.25">
      <c r="B55" s="147"/>
      <c r="C55" s="89"/>
      <c r="D55" s="89"/>
      <c r="E55" s="102"/>
      <c r="F55" s="90"/>
      <c r="G55" s="72"/>
      <c r="H55" s="9"/>
      <c r="I55" s="74">
        <f t="shared" si="0"/>
        <v>-129000</v>
      </c>
      <c r="J55" s="35"/>
      <c r="K55" s="19"/>
      <c r="L55" s="19"/>
      <c r="M55" s="19"/>
      <c r="N55" s="19"/>
      <c r="O55" s="36"/>
      <c r="P55" s="22"/>
      <c r="Q55" s="11"/>
      <c r="R55" s="11"/>
      <c r="S55" s="11"/>
      <c r="T55" s="11"/>
      <c r="U55" s="11"/>
      <c r="V55" s="11"/>
      <c r="W55" s="11"/>
      <c r="X55" s="11"/>
      <c r="Y55" s="11"/>
      <c r="Z55" s="14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79"/>
      <c r="AM55" s="45"/>
      <c r="AN55" s="8"/>
    </row>
    <row r="56" spans="2:40" x14ac:dyDescent="0.25">
      <c r="B56" s="147"/>
      <c r="C56" s="89"/>
      <c r="D56" s="89"/>
      <c r="E56" s="102"/>
      <c r="F56" s="90"/>
      <c r="G56" s="72"/>
      <c r="H56" s="9"/>
      <c r="I56" s="74">
        <f t="shared" si="0"/>
        <v>-129000</v>
      </c>
      <c r="J56" s="35"/>
      <c r="K56" s="19"/>
      <c r="L56" s="19"/>
      <c r="M56" s="19"/>
      <c r="N56" s="19"/>
      <c r="O56" s="36"/>
      <c r="P56" s="22"/>
      <c r="Q56" s="14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79"/>
      <c r="AM56" s="45"/>
      <c r="AN56" s="8"/>
    </row>
    <row r="57" spans="2:40" x14ac:dyDescent="0.25">
      <c r="B57" s="147"/>
      <c r="C57" s="89"/>
      <c r="D57" s="89"/>
      <c r="E57" s="102"/>
      <c r="F57" s="90"/>
      <c r="G57" s="72"/>
      <c r="H57" s="9"/>
      <c r="I57" s="74">
        <f t="shared" si="0"/>
        <v>-129000</v>
      </c>
      <c r="J57" s="35"/>
      <c r="K57" s="19"/>
      <c r="L57" s="19"/>
      <c r="M57" s="19"/>
      <c r="N57" s="19"/>
      <c r="O57" s="36"/>
      <c r="P57" s="22"/>
      <c r="Q57" s="11"/>
      <c r="R57" s="11"/>
      <c r="S57" s="11"/>
      <c r="T57" s="11"/>
      <c r="U57" s="11"/>
      <c r="V57" s="11"/>
      <c r="W57" s="11"/>
      <c r="X57" s="11"/>
      <c r="Y57" s="11"/>
      <c r="Z57" s="14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79"/>
      <c r="AM57" s="45"/>
      <c r="AN57" s="8"/>
    </row>
    <row r="58" spans="2:40" x14ac:dyDescent="0.25">
      <c r="B58" s="147"/>
      <c r="C58" s="89"/>
      <c r="D58" s="89"/>
      <c r="E58" s="102"/>
      <c r="F58" s="90"/>
      <c r="G58" s="72"/>
      <c r="H58" s="9"/>
      <c r="I58" s="74">
        <f t="shared" si="0"/>
        <v>-129000</v>
      </c>
      <c r="J58" s="35"/>
      <c r="K58" s="19"/>
      <c r="L58" s="19"/>
      <c r="M58" s="19"/>
      <c r="N58" s="19"/>
      <c r="O58" s="36"/>
      <c r="P58" s="22"/>
      <c r="Q58" s="11"/>
      <c r="R58" s="11"/>
      <c r="S58" s="11"/>
      <c r="T58" s="11"/>
      <c r="U58" s="11"/>
      <c r="V58" s="11"/>
      <c r="W58" s="11"/>
      <c r="X58" s="16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79"/>
      <c r="AM58" s="45"/>
      <c r="AN58" s="8"/>
    </row>
    <row r="59" spans="2:40" x14ac:dyDescent="0.25">
      <c r="B59" s="147"/>
      <c r="C59" s="89"/>
      <c r="D59" s="89"/>
      <c r="E59" s="102"/>
      <c r="F59" s="90"/>
      <c r="G59" s="72"/>
      <c r="H59" s="9"/>
      <c r="I59" s="74">
        <f t="shared" si="0"/>
        <v>-129000</v>
      </c>
      <c r="J59" s="35"/>
      <c r="K59" s="19"/>
      <c r="L59" s="19"/>
      <c r="M59" s="19"/>
      <c r="N59" s="19"/>
      <c r="O59" s="36"/>
      <c r="P59" s="22"/>
      <c r="Q59" s="11"/>
      <c r="R59" s="11"/>
      <c r="S59" s="11"/>
      <c r="T59" s="11"/>
      <c r="U59" s="11"/>
      <c r="V59" s="11"/>
      <c r="W59" s="11"/>
      <c r="X59" s="17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79"/>
      <c r="AM59" s="45"/>
      <c r="AN59" s="8"/>
    </row>
    <row r="60" spans="2:40" x14ac:dyDescent="0.25">
      <c r="B60" s="147"/>
      <c r="C60" s="89"/>
      <c r="D60" s="89"/>
      <c r="E60" s="102"/>
      <c r="F60" s="90"/>
      <c r="G60" s="72"/>
      <c r="H60" s="9"/>
      <c r="I60" s="74">
        <f t="shared" si="0"/>
        <v>-129000</v>
      </c>
      <c r="J60" s="35"/>
      <c r="K60" s="19"/>
      <c r="L60" s="19"/>
      <c r="M60" s="19"/>
      <c r="N60" s="19"/>
      <c r="O60" s="36"/>
      <c r="P60" s="22"/>
      <c r="Q60" s="11"/>
      <c r="R60" s="11"/>
      <c r="S60" s="11"/>
      <c r="T60" s="11"/>
      <c r="U60" s="11"/>
      <c r="V60" s="11"/>
      <c r="W60" s="11"/>
      <c r="X60" s="16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79"/>
      <c r="AM60" s="45"/>
      <c r="AN60" s="8"/>
    </row>
    <row r="61" spans="2:40" x14ac:dyDescent="0.25">
      <c r="B61" s="147"/>
      <c r="C61" s="89"/>
      <c r="D61" s="89"/>
      <c r="E61" s="102"/>
      <c r="F61" s="90"/>
      <c r="G61" s="72"/>
      <c r="H61" s="9"/>
      <c r="I61" s="74">
        <f t="shared" si="0"/>
        <v>-129000</v>
      </c>
      <c r="J61" s="35"/>
      <c r="K61" s="19"/>
      <c r="L61" s="19"/>
      <c r="M61" s="19"/>
      <c r="N61" s="19"/>
      <c r="O61" s="36"/>
      <c r="P61" s="22"/>
      <c r="Q61" s="11"/>
      <c r="R61" s="11"/>
      <c r="S61" s="11"/>
      <c r="T61" s="11"/>
      <c r="U61" s="11"/>
      <c r="V61" s="11"/>
      <c r="W61" s="11"/>
      <c r="X61" s="16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79"/>
      <c r="AM61" s="45"/>
      <c r="AN61" s="8"/>
    </row>
    <row r="62" spans="2:40" x14ac:dyDescent="0.25">
      <c r="B62" s="147"/>
      <c r="C62" s="89"/>
      <c r="D62" s="89"/>
      <c r="E62" s="102"/>
      <c r="F62" s="90"/>
      <c r="G62" s="72"/>
      <c r="H62" s="9"/>
      <c r="I62" s="74">
        <f t="shared" si="0"/>
        <v>-129000</v>
      </c>
      <c r="J62" s="35"/>
      <c r="K62" s="19"/>
      <c r="L62" s="19"/>
      <c r="M62" s="19"/>
      <c r="N62" s="19"/>
      <c r="O62" s="36"/>
      <c r="P62" s="22"/>
      <c r="Q62" s="11"/>
      <c r="R62" s="11"/>
      <c r="S62" s="11"/>
      <c r="T62" s="11"/>
      <c r="U62" s="11"/>
      <c r="V62" s="11"/>
      <c r="W62" s="11"/>
      <c r="X62" s="16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79"/>
      <c r="AM62" s="45"/>
      <c r="AN62" s="8"/>
    </row>
    <row r="63" spans="2:40" x14ac:dyDescent="0.25">
      <c r="B63" s="147"/>
      <c r="C63" s="89"/>
      <c r="D63" s="89"/>
      <c r="E63" s="102"/>
      <c r="F63" s="90"/>
      <c r="G63" s="72"/>
      <c r="H63" s="9"/>
      <c r="I63" s="74">
        <f t="shared" si="0"/>
        <v>-129000</v>
      </c>
      <c r="J63" s="35"/>
      <c r="K63" s="19"/>
      <c r="L63" s="19"/>
      <c r="M63" s="19"/>
      <c r="N63" s="19"/>
      <c r="O63" s="36"/>
      <c r="P63" s="22"/>
      <c r="Q63" s="11"/>
      <c r="R63" s="11"/>
      <c r="S63" s="11"/>
      <c r="T63" s="11"/>
      <c r="U63" s="11"/>
      <c r="V63" s="11"/>
      <c r="W63" s="11"/>
      <c r="X63" s="16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79"/>
      <c r="AM63" s="45"/>
      <c r="AN63" s="8"/>
    </row>
    <row r="64" spans="2:40" x14ac:dyDescent="0.25">
      <c r="B64" s="147"/>
      <c r="C64" s="89"/>
      <c r="D64" s="89"/>
      <c r="E64" s="102"/>
      <c r="F64" s="90"/>
      <c r="G64" s="72"/>
      <c r="H64" s="9"/>
      <c r="I64" s="74">
        <f t="shared" si="0"/>
        <v>-129000</v>
      </c>
      <c r="J64" s="35"/>
      <c r="K64" s="19"/>
      <c r="L64" s="19"/>
      <c r="M64" s="19"/>
      <c r="N64" s="19"/>
      <c r="O64" s="36"/>
      <c r="P64" s="22"/>
      <c r="Q64" s="11"/>
      <c r="R64" s="11"/>
      <c r="S64" s="11"/>
      <c r="T64" s="11"/>
      <c r="U64" s="11"/>
      <c r="V64" s="14"/>
      <c r="W64" s="14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79"/>
      <c r="AM64" s="45"/>
      <c r="AN64" s="8"/>
    </row>
    <row r="65" spans="2:40" x14ac:dyDescent="0.25">
      <c r="B65" s="147"/>
      <c r="C65" s="89"/>
      <c r="D65" s="89"/>
      <c r="E65" s="102"/>
      <c r="F65" s="90"/>
      <c r="G65" s="72"/>
      <c r="H65" s="9"/>
      <c r="I65" s="74">
        <f t="shared" si="0"/>
        <v>-129000</v>
      </c>
      <c r="J65" s="35"/>
      <c r="K65" s="19"/>
      <c r="L65" s="19"/>
      <c r="M65" s="19"/>
      <c r="N65" s="19"/>
      <c r="O65" s="36"/>
      <c r="P65" s="22"/>
      <c r="Q65" s="11"/>
      <c r="R65" s="11"/>
      <c r="S65" s="15"/>
      <c r="T65" s="15"/>
      <c r="U65" s="14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79"/>
      <c r="AM65" s="45"/>
      <c r="AN65" s="8"/>
    </row>
    <row r="66" spans="2:40" x14ac:dyDescent="0.25">
      <c r="B66" s="147"/>
      <c r="C66" s="89"/>
      <c r="D66" s="89"/>
      <c r="E66" s="102"/>
      <c r="F66" s="90"/>
      <c r="G66" s="72"/>
      <c r="H66" s="9"/>
      <c r="I66" s="74">
        <f t="shared" si="0"/>
        <v>-129000</v>
      </c>
      <c r="J66" s="35"/>
      <c r="K66" s="19"/>
      <c r="L66" s="19"/>
      <c r="M66" s="19"/>
      <c r="N66" s="19"/>
      <c r="O66" s="36"/>
      <c r="P66" s="22"/>
      <c r="Q66" s="11"/>
      <c r="R66" s="11"/>
      <c r="S66" s="11"/>
      <c r="T66" s="11"/>
      <c r="U66" s="14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79"/>
      <c r="AM66" s="45"/>
      <c r="AN66" s="8"/>
    </row>
    <row r="67" spans="2:40" x14ac:dyDescent="0.25">
      <c r="B67" s="147"/>
      <c r="C67" s="89"/>
      <c r="D67" s="89"/>
      <c r="E67" s="102"/>
      <c r="F67" s="90"/>
      <c r="G67" s="72"/>
      <c r="H67" s="9"/>
      <c r="I67" s="74">
        <f t="shared" si="0"/>
        <v>-129000</v>
      </c>
      <c r="J67" s="35"/>
      <c r="K67" s="19"/>
      <c r="L67" s="19"/>
      <c r="M67" s="19"/>
      <c r="N67" s="19"/>
      <c r="O67" s="36"/>
      <c r="P67" s="22"/>
      <c r="Q67" s="11"/>
      <c r="R67" s="11"/>
      <c r="S67" s="15"/>
      <c r="T67" s="15"/>
      <c r="U67" s="11"/>
      <c r="V67" s="11"/>
      <c r="W67" s="11"/>
      <c r="X67" s="11"/>
      <c r="Y67" s="11"/>
      <c r="Z67" s="14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79"/>
      <c r="AM67" s="45"/>
      <c r="AN67" s="8"/>
    </row>
    <row r="68" spans="2:40" x14ac:dyDescent="0.25">
      <c r="B68" s="147"/>
      <c r="C68" s="89"/>
      <c r="D68" s="89"/>
      <c r="E68" s="102"/>
      <c r="F68" s="90"/>
      <c r="G68" s="72"/>
      <c r="H68" s="9"/>
      <c r="I68" s="74">
        <f t="shared" si="0"/>
        <v>-129000</v>
      </c>
      <c r="J68" s="35"/>
      <c r="K68" s="19"/>
      <c r="L68" s="19"/>
      <c r="M68" s="19"/>
      <c r="N68" s="19"/>
      <c r="O68" s="36"/>
      <c r="P68" s="22"/>
      <c r="Q68" s="11"/>
      <c r="R68" s="11"/>
      <c r="S68" s="15"/>
      <c r="T68" s="15"/>
      <c r="U68" s="11"/>
      <c r="V68" s="11"/>
      <c r="W68" s="11"/>
      <c r="X68" s="11"/>
      <c r="Y68" s="11"/>
      <c r="Z68" s="14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79"/>
      <c r="AM68" s="45"/>
      <c r="AN68" s="8"/>
    </row>
    <row r="69" spans="2:40" x14ac:dyDescent="0.25">
      <c r="B69" s="147"/>
      <c r="C69" s="89"/>
      <c r="D69" s="89"/>
      <c r="E69" s="102"/>
      <c r="F69" s="90"/>
      <c r="G69" s="72"/>
      <c r="H69" s="9"/>
      <c r="I69" s="74">
        <f t="shared" si="0"/>
        <v>-129000</v>
      </c>
      <c r="J69" s="35"/>
      <c r="K69" s="19"/>
      <c r="L69" s="19"/>
      <c r="M69" s="19"/>
      <c r="N69" s="19"/>
      <c r="O69" s="36"/>
      <c r="P69" s="22"/>
      <c r="Q69" s="11"/>
      <c r="R69" s="11"/>
      <c r="S69" s="15"/>
      <c r="T69" s="15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79"/>
      <c r="AM69" s="45"/>
      <c r="AN69" s="8"/>
    </row>
    <row r="70" spans="2:40" x14ac:dyDescent="0.25">
      <c r="B70" s="147"/>
      <c r="C70" s="89"/>
      <c r="D70" s="89"/>
      <c r="E70" s="102"/>
      <c r="F70" s="90"/>
      <c r="G70" s="72"/>
      <c r="H70" s="9"/>
      <c r="I70" s="74">
        <f t="shared" si="0"/>
        <v>-129000</v>
      </c>
      <c r="J70" s="35"/>
      <c r="K70" s="19"/>
      <c r="L70" s="19"/>
      <c r="M70" s="19"/>
      <c r="N70" s="19"/>
      <c r="O70" s="36"/>
      <c r="P70" s="22"/>
      <c r="Q70" s="11"/>
      <c r="R70" s="11"/>
      <c r="S70" s="15"/>
      <c r="T70" s="15"/>
      <c r="U70" s="11"/>
      <c r="V70" s="11"/>
      <c r="W70" s="11"/>
      <c r="X70" s="11"/>
      <c r="Y70" s="11"/>
      <c r="Z70" s="14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79"/>
      <c r="AM70" s="45"/>
      <c r="AN70" s="8"/>
    </row>
    <row r="71" spans="2:40" x14ac:dyDescent="0.25">
      <c r="B71" s="147"/>
      <c r="C71" s="89"/>
      <c r="D71" s="89"/>
      <c r="E71" s="102"/>
      <c r="F71" s="90"/>
      <c r="G71" s="72"/>
      <c r="H71" s="9"/>
      <c r="I71" s="74">
        <f t="shared" si="0"/>
        <v>-129000</v>
      </c>
      <c r="J71" s="35"/>
      <c r="K71" s="19"/>
      <c r="L71" s="19"/>
      <c r="M71" s="19"/>
      <c r="N71" s="19"/>
      <c r="O71" s="36"/>
      <c r="P71" s="22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4"/>
      <c r="AB71" s="14"/>
      <c r="AC71" s="14"/>
      <c r="AD71" s="14"/>
      <c r="AE71" s="11"/>
      <c r="AF71" s="11"/>
      <c r="AG71" s="11"/>
      <c r="AH71" s="11"/>
      <c r="AI71" s="11"/>
      <c r="AJ71" s="11"/>
      <c r="AK71" s="11"/>
      <c r="AL71" s="79"/>
      <c r="AM71" s="45"/>
      <c r="AN71" s="8"/>
    </row>
    <row r="72" spans="2:40" x14ac:dyDescent="0.25">
      <c r="B72" s="147"/>
      <c r="C72" s="89"/>
      <c r="D72" s="89"/>
      <c r="E72" s="102"/>
      <c r="F72" s="90"/>
      <c r="G72" s="72"/>
      <c r="H72" s="9"/>
      <c r="I72" s="74">
        <f t="shared" si="0"/>
        <v>-129000</v>
      </c>
      <c r="J72" s="35"/>
      <c r="K72" s="19"/>
      <c r="L72" s="19"/>
      <c r="M72" s="19"/>
      <c r="N72" s="19"/>
      <c r="O72" s="36"/>
      <c r="P72" s="22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4"/>
      <c r="AF72" s="11"/>
      <c r="AG72" s="11"/>
      <c r="AH72" s="11"/>
      <c r="AI72" s="11"/>
      <c r="AJ72" s="11"/>
      <c r="AK72" s="11"/>
      <c r="AL72" s="79"/>
      <c r="AM72" s="45"/>
      <c r="AN72" s="8"/>
    </row>
    <row r="73" spans="2:40" x14ac:dyDescent="0.25">
      <c r="B73" s="147"/>
      <c r="C73" s="89"/>
      <c r="D73" s="89"/>
      <c r="E73" s="102"/>
      <c r="F73" s="90"/>
      <c r="G73" s="72"/>
      <c r="H73" s="9"/>
      <c r="I73" s="74">
        <f t="shared" si="0"/>
        <v>-129000</v>
      </c>
      <c r="J73" s="35"/>
      <c r="K73" s="19"/>
      <c r="L73" s="19"/>
      <c r="M73" s="19"/>
      <c r="N73" s="19"/>
      <c r="O73" s="36"/>
      <c r="P73" s="22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4"/>
      <c r="AG73" s="11"/>
      <c r="AH73" s="11"/>
      <c r="AI73" s="11"/>
      <c r="AJ73" s="11"/>
      <c r="AK73" s="11"/>
      <c r="AL73" s="79"/>
      <c r="AM73" s="45"/>
      <c r="AN73" s="8"/>
    </row>
    <row r="74" spans="2:40" x14ac:dyDescent="0.25">
      <c r="B74" s="147"/>
      <c r="C74" s="89"/>
      <c r="D74" s="89"/>
      <c r="E74" s="102"/>
      <c r="F74" s="90"/>
      <c r="G74" s="72"/>
      <c r="H74" s="9"/>
      <c r="I74" s="74">
        <f t="shared" si="0"/>
        <v>-129000</v>
      </c>
      <c r="J74" s="35"/>
      <c r="K74" s="19"/>
      <c r="L74" s="19"/>
      <c r="M74" s="19"/>
      <c r="N74" s="19"/>
      <c r="O74" s="36"/>
      <c r="P74" s="22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79"/>
      <c r="AM74" s="45"/>
      <c r="AN74" s="8"/>
    </row>
    <row r="75" spans="2:40" x14ac:dyDescent="0.25">
      <c r="B75" s="147"/>
      <c r="C75" s="89"/>
      <c r="D75" s="89"/>
      <c r="E75" s="102"/>
      <c r="F75" s="90"/>
      <c r="G75" s="72"/>
      <c r="H75" s="9"/>
      <c r="I75" s="74">
        <f t="shared" si="0"/>
        <v>-129000</v>
      </c>
      <c r="J75" s="35"/>
      <c r="K75" s="19"/>
      <c r="L75" s="19"/>
      <c r="M75" s="19"/>
      <c r="N75" s="19"/>
      <c r="O75" s="36"/>
      <c r="P75" s="22"/>
      <c r="Q75" s="11"/>
      <c r="R75" s="11"/>
      <c r="S75" s="11"/>
      <c r="T75" s="11"/>
      <c r="U75" s="14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79"/>
      <c r="AM75" s="45"/>
      <c r="AN75" s="8"/>
    </row>
    <row r="76" spans="2:40" x14ac:dyDescent="0.25">
      <c r="B76" s="147"/>
      <c r="C76" s="89"/>
      <c r="D76" s="89"/>
      <c r="E76" s="102"/>
      <c r="F76" s="90"/>
      <c r="G76" s="72"/>
      <c r="H76" s="9"/>
      <c r="I76" s="74">
        <f t="shared" si="0"/>
        <v>-129000</v>
      </c>
      <c r="J76" s="35"/>
      <c r="K76" s="19"/>
      <c r="L76" s="19"/>
      <c r="M76" s="19"/>
      <c r="N76" s="19"/>
      <c r="O76" s="36"/>
      <c r="P76" s="22"/>
      <c r="Q76" s="11"/>
      <c r="R76" s="11"/>
      <c r="S76" s="11"/>
      <c r="T76" s="11"/>
      <c r="U76" s="14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79"/>
      <c r="AM76" s="45"/>
      <c r="AN76" s="8"/>
    </row>
    <row r="77" spans="2:40" x14ac:dyDescent="0.25">
      <c r="B77" s="147"/>
      <c r="C77" s="89"/>
      <c r="D77" s="89"/>
      <c r="E77" s="102"/>
      <c r="F77" s="90"/>
      <c r="G77" s="72"/>
      <c r="H77" s="9"/>
      <c r="I77" s="74">
        <f t="shared" si="0"/>
        <v>-129000</v>
      </c>
      <c r="J77" s="35"/>
      <c r="K77" s="19"/>
      <c r="L77" s="19"/>
      <c r="M77" s="19"/>
      <c r="N77" s="19"/>
      <c r="O77" s="36"/>
      <c r="P77" s="22"/>
      <c r="Q77" s="11"/>
      <c r="R77" s="11"/>
      <c r="S77" s="11"/>
      <c r="T77" s="11"/>
      <c r="U77" s="14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79"/>
      <c r="AM77" s="45"/>
      <c r="AN77" s="8"/>
    </row>
    <row r="78" spans="2:40" x14ac:dyDescent="0.25">
      <c r="B78" s="147"/>
      <c r="C78" s="89"/>
      <c r="D78" s="89"/>
      <c r="E78" s="102"/>
      <c r="F78" s="90"/>
      <c r="G78" s="72"/>
      <c r="H78" s="9"/>
      <c r="I78" s="74">
        <f t="shared" si="0"/>
        <v>-129000</v>
      </c>
      <c r="J78" s="35"/>
      <c r="K78" s="19"/>
      <c r="L78" s="19"/>
      <c r="M78" s="19"/>
      <c r="N78" s="19"/>
      <c r="O78" s="36"/>
      <c r="P78" s="22"/>
      <c r="Q78" s="11"/>
      <c r="R78" s="11"/>
      <c r="S78" s="11"/>
      <c r="T78" s="11"/>
      <c r="U78" s="16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79"/>
      <c r="AM78" s="45"/>
      <c r="AN78" s="8"/>
    </row>
    <row r="79" spans="2:40" x14ac:dyDescent="0.25">
      <c r="B79" s="147"/>
      <c r="C79" s="89"/>
      <c r="D79" s="89"/>
      <c r="E79" s="102"/>
      <c r="F79" s="90"/>
      <c r="G79" s="72"/>
      <c r="H79" s="9"/>
      <c r="I79" s="74">
        <f t="shared" si="0"/>
        <v>-129000</v>
      </c>
      <c r="J79" s="35"/>
      <c r="K79" s="19"/>
      <c r="L79" s="19"/>
      <c r="M79" s="19"/>
      <c r="N79" s="19"/>
      <c r="O79" s="36"/>
      <c r="P79" s="22"/>
      <c r="Q79" s="11"/>
      <c r="R79" s="11"/>
      <c r="S79" s="11"/>
      <c r="T79" s="11"/>
      <c r="U79" s="11"/>
      <c r="V79" s="14"/>
      <c r="W79" s="14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79"/>
      <c r="AM79" s="45"/>
      <c r="AN79" s="8"/>
    </row>
    <row r="80" spans="2:40" x14ac:dyDescent="0.25">
      <c r="B80" s="147"/>
      <c r="C80" s="89"/>
      <c r="D80" s="89"/>
      <c r="E80" s="102"/>
      <c r="F80" s="90"/>
      <c r="G80" s="72"/>
      <c r="H80" s="9"/>
      <c r="I80" s="74">
        <f t="shared" si="0"/>
        <v>-129000</v>
      </c>
      <c r="J80" s="35"/>
      <c r="K80" s="19"/>
      <c r="L80" s="19"/>
      <c r="M80" s="19"/>
      <c r="N80" s="19"/>
      <c r="O80" s="36"/>
      <c r="P80" s="22"/>
      <c r="Q80" s="11"/>
      <c r="R80" s="11"/>
      <c r="S80" s="11"/>
      <c r="T80" s="11"/>
      <c r="U80" s="11"/>
      <c r="V80" s="11"/>
      <c r="W80" s="11"/>
      <c r="X80" s="16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79"/>
      <c r="AM80" s="45"/>
      <c r="AN80" s="8"/>
    </row>
    <row r="81" spans="2:40" x14ac:dyDescent="0.25">
      <c r="B81" s="147"/>
      <c r="C81" s="89"/>
      <c r="D81" s="89"/>
      <c r="E81" s="102"/>
      <c r="F81" s="90"/>
      <c r="G81" s="72"/>
      <c r="H81" s="9"/>
      <c r="I81" s="74">
        <f t="shared" si="0"/>
        <v>-129000</v>
      </c>
      <c r="J81" s="35"/>
      <c r="K81" s="19"/>
      <c r="L81" s="19"/>
      <c r="M81" s="19"/>
      <c r="N81" s="19"/>
      <c r="O81" s="36"/>
      <c r="P81" s="22"/>
      <c r="Q81" s="11"/>
      <c r="R81" s="11"/>
      <c r="S81" s="11"/>
      <c r="T81" s="11"/>
      <c r="U81" s="11"/>
      <c r="V81" s="11"/>
      <c r="W81" s="11"/>
      <c r="X81" s="16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79"/>
      <c r="AM81" s="45"/>
      <c r="AN81" s="8"/>
    </row>
    <row r="82" spans="2:40" x14ac:dyDescent="0.25">
      <c r="B82" s="147"/>
      <c r="C82" s="89"/>
      <c r="D82" s="89"/>
      <c r="E82" s="102"/>
      <c r="F82" s="90"/>
      <c r="G82" s="72"/>
      <c r="H82" s="9"/>
      <c r="I82" s="74">
        <f t="shared" ref="I82:I145" si="1">I81+G82-H82</f>
        <v>-129000</v>
      </c>
      <c r="J82" s="35"/>
      <c r="K82" s="19"/>
      <c r="L82" s="19"/>
      <c r="M82" s="19"/>
      <c r="N82" s="19"/>
      <c r="O82" s="36"/>
      <c r="P82" s="22"/>
      <c r="Q82" s="11"/>
      <c r="R82" s="11"/>
      <c r="S82" s="11"/>
      <c r="T82" s="11"/>
      <c r="U82" s="11"/>
      <c r="V82" s="11"/>
      <c r="W82" s="11"/>
      <c r="X82" s="16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79"/>
      <c r="AM82" s="45"/>
      <c r="AN82" s="8"/>
    </row>
    <row r="83" spans="2:40" x14ac:dyDescent="0.25">
      <c r="B83" s="147"/>
      <c r="C83" s="89"/>
      <c r="D83" s="89"/>
      <c r="E83" s="102"/>
      <c r="F83" s="90"/>
      <c r="G83" s="72"/>
      <c r="H83" s="9"/>
      <c r="I83" s="74">
        <f t="shared" si="1"/>
        <v>-129000</v>
      </c>
      <c r="J83" s="35"/>
      <c r="K83" s="19"/>
      <c r="L83" s="19"/>
      <c r="M83" s="19"/>
      <c r="N83" s="19"/>
      <c r="O83" s="36"/>
      <c r="P83" s="22"/>
      <c r="Q83" s="11"/>
      <c r="R83" s="11"/>
      <c r="S83" s="11"/>
      <c r="T83" s="11"/>
      <c r="U83" s="11"/>
      <c r="V83" s="11"/>
      <c r="W83" s="11"/>
      <c r="X83" s="16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79"/>
      <c r="AM83" s="45"/>
      <c r="AN83" s="8"/>
    </row>
    <row r="84" spans="2:40" x14ac:dyDescent="0.25">
      <c r="B84" s="147"/>
      <c r="C84" s="89"/>
      <c r="D84" s="89"/>
      <c r="E84" s="102"/>
      <c r="F84" s="90"/>
      <c r="G84" s="72"/>
      <c r="H84" s="9"/>
      <c r="I84" s="74">
        <f t="shared" si="1"/>
        <v>-129000</v>
      </c>
      <c r="J84" s="35"/>
      <c r="K84" s="19"/>
      <c r="L84" s="19"/>
      <c r="M84" s="19"/>
      <c r="N84" s="19"/>
      <c r="O84" s="36"/>
      <c r="P84" s="22"/>
      <c r="Q84" s="11"/>
      <c r="R84" s="11"/>
      <c r="S84" s="11"/>
      <c r="T84" s="11"/>
      <c r="U84" s="11"/>
      <c r="V84" s="11"/>
      <c r="W84" s="11"/>
      <c r="X84" s="16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79"/>
      <c r="AM84" s="45"/>
      <c r="AN84" s="8"/>
    </row>
    <row r="85" spans="2:40" x14ac:dyDescent="0.25">
      <c r="B85" s="147"/>
      <c r="C85" s="89"/>
      <c r="D85" s="89"/>
      <c r="E85" s="102"/>
      <c r="F85" s="90"/>
      <c r="G85" s="72"/>
      <c r="H85" s="9"/>
      <c r="I85" s="74">
        <f t="shared" si="1"/>
        <v>-129000</v>
      </c>
      <c r="J85" s="35"/>
      <c r="K85" s="19"/>
      <c r="L85" s="19"/>
      <c r="M85" s="19"/>
      <c r="N85" s="19"/>
      <c r="O85" s="36"/>
      <c r="P85" s="22"/>
      <c r="Q85" s="11"/>
      <c r="R85" s="11"/>
      <c r="S85" s="11"/>
      <c r="T85" s="11"/>
      <c r="U85" s="11"/>
      <c r="V85" s="11"/>
      <c r="W85" s="11"/>
      <c r="X85" s="16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79"/>
      <c r="AM85" s="45"/>
      <c r="AN85" s="8"/>
    </row>
    <row r="86" spans="2:40" x14ac:dyDescent="0.25">
      <c r="B86" s="147"/>
      <c r="C86" s="89"/>
      <c r="D86" s="89"/>
      <c r="E86" s="102"/>
      <c r="F86" s="90"/>
      <c r="G86" s="72"/>
      <c r="H86" s="9"/>
      <c r="I86" s="74">
        <f t="shared" si="1"/>
        <v>-129000</v>
      </c>
      <c r="J86" s="35"/>
      <c r="K86" s="19"/>
      <c r="L86" s="19"/>
      <c r="M86" s="19"/>
      <c r="N86" s="19"/>
      <c r="O86" s="36"/>
      <c r="P86" s="22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79"/>
      <c r="AM86" s="45"/>
      <c r="AN86" s="8"/>
    </row>
    <row r="87" spans="2:40" x14ac:dyDescent="0.25">
      <c r="B87" s="147"/>
      <c r="C87" s="89"/>
      <c r="D87" s="89"/>
      <c r="E87" s="102"/>
      <c r="F87" s="90"/>
      <c r="G87" s="72"/>
      <c r="H87" s="9"/>
      <c r="I87" s="74">
        <f t="shared" si="1"/>
        <v>-129000</v>
      </c>
      <c r="J87" s="35"/>
      <c r="K87" s="19"/>
      <c r="L87" s="19"/>
      <c r="M87" s="19"/>
      <c r="N87" s="19"/>
      <c r="O87" s="36"/>
      <c r="P87" s="22"/>
      <c r="Q87" s="11"/>
      <c r="R87" s="11"/>
      <c r="S87" s="11"/>
      <c r="T87" s="11"/>
      <c r="U87" s="11"/>
      <c r="V87" s="11"/>
      <c r="W87" s="11"/>
      <c r="X87" s="16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79"/>
      <c r="AM87" s="45"/>
      <c r="AN87" s="8"/>
    </row>
    <row r="88" spans="2:40" x14ac:dyDescent="0.25">
      <c r="B88" s="147"/>
      <c r="C88" s="89"/>
      <c r="D88" s="89"/>
      <c r="E88" s="102"/>
      <c r="F88" s="90"/>
      <c r="G88" s="72"/>
      <c r="H88" s="9"/>
      <c r="I88" s="74">
        <f t="shared" si="1"/>
        <v>-129000</v>
      </c>
      <c r="J88" s="35"/>
      <c r="K88" s="19"/>
      <c r="L88" s="19"/>
      <c r="M88" s="19"/>
      <c r="N88" s="19"/>
      <c r="O88" s="36"/>
      <c r="P88" s="22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79"/>
      <c r="AM88" s="45"/>
      <c r="AN88" s="8"/>
    </row>
    <row r="89" spans="2:40" x14ac:dyDescent="0.25">
      <c r="B89" s="147"/>
      <c r="C89" s="89"/>
      <c r="D89" s="89"/>
      <c r="E89" s="102"/>
      <c r="F89" s="90"/>
      <c r="G89" s="72"/>
      <c r="H89" s="9"/>
      <c r="I89" s="74">
        <f t="shared" si="1"/>
        <v>-129000</v>
      </c>
      <c r="J89" s="35"/>
      <c r="K89" s="19"/>
      <c r="L89" s="19"/>
      <c r="M89" s="19"/>
      <c r="N89" s="19"/>
      <c r="O89" s="36"/>
      <c r="P89" s="22"/>
      <c r="Q89" s="11"/>
      <c r="R89" s="11"/>
      <c r="S89" s="11"/>
      <c r="T89" s="11"/>
      <c r="U89" s="11"/>
      <c r="V89" s="11"/>
      <c r="W89" s="11"/>
      <c r="X89" s="16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79"/>
      <c r="AM89" s="45"/>
      <c r="AN89" s="8"/>
    </row>
    <row r="90" spans="2:40" x14ac:dyDescent="0.25">
      <c r="B90" s="147"/>
      <c r="C90" s="89"/>
      <c r="D90" s="89"/>
      <c r="E90" s="102"/>
      <c r="F90" s="90"/>
      <c r="G90" s="72"/>
      <c r="H90" s="9"/>
      <c r="I90" s="74">
        <f t="shared" si="1"/>
        <v>-129000</v>
      </c>
      <c r="J90" s="35"/>
      <c r="K90" s="19"/>
      <c r="L90" s="19"/>
      <c r="M90" s="19"/>
      <c r="N90" s="19"/>
      <c r="O90" s="36"/>
      <c r="P90" s="22"/>
      <c r="Q90" s="11"/>
      <c r="R90" s="11"/>
      <c r="S90" s="11"/>
      <c r="T90" s="11"/>
      <c r="U90" s="11"/>
      <c r="V90" s="11"/>
      <c r="W90" s="11"/>
      <c r="X90" s="16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79"/>
      <c r="AM90" s="45"/>
      <c r="AN90" s="8"/>
    </row>
    <row r="91" spans="2:40" x14ac:dyDescent="0.25">
      <c r="B91" s="147"/>
      <c r="C91" s="89"/>
      <c r="D91" s="89"/>
      <c r="E91" s="102"/>
      <c r="F91" s="90"/>
      <c r="G91" s="72"/>
      <c r="H91" s="9"/>
      <c r="I91" s="74">
        <f t="shared" si="1"/>
        <v>-129000</v>
      </c>
      <c r="J91" s="35"/>
      <c r="K91" s="19"/>
      <c r="L91" s="19"/>
      <c r="M91" s="19"/>
      <c r="N91" s="19"/>
      <c r="O91" s="36"/>
      <c r="P91" s="22"/>
      <c r="Q91" s="11"/>
      <c r="R91" s="11"/>
      <c r="S91" s="11"/>
      <c r="T91" s="11"/>
      <c r="U91" s="11"/>
      <c r="V91" s="11"/>
      <c r="W91" s="11"/>
      <c r="X91" s="16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79"/>
      <c r="AM91" s="45"/>
      <c r="AN91" s="8"/>
    </row>
    <row r="92" spans="2:40" x14ac:dyDescent="0.25">
      <c r="B92" s="147"/>
      <c r="C92" s="89"/>
      <c r="D92" s="89"/>
      <c r="E92" s="102"/>
      <c r="F92" s="90"/>
      <c r="G92" s="72"/>
      <c r="H92" s="9"/>
      <c r="I92" s="74">
        <f t="shared" si="1"/>
        <v>-129000</v>
      </c>
      <c r="J92" s="35"/>
      <c r="K92" s="19"/>
      <c r="L92" s="19"/>
      <c r="M92" s="19"/>
      <c r="N92" s="19"/>
      <c r="O92" s="36"/>
      <c r="P92" s="22"/>
      <c r="Q92" s="11"/>
      <c r="R92" s="11"/>
      <c r="S92" s="11"/>
      <c r="T92" s="11"/>
      <c r="U92" s="11"/>
      <c r="V92" s="11"/>
      <c r="W92" s="11"/>
      <c r="X92" s="16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79"/>
      <c r="AM92" s="45"/>
      <c r="AN92" s="8"/>
    </row>
    <row r="93" spans="2:40" x14ac:dyDescent="0.25">
      <c r="B93" s="147"/>
      <c r="C93" s="89"/>
      <c r="D93" s="89"/>
      <c r="E93" s="102"/>
      <c r="F93" s="90"/>
      <c r="G93" s="72"/>
      <c r="H93" s="9"/>
      <c r="I93" s="74">
        <f t="shared" si="1"/>
        <v>-129000</v>
      </c>
      <c r="J93" s="35"/>
      <c r="K93" s="19"/>
      <c r="L93" s="19"/>
      <c r="M93" s="19"/>
      <c r="N93" s="19"/>
      <c r="O93" s="36"/>
      <c r="P93" s="22"/>
      <c r="Q93" s="11"/>
      <c r="R93" s="11"/>
      <c r="S93" s="11"/>
      <c r="T93" s="11"/>
      <c r="U93" s="11"/>
      <c r="V93" s="11"/>
      <c r="W93" s="11"/>
      <c r="X93" s="16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79"/>
      <c r="AM93" s="45"/>
      <c r="AN93" s="8"/>
    </row>
    <row r="94" spans="2:40" x14ac:dyDescent="0.25">
      <c r="B94" s="147"/>
      <c r="C94" s="89"/>
      <c r="D94" s="89"/>
      <c r="E94" s="102"/>
      <c r="F94" s="90"/>
      <c r="G94" s="72"/>
      <c r="H94" s="9"/>
      <c r="I94" s="74">
        <f t="shared" si="1"/>
        <v>-129000</v>
      </c>
      <c r="J94" s="35"/>
      <c r="K94" s="19"/>
      <c r="L94" s="19"/>
      <c r="M94" s="19"/>
      <c r="N94" s="19"/>
      <c r="O94" s="36"/>
      <c r="P94" s="22"/>
      <c r="Q94" s="11"/>
      <c r="R94" s="11"/>
      <c r="S94" s="11"/>
      <c r="T94" s="11"/>
      <c r="U94" s="11"/>
      <c r="V94" s="14"/>
      <c r="W94" s="14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79"/>
      <c r="AM94" s="45"/>
      <c r="AN94" s="8"/>
    </row>
    <row r="95" spans="2:40" x14ac:dyDescent="0.25">
      <c r="B95" s="147"/>
      <c r="C95" s="89"/>
      <c r="D95" s="89"/>
      <c r="E95" s="102"/>
      <c r="F95" s="90"/>
      <c r="G95" s="72"/>
      <c r="H95" s="9"/>
      <c r="I95" s="74">
        <f t="shared" si="1"/>
        <v>-129000</v>
      </c>
      <c r="J95" s="35"/>
      <c r="K95" s="19"/>
      <c r="L95" s="19"/>
      <c r="M95" s="19"/>
      <c r="N95" s="19"/>
      <c r="O95" s="36"/>
      <c r="P95" s="22"/>
      <c r="Q95" s="11"/>
      <c r="R95" s="11"/>
      <c r="S95" s="11"/>
      <c r="T95" s="11"/>
      <c r="U95" s="11"/>
      <c r="V95" s="11"/>
      <c r="W95" s="11"/>
      <c r="X95" s="16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79"/>
      <c r="AM95" s="45"/>
      <c r="AN95" s="8"/>
    </row>
    <row r="96" spans="2:40" x14ac:dyDescent="0.25">
      <c r="B96" s="147"/>
      <c r="C96" s="89"/>
      <c r="D96" s="89"/>
      <c r="E96" s="102"/>
      <c r="F96" s="90"/>
      <c r="G96" s="72"/>
      <c r="H96" s="9"/>
      <c r="I96" s="74">
        <f t="shared" si="1"/>
        <v>-129000</v>
      </c>
      <c r="J96" s="35"/>
      <c r="K96" s="19"/>
      <c r="L96" s="19"/>
      <c r="M96" s="19"/>
      <c r="N96" s="19"/>
      <c r="O96" s="36"/>
      <c r="P96" s="22"/>
      <c r="Q96" s="14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79"/>
      <c r="AM96" s="45"/>
      <c r="AN96" s="8"/>
    </row>
    <row r="97" spans="2:40" x14ac:dyDescent="0.25">
      <c r="B97" s="147"/>
      <c r="C97" s="89"/>
      <c r="D97" s="89"/>
      <c r="E97" s="102"/>
      <c r="F97" s="90"/>
      <c r="G97" s="72"/>
      <c r="H97" s="9"/>
      <c r="I97" s="74">
        <f t="shared" si="1"/>
        <v>-129000</v>
      </c>
      <c r="J97" s="35"/>
      <c r="K97" s="19"/>
      <c r="L97" s="19"/>
      <c r="M97" s="19"/>
      <c r="N97" s="19"/>
      <c r="O97" s="36"/>
      <c r="P97" s="22"/>
      <c r="Q97" s="14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79"/>
      <c r="AM97" s="45"/>
      <c r="AN97" s="8"/>
    </row>
    <row r="98" spans="2:40" x14ac:dyDescent="0.25">
      <c r="B98" s="147"/>
      <c r="C98" s="89"/>
      <c r="D98" s="89"/>
      <c r="E98" s="102"/>
      <c r="F98" s="90"/>
      <c r="G98" s="72"/>
      <c r="H98" s="9"/>
      <c r="I98" s="74">
        <f t="shared" si="1"/>
        <v>-129000</v>
      </c>
      <c r="J98" s="35"/>
      <c r="K98" s="19"/>
      <c r="L98" s="19"/>
      <c r="M98" s="19"/>
      <c r="N98" s="19"/>
      <c r="O98" s="36"/>
      <c r="P98" s="22"/>
      <c r="Q98" s="11"/>
      <c r="R98" s="11"/>
      <c r="S98" s="11"/>
      <c r="T98" s="11"/>
      <c r="U98" s="11"/>
      <c r="V98" s="11"/>
      <c r="W98" s="11"/>
      <c r="X98" s="11"/>
      <c r="Y98" s="11"/>
      <c r="Z98" s="14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79"/>
      <c r="AM98" s="45"/>
      <c r="AN98" s="8"/>
    </row>
    <row r="99" spans="2:40" x14ac:dyDescent="0.25">
      <c r="B99" s="147"/>
      <c r="C99" s="89"/>
      <c r="D99" s="89"/>
      <c r="E99" s="102"/>
      <c r="F99" s="90"/>
      <c r="G99" s="72"/>
      <c r="H99" s="9"/>
      <c r="I99" s="74">
        <f t="shared" si="1"/>
        <v>-129000</v>
      </c>
      <c r="J99" s="35"/>
      <c r="K99" s="19"/>
      <c r="L99" s="19"/>
      <c r="M99" s="19"/>
      <c r="N99" s="19"/>
      <c r="O99" s="36"/>
      <c r="P99" s="22"/>
      <c r="Q99" s="11"/>
      <c r="R99" s="11"/>
      <c r="S99" s="11"/>
      <c r="T99" s="11"/>
      <c r="U99" s="11"/>
      <c r="V99" s="11"/>
      <c r="W99" s="11"/>
      <c r="X99" s="11"/>
      <c r="Y99" s="11"/>
      <c r="Z99" s="14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79"/>
      <c r="AM99" s="45"/>
      <c r="AN99" s="8"/>
    </row>
    <row r="100" spans="2:40" x14ac:dyDescent="0.25">
      <c r="B100" s="147"/>
      <c r="C100" s="89"/>
      <c r="D100" s="89"/>
      <c r="E100" s="102"/>
      <c r="F100" s="90"/>
      <c r="G100" s="72"/>
      <c r="H100" s="9"/>
      <c r="I100" s="74">
        <f t="shared" si="1"/>
        <v>-129000</v>
      </c>
      <c r="J100" s="35"/>
      <c r="K100" s="19"/>
      <c r="L100" s="19"/>
      <c r="M100" s="19"/>
      <c r="N100" s="19"/>
      <c r="O100" s="36"/>
      <c r="P100" s="22"/>
      <c r="Q100" s="11"/>
      <c r="R100" s="11"/>
      <c r="S100" s="11"/>
      <c r="T100" s="11"/>
      <c r="U100" s="11"/>
      <c r="V100" s="11"/>
      <c r="W100" s="11"/>
      <c r="X100" s="11"/>
      <c r="Y100" s="11"/>
      <c r="Z100" s="14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79"/>
      <c r="AM100" s="45"/>
      <c r="AN100" s="8"/>
    </row>
    <row r="101" spans="2:40" x14ac:dyDescent="0.25">
      <c r="B101" s="147"/>
      <c r="C101" s="89"/>
      <c r="D101" s="89"/>
      <c r="E101" s="102"/>
      <c r="F101" s="90"/>
      <c r="G101" s="72"/>
      <c r="H101" s="9"/>
      <c r="I101" s="74">
        <f t="shared" si="1"/>
        <v>-129000</v>
      </c>
      <c r="J101" s="35"/>
      <c r="K101" s="19"/>
      <c r="L101" s="19"/>
      <c r="M101" s="19"/>
      <c r="N101" s="19"/>
      <c r="O101" s="36"/>
      <c r="P101" s="22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5"/>
      <c r="AH101" s="11"/>
      <c r="AI101" s="11"/>
      <c r="AJ101" s="11"/>
      <c r="AK101" s="11"/>
      <c r="AL101" s="79"/>
      <c r="AM101" s="45"/>
      <c r="AN101" s="8"/>
    </row>
    <row r="102" spans="2:40" x14ac:dyDescent="0.25">
      <c r="B102" s="147"/>
      <c r="C102" s="89"/>
      <c r="D102" s="89"/>
      <c r="E102" s="102"/>
      <c r="F102" s="90"/>
      <c r="G102" s="72"/>
      <c r="H102" s="9"/>
      <c r="I102" s="74">
        <f t="shared" si="1"/>
        <v>-129000</v>
      </c>
      <c r="J102" s="35"/>
      <c r="K102" s="19"/>
      <c r="L102" s="19"/>
      <c r="M102" s="19"/>
      <c r="N102" s="19"/>
      <c r="O102" s="36"/>
      <c r="P102" s="22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79"/>
      <c r="AM102" s="45"/>
      <c r="AN102" s="8"/>
    </row>
    <row r="103" spans="2:40" x14ac:dyDescent="0.25">
      <c r="B103" s="147"/>
      <c r="C103" s="89"/>
      <c r="D103" s="89"/>
      <c r="E103" s="102"/>
      <c r="F103" s="90"/>
      <c r="G103" s="72"/>
      <c r="H103" s="9"/>
      <c r="I103" s="74">
        <f t="shared" si="1"/>
        <v>-129000</v>
      </c>
      <c r="J103" s="35"/>
      <c r="K103" s="19"/>
      <c r="L103" s="19"/>
      <c r="M103" s="19"/>
      <c r="N103" s="19"/>
      <c r="O103" s="36"/>
      <c r="P103" s="22"/>
      <c r="Q103" s="11"/>
      <c r="R103" s="11"/>
      <c r="S103" s="11"/>
      <c r="T103" s="11"/>
      <c r="U103" s="11"/>
      <c r="V103" s="11"/>
      <c r="W103" s="11"/>
      <c r="X103" s="16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79"/>
      <c r="AM103" s="45"/>
      <c r="AN103" s="8"/>
    </row>
    <row r="104" spans="2:40" x14ac:dyDescent="0.25">
      <c r="B104" s="147"/>
      <c r="C104" s="89"/>
      <c r="D104" s="89"/>
      <c r="E104" s="102"/>
      <c r="F104" s="90"/>
      <c r="G104" s="72"/>
      <c r="H104" s="9"/>
      <c r="I104" s="74">
        <f t="shared" si="1"/>
        <v>-129000</v>
      </c>
      <c r="J104" s="35"/>
      <c r="K104" s="19"/>
      <c r="L104" s="19"/>
      <c r="M104" s="19"/>
      <c r="N104" s="19"/>
      <c r="O104" s="36"/>
      <c r="P104" s="22"/>
      <c r="Q104" s="11"/>
      <c r="R104" s="11"/>
      <c r="S104" s="11"/>
      <c r="T104" s="11"/>
      <c r="U104" s="11"/>
      <c r="V104" s="11"/>
      <c r="W104" s="11"/>
      <c r="X104" s="16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79"/>
      <c r="AM104" s="45"/>
      <c r="AN104" s="8"/>
    </row>
    <row r="105" spans="2:40" x14ac:dyDescent="0.25">
      <c r="B105" s="147"/>
      <c r="C105" s="89"/>
      <c r="D105" s="89"/>
      <c r="E105" s="102"/>
      <c r="F105" s="90"/>
      <c r="G105" s="72"/>
      <c r="H105" s="9"/>
      <c r="I105" s="74">
        <f t="shared" si="1"/>
        <v>-129000</v>
      </c>
      <c r="J105" s="35"/>
      <c r="K105" s="19"/>
      <c r="L105" s="19"/>
      <c r="M105" s="19"/>
      <c r="N105" s="19"/>
      <c r="O105" s="36"/>
      <c r="P105" s="22"/>
      <c r="Q105" s="11"/>
      <c r="R105" s="11"/>
      <c r="S105" s="11"/>
      <c r="T105" s="11"/>
      <c r="U105" s="11"/>
      <c r="V105" s="11"/>
      <c r="W105" s="11"/>
      <c r="X105" s="16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4"/>
      <c r="AJ105" s="14"/>
      <c r="AK105" s="14"/>
      <c r="AL105" s="80"/>
      <c r="AM105" s="45"/>
      <c r="AN105" s="8"/>
    </row>
    <row r="106" spans="2:40" x14ac:dyDescent="0.25">
      <c r="B106" s="147"/>
      <c r="C106" s="89"/>
      <c r="D106" s="89"/>
      <c r="E106" s="102"/>
      <c r="F106" s="90"/>
      <c r="G106" s="72"/>
      <c r="H106" s="9"/>
      <c r="I106" s="74">
        <f t="shared" si="1"/>
        <v>-129000</v>
      </c>
      <c r="J106" s="35"/>
      <c r="K106" s="19"/>
      <c r="L106" s="19"/>
      <c r="M106" s="19"/>
      <c r="N106" s="19"/>
      <c r="O106" s="36"/>
      <c r="P106" s="22"/>
      <c r="Q106" s="11"/>
      <c r="R106" s="11"/>
      <c r="S106" s="11"/>
      <c r="T106" s="11"/>
      <c r="U106" s="11"/>
      <c r="V106" s="11"/>
      <c r="W106" s="11"/>
      <c r="X106" s="16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4"/>
      <c r="AJ106" s="14"/>
      <c r="AK106" s="14"/>
      <c r="AL106" s="80"/>
      <c r="AM106" s="45"/>
      <c r="AN106" s="8"/>
    </row>
    <row r="107" spans="2:40" x14ac:dyDescent="0.25">
      <c r="B107" s="147"/>
      <c r="C107" s="89"/>
      <c r="D107" s="89"/>
      <c r="E107" s="102"/>
      <c r="F107" s="90"/>
      <c r="G107" s="72"/>
      <c r="H107" s="9"/>
      <c r="I107" s="74">
        <f t="shared" si="1"/>
        <v>-129000</v>
      </c>
      <c r="J107" s="35"/>
      <c r="K107" s="19"/>
      <c r="L107" s="19"/>
      <c r="M107" s="19"/>
      <c r="N107" s="19"/>
      <c r="O107" s="36"/>
      <c r="P107" s="22"/>
      <c r="Q107" s="11"/>
      <c r="R107" s="11"/>
      <c r="S107" s="11"/>
      <c r="T107" s="11"/>
      <c r="U107" s="11"/>
      <c r="V107" s="11"/>
      <c r="W107" s="11"/>
      <c r="X107" s="16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79"/>
      <c r="AM107" s="45"/>
      <c r="AN107" s="8"/>
    </row>
    <row r="108" spans="2:40" x14ac:dyDescent="0.25">
      <c r="B108" s="147"/>
      <c r="C108" s="89"/>
      <c r="D108" s="89"/>
      <c r="E108" s="102"/>
      <c r="F108" s="90"/>
      <c r="G108" s="72"/>
      <c r="H108" s="9"/>
      <c r="I108" s="74">
        <f t="shared" si="1"/>
        <v>-129000</v>
      </c>
      <c r="J108" s="35"/>
      <c r="K108" s="19"/>
      <c r="L108" s="19"/>
      <c r="M108" s="19"/>
      <c r="N108" s="19"/>
      <c r="O108" s="36"/>
      <c r="P108" s="22"/>
      <c r="Q108" s="11"/>
      <c r="R108" s="11"/>
      <c r="S108" s="11"/>
      <c r="T108" s="11"/>
      <c r="U108" s="11"/>
      <c r="V108" s="11"/>
      <c r="W108" s="11"/>
      <c r="X108" s="16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79"/>
      <c r="AM108" s="45"/>
      <c r="AN108" s="8"/>
    </row>
    <row r="109" spans="2:40" x14ac:dyDescent="0.25">
      <c r="B109" s="147"/>
      <c r="C109" s="89"/>
      <c r="D109" s="89"/>
      <c r="E109" s="102"/>
      <c r="F109" s="90"/>
      <c r="G109" s="72"/>
      <c r="H109" s="9"/>
      <c r="I109" s="74">
        <f t="shared" si="1"/>
        <v>-129000</v>
      </c>
      <c r="J109" s="35"/>
      <c r="K109" s="19"/>
      <c r="L109" s="19"/>
      <c r="M109" s="19"/>
      <c r="N109" s="19"/>
      <c r="O109" s="36"/>
      <c r="P109" s="22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79"/>
      <c r="AM109" s="45"/>
      <c r="AN109" s="8"/>
    </row>
    <row r="110" spans="2:40" x14ac:dyDescent="0.25">
      <c r="B110" s="147"/>
      <c r="C110" s="89"/>
      <c r="D110" s="89"/>
      <c r="E110" s="102"/>
      <c r="F110" s="90"/>
      <c r="G110" s="72"/>
      <c r="H110" s="9"/>
      <c r="I110" s="74">
        <f t="shared" si="1"/>
        <v>-129000</v>
      </c>
      <c r="J110" s="35"/>
      <c r="K110" s="19"/>
      <c r="L110" s="19"/>
      <c r="M110" s="19"/>
      <c r="N110" s="19"/>
      <c r="O110" s="36"/>
      <c r="P110" s="22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79"/>
      <c r="AM110" s="45"/>
      <c r="AN110" s="8"/>
    </row>
    <row r="111" spans="2:40" x14ac:dyDescent="0.25">
      <c r="B111" s="147"/>
      <c r="C111" s="89"/>
      <c r="D111" s="89"/>
      <c r="E111" s="102"/>
      <c r="F111" s="90"/>
      <c r="G111" s="72"/>
      <c r="H111" s="9"/>
      <c r="I111" s="74">
        <f t="shared" si="1"/>
        <v>-129000</v>
      </c>
      <c r="J111" s="35"/>
      <c r="K111" s="19"/>
      <c r="L111" s="19"/>
      <c r="M111" s="19"/>
      <c r="N111" s="19"/>
      <c r="O111" s="36"/>
      <c r="P111" s="22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79"/>
      <c r="AM111" s="45"/>
      <c r="AN111" s="8"/>
    </row>
    <row r="112" spans="2:40" x14ac:dyDescent="0.25">
      <c r="B112" s="147"/>
      <c r="C112" s="89"/>
      <c r="D112" s="89"/>
      <c r="E112" s="102"/>
      <c r="F112" s="90"/>
      <c r="G112" s="72"/>
      <c r="H112" s="9"/>
      <c r="I112" s="74">
        <f t="shared" si="1"/>
        <v>-129000</v>
      </c>
      <c r="J112" s="35"/>
      <c r="K112" s="19"/>
      <c r="L112" s="19"/>
      <c r="M112" s="19"/>
      <c r="N112" s="19"/>
      <c r="O112" s="36"/>
      <c r="P112" s="22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4"/>
      <c r="AI112" s="14"/>
      <c r="AJ112" s="14"/>
      <c r="AK112" s="14"/>
      <c r="AL112" s="80"/>
      <c r="AM112" s="45"/>
      <c r="AN112" s="8"/>
    </row>
    <row r="113" spans="2:40" x14ac:dyDescent="0.25">
      <c r="B113" s="147"/>
      <c r="C113" s="89"/>
      <c r="D113" s="89"/>
      <c r="E113" s="102"/>
      <c r="F113" s="90"/>
      <c r="G113" s="72"/>
      <c r="H113" s="9"/>
      <c r="I113" s="74">
        <f t="shared" si="1"/>
        <v>-129000</v>
      </c>
      <c r="J113" s="35"/>
      <c r="K113" s="19"/>
      <c r="L113" s="19"/>
      <c r="M113" s="19"/>
      <c r="N113" s="19"/>
      <c r="O113" s="36"/>
      <c r="P113" s="22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4"/>
      <c r="AI113" s="11"/>
      <c r="AJ113" s="11"/>
      <c r="AK113" s="11"/>
      <c r="AL113" s="79"/>
      <c r="AM113" s="45"/>
      <c r="AN113" s="8"/>
    </row>
    <row r="114" spans="2:40" x14ac:dyDescent="0.25">
      <c r="B114" s="147"/>
      <c r="C114" s="89"/>
      <c r="D114" s="89"/>
      <c r="E114" s="102"/>
      <c r="F114" s="90"/>
      <c r="G114" s="72"/>
      <c r="H114" s="9"/>
      <c r="I114" s="74">
        <f t="shared" si="1"/>
        <v>-129000</v>
      </c>
      <c r="J114" s="35"/>
      <c r="K114" s="19"/>
      <c r="L114" s="19"/>
      <c r="M114" s="19"/>
      <c r="N114" s="19"/>
      <c r="O114" s="36"/>
      <c r="P114" s="2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5"/>
      <c r="AB114" s="15"/>
      <c r="AC114" s="15"/>
      <c r="AD114" s="15"/>
      <c r="AE114" s="11"/>
      <c r="AF114" s="11"/>
      <c r="AG114" s="11"/>
      <c r="AH114" s="11"/>
      <c r="AI114" s="11"/>
      <c r="AJ114" s="11"/>
      <c r="AK114" s="11"/>
      <c r="AL114" s="79"/>
      <c r="AM114" s="45"/>
      <c r="AN114" s="8"/>
    </row>
    <row r="115" spans="2:40" x14ac:dyDescent="0.25">
      <c r="B115" s="147"/>
      <c r="C115" s="89"/>
      <c r="D115" s="89"/>
      <c r="E115" s="102"/>
      <c r="F115" s="90"/>
      <c r="G115" s="72"/>
      <c r="H115" s="9"/>
      <c r="I115" s="74">
        <f t="shared" si="1"/>
        <v>-129000</v>
      </c>
      <c r="J115" s="35"/>
      <c r="K115" s="19"/>
      <c r="L115" s="19"/>
      <c r="M115" s="19"/>
      <c r="N115" s="19"/>
      <c r="O115" s="36"/>
      <c r="P115" s="22"/>
      <c r="Q115" s="14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79"/>
      <c r="AM115" s="45"/>
      <c r="AN115" s="8"/>
    </row>
    <row r="116" spans="2:40" x14ac:dyDescent="0.25">
      <c r="B116" s="147"/>
      <c r="C116" s="89"/>
      <c r="D116" s="89"/>
      <c r="E116" s="102"/>
      <c r="F116" s="90"/>
      <c r="G116" s="72"/>
      <c r="H116" s="9"/>
      <c r="I116" s="74">
        <f t="shared" si="1"/>
        <v>-129000</v>
      </c>
      <c r="J116" s="35"/>
      <c r="K116" s="19"/>
      <c r="L116" s="19"/>
      <c r="M116" s="19"/>
      <c r="N116" s="19"/>
      <c r="O116" s="36"/>
      <c r="P116" s="22"/>
      <c r="Q116" s="11"/>
      <c r="R116" s="11"/>
      <c r="S116" s="11"/>
      <c r="T116" s="11"/>
      <c r="U116" s="14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79"/>
      <c r="AM116" s="45"/>
      <c r="AN116" s="8"/>
    </row>
    <row r="117" spans="2:40" x14ac:dyDescent="0.25">
      <c r="B117" s="147"/>
      <c r="C117" s="89"/>
      <c r="D117" s="89"/>
      <c r="E117" s="102"/>
      <c r="F117" s="90"/>
      <c r="G117" s="72"/>
      <c r="H117" s="9"/>
      <c r="I117" s="74">
        <f t="shared" si="1"/>
        <v>-129000</v>
      </c>
      <c r="J117" s="35"/>
      <c r="K117" s="19"/>
      <c r="L117" s="19"/>
      <c r="M117" s="19"/>
      <c r="N117" s="19"/>
      <c r="O117" s="36"/>
      <c r="P117" s="22"/>
      <c r="Q117" s="11"/>
      <c r="R117" s="11"/>
      <c r="S117" s="11"/>
      <c r="T117" s="11"/>
      <c r="U117" s="11"/>
      <c r="V117" s="14"/>
      <c r="W117" s="14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79"/>
      <c r="AM117" s="45"/>
      <c r="AN117" s="8"/>
    </row>
    <row r="118" spans="2:40" x14ac:dyDescent="0.25">
      <c r="B118" s="147"/>
      <c r="C118" s="89"/>
      <c r="D118" s="89"/>
      <c r="E118" s="102"/>
      <c r="F118" s="90"/>
      <c r="G118" s="72"/>
      <c r="H118" s="9"/>
      <c r="I118" s="74">
        <f t="shared" si="1"/>
        <v>-129000</v>
      </c>
      <c r="J118" s="35"/>
      <c r="K118" s="19"/>
      <c r="L118" s="19"/>
      <c r="M118" s="19"/>
      <c r="N118" s="19"/>
      <c r="O118" s="36"/>
      <c r="P118" s="22"/>
      <c r="Q118" s="11"/>
      <c r="R118" s="11"/>
      <c r="S118" s="11"/>
      <c r="T118" s="11"/>
      <c r="U118" s="11"/>
      <c r="V118" s="11"/>
      <c r="W118" s="11"/>
      <c r="X118" s="16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79"/>
      <c r="AM118" s="45"/>
      <c r="AN118" s="8"/>
    </row>
    <row r="119" spans="2:40" x14ac:dyDescent="0.25">
      <c r="B119" s="147"/>
      <c r="C119" s="89"/>
      <c r="D119" s="89"/>
      <c r="E119" s="102"/>
      <c r="F119" s="90"/>
      <c r="G119" s="72"/>
      <c r="H119" s="9"/>
      <c r="I119" s="74">
        <f t="shared" si="1"/>
        <v>-129000</v>
      </c>
      <c r="J119" s="35"/>
      <c r="K119" s="19"/>
      <c r="L119" s="19"/>
      <c r="M119" s="19"/>
      <c r="N119" s="19"/>
      <c r="O119" s="36"/>
      <c r="P119" s="22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79"/>
      <c r="AM119" s="45"/>
      <c r="AN119" s="8"/>
    </row>
    <row r="120" spans="2:40" x14ac:dyDescent="0.25">
      <c r="B120" s="147"/>
      <c r="C120" s="89"/>
      <c r="D120" s="89"/>
      <c r="E120" s="102"/>
      <c r="F120" s="90"/>
      <c r="G120" s="72"/>
      <c r="H120" s="9"/>
      <c r="I120" s="74">
        <f t="shared" si="1"/>
        <v>-129000</v>
      </c>
      <c r="J120" s="35"/>
      <c r="K120" s="19"/>
      <c r="L120" s="19"/>
      <c r="M120" s="19"/>
      <c r="N120" s="19"/>
      <c r="O120" s="36"/>
      <c r="P120" s="22"/>
      <c r="Q120" s="11"/>
      <c r="R120" s="11"/>
      <c r="S120" s="11"/>
      <c r="T120" s="11"/>
      <c r="U120" s="11"/>
      <c r="V120" s="11"/>
      <c r="W120" s="11"/>
      <c r="X120" s="16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79"/>
      <c r="AM120" s="45"/>
      <c r="AN120" s="8"/>
    </row>
    <row r="121" spans="2:40" x14ac:dyDescent="0.25">
      <c r="B121" s="147"/>
      <c r="C121" s="89"/>
      <c r="D121" s="89"/>
      <c r="E121" s="102"/>
      <c r="F121" s="90"/>
      <c r="G121" s="72"/>
      <c r="H121" s="9"/>
      <c r="I121" s="74">
        <f t="shared" si="1"/>
        <v>-129000</v>
      </c>
      <c r="J121" s="35"/>
      <c r="K121" s="19"/>
      <c r="L121" s="19"/>
      <c r="M121" s="19"/>
      <c r="N121" s="19"/>
      <c r="O121" s="36"/>
      <c r="P121" s="22"/>
      <c r="Q121" s="11"/>
      <c r="R121" s="11"/>
      <c r="S121" s="11"/>
      <c r="T121" s="11"/>
      <c r="U121" s="11"/>
      <c r="V121" s="11"/>
      <c r="W121" s="11"/>
      <c r="X121" s="16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79"/>
      <c r="AM121" s="45"/>
      <c r="AN121" s="8"/>
    </row>
    <row r="122" spans="2:40" x14ac:dyDescent="0.25">
      <c r="B122" s="147"/>
      <c r="C122" s="89"/>
      <c r="D122" s="89"/>
      <c r="E122" s="102"/>
      <c r="F122" s="90"/>
      <c r="G122" s="72"/>
      <c r="H122" s="9"/>
      <c r="I122" s="74">
        <f t="shared" si="1"/>
        <v>-129000</v>
      </c>
      <c r="J122" s="35"/>
      <c r="K122" s="19"/>
      <c r="L122" s="19"/>
      <c r="M122" s="19"/>
      <c r="N122" s="19"/>
      <c r="O122" s="36"/>
      <c r="P122" s="22"/>
      <c r="Q122" s="11"/>
      <c r="R122" s="11"/>
      <c r="S122" s="11"/>
      <c r="T122" s="11"/>
      <c r="U122" s="11"/>
      <c r="V122" s="11"/>
      <c r="W122" s="11"/>
      <c r="X122" s="17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79"/>
      <c r="AM122" s="45"/>
      <c r="AN122" s="8"/>
    </row>
    <row r="123" spans="2:40" x14ac:dyDescent="0.25">
      <c r="B123" s="147"/>
      <c r="C123" s="89"/>
      <c r="D123" s="89"/>
      <c r="E123" s="102"/>
      <c r="F123" s="90"/>
      <c r="G123" s="72"/>
      <c r="H123" s="9"/>
      <c r="I123" s="74">
        <f t="shared" si="1"/>
        <v>-129000</v>
      </c>
      <c r="J123" s="35"/>
      <c r="K123" s="19"/>
      <c r="L123" s="19"/>
      <c r="M123" s="19"/>
      <c r="N123" s="19"/>
      <c r="O123" s="36"/>
      <c r="P123" s="22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79"/>
      <c r="AM123" s="45"/>
      <c r="AN123" s="8"/>
    </row>
    <row r="124" spans="2:40" x14ac:dyDescent="0.25">
      <c r="B124" s="147"/>
      <c r="C124" s="89"/>
      <c r="D124" s="89"/>
      <c r="E124" s="102"/>
      <c r="F124" s="90"/>
      <c r="G124" s="72"/>
      <c r="H124" s="9"/>
      <c r="I124" s="74">
        <f t="shared" si="1"/>
        <v>-129000</v>
      </c>
      <c r="J124" s="35"/>
      <c r="K124" s="19"/>
      <c r="L124" s="19"/>
      <c r="M124" s="19"/>
      <c r="N124" s="19"/>
      <c r="O124" s="36"/>
      <c r="P124" s="22"/>
      <c r="Q124" s="11"/>
      <c r="R124" s="11"/>
      <c r="S124" s="11"/>
      <c r="T124" s="11"/>
      <c r="U124" s="11"/>
      <c r="V124" s="11"/>
      <c r="W124" s="11"/>
      <c r="X124" s="16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79"/>
      <c r="AM124" s="45"/>
      <c r="AN124" s="8"/>
    </row>
    <row r="125" spans="2:40" x14ac:dyDescent="0.25">
      <c r="B125" s="147"/>
      <c r="C125" s="89"/>
      <c r="D125" s="89"/>
      <c r="E125" s="102"/>
      <c r="F125" s="90"/>
      <c r="G125" s="72"/>
      <c r="H125" s="9"/>
      <c r="I125" s="74">
        <f t="shared" si="1"/>
        <v>-129000</v>
      </c>
      <c r="J125" s="35"/>
      <c r="K125" s="19"/>
      <c r="L125" s="19"/>
      <c r="M125" s="19"/>
      <c r="N125" s="19"/>
      <c r="O125" s="36"/>
      <c r="P125" s="22"/>
      <c r="Q125" s="11"/>
      <c r="R125" s="11"/>
      <c r="S125" s="11"/>
      <c r="T125" s="11"/>
      <c r="U125" s="11"/>
      <c r="V125" s="11"/>
      <c r="W125" s="11"/>
      <c r="X125" s="16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79"/>
      <c r="AM125" s="45"/>
      <c r="AN125" s="8"/>
    </row>
    <row r="126" spans="2:40" x14ac:dyDescent="0.25">
      <c r="B126" s="147"/>
      <c r="C126" s="89"/>
      <c r="D126" s="89"/>
      <c r="E126" s="102"/>
      <c r="F126" s="90"/>
      <c r="G126" s="72"/>
      <c r="H126" s="9"/>
      <c r="I126" s="74">
        <f t="shared" si="1"/>
        <v>-129000</v>
      </c>
      <c r="J126" s="35"/>
      <c r="K126" s="19"/>
      <c r="L126" s="19"/>
      <c r="M126" s="19"/>
      <c r="N126" s="19"/>
      <c r="O126" s="36"/>
      <c r="P126" s="22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79"/>
      <c r="AM126" s="45"/>
      <c r="AN126" s="8"/>
    </row>
    <row r="127" spans="2:40" x14ac:dyDescent="0.25">
      <c r="B127" s="147"/>
      <c r="C127" s="89"/>
      <c r="D127" s="89"/>
      <c r="E127" s="102"/>
      <c r="F127" s="90"/>
      <c r="G127" s="72"/>
      <c r="H127" s="9"/>
      <c r="I127" s="74">
        <f t="shared" si="1"/>
        <v>-129000</v>
      </c>
      <c r="J127" s="35"/>
      <c r="K127" s="19"/>
      <c r="L127" s="19"/>
      <c r="M127" s="19"/>
      <c r="N127" s="19"/>
      <c r="O127" s="36"/>
      <c r="P127" s="22"/>
      <c r="Q127" s="11"/>
      <c r="R127" s="11"/>
      <c r="S127" s="11"/>
      <c r="T127" s="11"/>
      <c r="U127" s="11"/>
      <c r="V127" s="11"/>
      <c r="W127" s="11"/>
      <c r="X127" s="16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79"/>
      <c r="AM127" s="45"/>
      <c r="AN127" s="8"/>
    </row>
    <row r="128" spans="2:40" x14ac:dyDescent="0.25">
      <c r="B128" s="147"/>
      <c r="C128" s="89"/>
      <c r="D128" s="89"/>
      <c r="E128" s="102"/>
      <c r="F128" s="90"/>
      <c r="G128" s="72"/>
      <c r="H128" s="9"/>
      <c r="I128" s="74">
        <f t="shared" si="1"/>
        <v>-129000</v>
      </c>
      <c r="J128" s="35"/>
      <c r="K128" s="19"/>
      <c r="L128" s="19"/>
      <c r="M128" s="19"/>
      <c r="N128" s="19"/>
      <c r="O128" s="36"/>
      <c r="P128" s="22"/>
      <c r="Q128" s="11"/>
      <c r="R128" s="11"/>
      <c r="S128" s="11"/>
      <c r="T128" s="11"/>
      <c r="U128" s="11"/>
      <c r="V128" s="11"/>
      <c r="W128" s="11"/>
      <c r="X128" s="11"/>
      <c r="Y128" s="15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79"/>
      <c r="AM128" s="45"/>
      <c r="AN128" s="8"/>
    </row>
    <row r="129" spans="2:40" x14ac:dyDescent="0.25">
      <c r="B129" s="147"/>
      <c r="C129" s="89"/>
      <c r="D129" s="89"/>
      <c r="E129" s="102"/>
      <c r="F129" s="90"/>
      <c r="G129" s="72"/>
      <c r="H129" s="9"/>
      <c r="I129" s="74">
        <f t="shared" si="1"/>
        <v>-129000</v>
      </c>
      <c r="J129" s="35"/>
      <c r="K129" s="19"/>
      <c r="L129" s="19"/>
      <c r="M129" s="19"/>
      <c r="N129" s="19"/>
      <c r="O129" s="36"/>
      <c r="P129" s="22"/>
      <c r="Q129" s="11"/>
      <c r="R129" s="11"/>
      <c r="S129" s="11"/>
      <c r="T129" s="11"/>
      <c r="U129" s="11"/>
      <c r="V129" s="11"/>
      <c r="W129" s="11"/>
      <c r="X129" s="11"/>
      <c r="Y129" s="11"/>
      <c r="Z129" s="14"/>
      <c r="AA129" s="11"/>
      <c r="AB129" s="11"/>
      <c r="AC129" s="11"/>
      <c r="AD129" s="11"/>
      <c r="AE129" s="11"/>
      <c r="AF129" s="11"/>
      <c r="AG129" s="11"/>
      <c r="AH129" s="11"/>
      <c r="AI129" s="14"/>
      <c r="AJ129" s="14"/>
      <c r="AK129" s="14"/>
      <c r="AL129" s="80"/>
      <c r="AM129" s="45"/>
      <c r="AN129" s="8"/>
    </row>
    <row r="130" spans="2:40" x14ac:dyDescent="0.25">
      <c r="B130" s="147"/>
      <c r="C130" s="89"/>
      <c r="D130" s="89"/>
      <c r="E130" s="102"/>
      <c r="F130" s="90"/>
      <c r="G130" s="72"/>
      <c r="H130" s="9"/>
      <c r="I130" s="74">
        <f t="shared" si="1"/>
        <v>-129000</v>
      </c>
      <c r="J130" s="35"/>
      <c r="K130" s="19"/>
      <c r="L130" s="19"/>
      <c r="M130" s="19"/>
      <c r="N130" s="19"/>
      <c r="O130" s="36"/>
      <c r="P130" s="22"/>
      <c r="Q130" s="11"/>
      <c r="R130" s="11"/>
      <c r="S130" s="11"/>
      <c r="T130" s="11"/>
      <c r="U130" s="11"/>
      <c r="V130" s="11"/>
      <c r="W130" s="11"/>
      <c r="X130" s="11"/>
      <c r="Y130" s="11"/>
      <c r="Z130" s="14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79"/>
      <c r="AM130" s="45"/>
      <c r="AN130" s="8"/>
    </row>
    <row r="131" spans="2:40" x14ac:dyDescent="0.25">
      <c r="B131" s="147"/>
      <c r="C131" s="89"/>
      <c r="D131" s="89"/>
      <c r="E131" s="102"/>
      <c r="F131" s="90"/>
      <c r="G131" s="72"/>
      <c r="H131" s="9"/>
      <c r="I131" s="74">
        <f t="shared" si="1"/>
        <v>-129000</v>
      </c>
      <c r="J131" s="35"/>
      <c r="K131" s="19"/>
      <c r="L131" s="19"/>
      <c r="M131" s="19"/>
      <c r="N131" s="19"/>
      <c r="O131" s="36"/>
      <c r="P131" s="22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79"/>
      <c r="AM131" s="45"/>
      <c r="AN131" s="8"/>
    </row>
    <row r="132" spans="2:40" x14ac:dyDescent="0.25">
      <c r="B132" s="147"/>
      <c r="C132" s="89"/>
      <c r="D132" s="89"/>
      <c r="E132" s="102"/>
      <c r="F132" s="90"/>
      <c r="G132" s="72"/>
      <c r="H132" s="9"/>
      <c r="I132" s="74">
        <f t="shared" si="1"/>
        <v>-129000</v>
      </c>
      <c r="J132" s="35"/>
      <c r="K132" s="19"/>
      <c r="L132" s="19"/>
      <c r="M132" s="19"/>
      <c r="N132" s="19"/>
      <c r="O132" s="36"/>
      <c r="P132" s="22"/>
      <c r="Q132" s="14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79"/>
      <c r="AM132" s="45"/>
      <c r="AN132" s="8"/>
    </row>
    <row r="133" spans="2:40" x14ac:dyDescent="0.25">
      <c r="B133" s="147"/>
      <c r="C133" s="89"/>
      <c r="D133" s="89"/>
      <c r="E133" s="102"/>
      <c r="F133" s="90"/>
      <c r="G133" s="72"/>
      <c r="H133" s="9"/>
      <c r="I133" s="74">
        <f t="shared" si="1"/>
        <v>-129000</v>
      </c>
      <c r="J133" s="35"/>
      <c r="K133" s="19"/>
      <c r="L133" s="19"/>
      <c r="M133" s="19"/>
      <c r="N133" s="19"/>
      <c r="O133" s="36"/>
      <c r="P133" s="22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5"/>
      <c r="AB133" s="15"/>
      <c r="AC133" s="15"/>
      <c r="AD133" s="15"/>
      <c r="AE133" s="11"/>
      <c r="AF133" s="11"/>
      <c r="AG133" s="11"/>
      <c r="AH133" s="11"/>
      <c r="AI133" s="11"/>
      <c r="AJ133" s="11"/>
      <c r="AK133" s="11"/>
      <c r="AL133" s="79"/>
      <c r="AM133" s="45"/>
      <c r="AN133" s="8"/>
    </row>
    <row r="134" spans="2:40" x14ac:dyDescent="0.25">
      <c r="B134" s="147"/>
      <c r="C134" s="89"/>
      <c r="D134" s="89"/>
      <c r="E134" s="102"/>
      <c r="F134" s="90"/>
      <c r="G134" s="72"/>
      <c r="H134" s="9"/>
      <c r="I134" s="74">
        <f t="shared" si="1"/>
        <v>-129000</v>
      </c>
      <c r="J134" s="35"/>
      <c r="K134" s="19"/>
      <c r="L134" s="19"/>
      <c r="M134" s="19"/>
      <c r="N134" s="19"/>
      <c r="O134" s="36"/>
      <c r="P134" s="22"/>
      <c r="Q134" s="11"/>
      <c r="R134" s="11"/>
      <c r="S134" s="11"/>
      <c r="T134" s="11"/>
      <c r="U134" s="16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79"/>
      <c r="AM134" s="45"/>
      <c r="AN134" s="8"/>
    </row>
    <row r="135" spans="2:40" x14ac:dyDescent="0.25">
      <c r="B135" s="147"/>
      <c r="C135" s="89"/>
      <c r="D135" s="89"/>
      <c r="E135" s="102"/>
      <c r="F135" s="90"/>
      <c r="G135" s="72"/>
      <c r="H135" s="9"/>
      <c r="I135" s="74">
        <f t="shared" si="1"/>
        <v>-129000</v>
      </c>
      <c r="J135" s="35"/>
      <c r="K135" s="19"/>
      <c r="L135" s="19"/>
      <c r="M135" s="19"/>
      <c r="N135" s="19"/>
      <c r="O135" s="36"/>
      <c r="P135" s="22"/>
      <c r="Q135" s="14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79"/>
      <c r="AM135" s="45"/>
      <c r="AN135" s="8"/>
    </row>
    <row r="136" spans="2:40" x14ac:dyDescent="0.25">
      <c r="B136" s="147"/>
      <c r="C136" s="89"/>
      <c r="D136" s="89"/>
      <c r="E136" s="102"/>
      <c r="F136" s="90"/>
      <c r="G136" s="72"/>
      <c r="H136" s="9"/>
      <c r="I136" s="74">
        <f t="shared" si="1"/>
        <v>-129000</v>
      </c>
      <c r="J136" s="35"/>
      <c r="K136" s="19"/>
      <c r="L136" s="19"/>
      <c r="M136" s="19"/>
      <c r="N136" s="19"/>
      <c r="O136" s="36"/>
      <c r="P136" s="22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4"/>
      <c r="AI136" s="11"/>
      <c r="AJ136" s="11"/>
      <c r="AK136" s="11"/>
      <c r="AL136" s="79"/>
      <c r="AM136" s="45"/>
      <c r="AN136" s="8"/>
    </row>
    <row r="137" spans="2:40" x14ac:dyDescent="0.25">
      <c r="B137" s="147"/>
      <c r="C137" s="89"/>
      <c r="D137" s="89"/>
      <c r="E137" s="102"/>
      <c r="F137" s="90"/>
      <c r="G137" s="72"/>
      <c r="H137" s="9"/>
      <c r="I137" s="74">
        <f t="shared" si="1"/>
        <v>-129000</v>
      </c>
      <c r="J137" s="35"/>
      <c r="K137" s="19"/>
      <c r="L137" s="19"/>
      <c r="M137" s="19"/>
      <c r="N137" s="19"/>
      <c r="O137" s="36"/>
      <c r="P137" s="22"/>
      <c r="Q137" s="14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79"/>
      <c r="AM137" s="45"/>
      <c r="AN137" s="8"/>
    </row>
    <row r="138" spans="2:40" x14ac:dyDescent="0.25">
      <c r="B138" s="147"/>
      <c r="C138" s="89"/>
      <c r="D138" s="89"/>
      <c r="E138" s="102"/>
      <c r="F138" s="90"/>
      <c r="G138" s="72"/>
      <c r="H138" s="9"/>
      <c r="I138" s="74">
        <f t="shared" si="1"/>
        <v>-129000</v>
      </c>
      <c r="J138" s="35"/>
      <c r="K138" s="19"/>
      <c r="L138" s="19"/>
      <c r="M138" s="19"/>
      <c r="N138" s="19"/>
      <c r="O138" s="36"/>
      <c r="P138" s="22"/>
      <c r="Q138" s="11"/>
      <c r="R138" s="11"/>
      <c r="S138" s="11"/>
      <c r="T138" s="11"/>
      <c r="U138" s="11"/>
      <c r="V138" s="11"/>
      <c r="W138" s="11"/>
      <c r="X138" s="11"/>
      <c r="Y138" s="11"/>
      <c r="Z138" s="14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79"/>
      <c r="AM138" s="45"/>
      <c r="AN138" s="8"/>
    </row>
    <row r="139" spans="2:40" x14ac:dyDescent="0.25">
      <c r="B139" s="147"/>
      <c r="C139" s="89"/>
      <c r="D139" s="89"/>
      <c r="E139" s="102"/>
      <c r="F139" s="90"/>
      <c r="G139" s="72"/>
      <c r="H139" s="9"/>
      <c r="I139" s="74">
        <f t="shared" si="1"/>
        <v>-129000</v>
      </c>
      <c r="J139" s="35"/>
      <c r="K139" s="19"/>
      <c r="L139" s="19"/>
      <c r="M139" s="19"/>
      <c r="N139" s="19"/>
      <c r="O139" s="36"/>
      <c r="P139" s="22"/>
      <c r="Q139" s="11"/>
      <c r="R139" s="11"/>
      <c r="S139" s="11"/>
      <c r="T139" s="11"/>
      <c r="U139" s="11"/>
      <c r="V139" s="11"/>
      <c r="W139" s="11"/>
      <c r="X139" s="16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79"/>
      <c r="AM139" s="45"/>
      <c r="AN139" s="8"/>
    </row>
    <row r="140" spans="2:40" x14ac:dyDescent="0.25">
      <c r="B140" s="147"/>
      <c r="C140" s="89"/>
      <c r="D140" s="89"/>
      <c r="E140" s="102"/>
      <c r="F140" s="90"/>
      <c r="G140" s="72"/>
      <c r="H140" s="9"/>
      <c r="I140" s="74">
        <f t="shared" si="1"/>
        <v>-129000</v>
      </c>
      <c r="J140" s="35"/>
      <c r="K140" s="19"/>
      <c r="L140" s="19"/>
      <c r="M140" s="19"/>
      <c r="N140" s="19"/>
      <c r="O140" s="36"/>
      <c r="P140" s="22"/>
      <c r="Q140" s="11"/>
      <c r="R140" s="11"/>
      <c r="S140" s="11"/>
      <c r="T140" s="11"/>
      <c r="U140" s="11"/>
      <c r="V140" s="11"/>
      <c r="W140" s="11"/>
      <c r="X140" s="16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79"/>
      <c r="AM140" s="45"/>
      <c r="AN140" s="8"/>
    </row>
    <row r="141" spans="2:40" x14ac:dyDescent="0.25">
      <c r="B141" s="147"/>
      <c r="C141" s="89"/>
      <c r="D141" s="89"/>
      <c r="E141" s="102"/>
      <c r="F141" s="90"/>
      <c r="G141" s="72"/>
      <c r="H141" s="9"/>
      <c r="I141" s="74">
        <f t="shared" si="1"/>
        <v>-129000</v>
      </c>
      <c r="J141" s="35"/>
      <c r="K141" s="19"/>
      <c r="L141" s="19"/>
      <c r="M141" s="19"/>
      <c r="N141" s="19"/>
      <c r="O141" s="36"/>
      <c r="P141" s="22"/>
      <c r="Q141" s="11"/>
      <c r="R141" s="11"/>
      <c r="S141" s="11"/>
      <c r="T141" s="11"/>
      <c r="U141" s="11"/>
      <c r="V141" s="11"/>
      <c r="W141" s="11"/>
      <c r="X141" s="16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79"/>
      <c r="AM141" s="45"/>
      <c r="AN141" s="8"/>
    </row>
    <row r="142" spans="2:40" x14ac:dyDescent="0.25">
      <c r="B142" s="147"/>
      <c r="C142" s="89"/>
      <c r="D142" s="89"/>
      <c r="E142" s="102"/>
      <c r="F142" s="90"/>
      <c r="G142" s="72"/>
      <c r="H142" s="9"/>
      <c r="I142" s="74">
        <f t="shared" si="1"/>
        <v>-129000</v>
      </c>
      <c r="J142" s="35"/>
      <c r="K142" s="19"/>
      <c r="L142" s="19"/>
      <c r="M142" s="19"/>
      <c r="N142" s="19"/>
      <c r="O142" s="36"/>
      <c r="P142" s="22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79"/>
      <c r="AM142" s="45"/>
      <c r="AN142" s="8"/>
    </row>
    <row r="143" spans="2:40" x14ac:dyDescent="0.25">
      <c r="B143" s="147"/>
      <c r="C143" s="89"/>
      <c r="D143" s="89"/>
      <c r="E143" s="102"/>
      <c r="F143" s="90"/>
      <c r="G143" s="72"/>
      <c r="H143" s="9"/>
      <c r="I143" s="74">
        <f t="shared" si="1"/>
        <v>-129000</v>
      </c>
      <c r="J143" s="35"/>
      <c r="K143" s="19"/>
      <c r="L143" s="19"/>
      <c r="M143" s="19"/>
      <c r="N143" s="19"/>
      <c r="O143" s="36"/>
      <c r="P143" s="22"/>
      <c r="Q143" s="11"/>
      <c r="R143" s="11"/>
      <c r="S143" s="11"/>
      <c r="T143" s="11"/>
      <c r="U143" s="11"/>
      <c r="V143" s="11"/>
      <c r="W143" s="11"/>
      <c r="X143" s="16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79"/>
      <c r="AM143" s="45"/>
      <c r="AN143" s="8"/>
    </row>
    <row r="144" spans="2:40" x14ac:dyDescent="0.25">
      <c r="B144" s="147"/>
      <c r="C144" s="89"/>
      <c r="D144" s="89"/>
      <c r="E144" s="102"/>
      <c r="F144" s="90"/>
      <c r="G144" s="72"/>
      <c r="H144" s="9"/>
      <c r="I144" s="74">
        <f t="shared" si="1"/>
        <v>-129000</v>
      </c>
      <c r="J144" s="35"/>
      <c r="K144" s="19"/>
      <c r="L144" s="19"/>
      <c r="M144" s="19"/>
      <c r="N144" s="19"/>
      <c r="O144" s="36"/>
      <c r="P144" s="22"/>
      <c r="Q144" s="11"/>
      <c r="R144" s="11"/>
      <c r="S144" s="11"/>
      <c r="T144" s="11"/>
      <c r="U144" s="11"/>
      <c r="V144" s="11"/>
      <c r="W144" s="11"/>
      <c r="X144" s="16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79"/>
      <c r="AM144" s="45"/>
      <c r="AN144" s="8"/>
    </row>
    <row r="145" spans="2:40" x14ac:dyDescent="0.25">
      <c r="B145" s="147"/>
      <c r="C145" s="89"/>
      <c r="D145" s="89"/>
      <c r="E145" s="102"/>
      <c r="F145" s="90"/>
      <c r="G145" s="72"/>
      <c r="H145" s="9"/>
      <c r="I145" s="74">
        <f t="shared" si="1"/>
        <v>-129000</v>
      </c>
      <c r="J145" s="35"/>
      <c r="K145" s="19"/>
      <c r="L145" s="19"/>
      <c r="M145" s="19"/>
      <c r="N145" s="19"/>
      <c r="O145" s="36"/>
      <c r="P145" s="22"/>
      <c r="Q145" s="11"/>
      <c r="R145" s="11"/>
      <c r="S145" s="11"/>
      <c r="T145" s="11"/>
      <c r="U145" s="11"/>
      <c r="V145" s="11"/>
      <c r="W145" s="11"/>
      <c r="X145" s="16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79"/>
      <c r="AM145" s="45"/>
      <c r="AN145" s="8"/>
    </row>
    <row r="146" spans="2:40" x14ac:dyDescent="0.25">
      <c r="B146" s="147"/>
      <c r="C146" s="89"/>
      <c r="D146" s="89"/>
      <c r="E146" s="102"/>
      <c r="F146" s="90"/>
      <c r="G146" s="72"/>
      <c r="H146" s="9"/>
      <c r="I146" s="74">
        <f t="shared" ref="I146:I209" si="2">I145+G146-H146</f>
        <v>-129000</v>
      </c>
      <c r="J146" s="35"/>
      <c r="K146" s="19"/>
      <c r="L146" s="19"/>
      <c r="M146" s="19"/>
      <c r="N146" s="19"/>
      <c r="O146" s="36"/>
      <c r="P146" s="22"/>
      <c r="Q146" s="11"/>
      <c r="R146" s="11"/>
      <c r="S146" s="11"/>
      <c r="T146" s="11"/>
      <c r="U146" s="11"/>
      <c r="V146" s="11"/>
      <c r="W146" s="11"/>
      <c r="X146" s="16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79"/>
      <c r="AM146" s="45"/>
      <c r="AN146" s="8"/>
    </row>
    <row r="147" spans="2:40" x14ac:dyDescent="0.25">
      <c r="B147" s="147"/>
      <c r="C147" s="89"/>
      <c r="D147" s="89"/>
      <c r="E147" s="102"/>
      <c r="F147" s="90"/>
      <c r="G147" s="72"/>
      <c r="H147" s="9"/>
      <c r="I147" s="74">
        <f t="shared" si="2"/>
        <v>-129000</v>
      </c>
      <c r="J147" s="35"/>
      <c r="K147" s="19"/>
      <c r="L147" s="19"/>
      <c r="M147" s="19"/>
      <c r="N147" s="19"/>
      <c r="O147" s="36"/>
      <c r="P147" s="22"/>
      <c r="Q147" s="11"/>
      <c r="R147" s="11"/>
      <c r="S147" s="11"/>
      <c r="T147" s="11"/>
      <c r="U147" s="11"/>
      <c r="V147" s="14"/>
      <c r="W147" s="11"/>
      <c r="X147" s="14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79"/>
      <c r="AM147" s="45"/>
      <c r="AN147" s="8"/>
    </row>
    <row r="148" spans="2:40" x14ac:dyDescent="0.25">
      <c r="B148" s="147"/>
      <c r="C148" s="89"/>
      <c r="D148" s="89"/>
      <c r="E148" s="102"/>
      <c r="F148" s="90"/>
      <c r="G148" s="72"/>
      <c r="H148" s="9"/>
      <c r="I148" s="74">
        <f t="shared" si="2"/>
        <v>-129000</v>
      </c>
      <c r="J148" s="35"/>
      <c r="K148" s="19"/>
      <c r="L148" s="19"/>
      <c r="M148" s="19"/>
      <c r="N148" s="19"/>
      <c r="O148" s="36"/>
      <c r="P148" s="22"/>
      <c r="Q148" s="11"/>
      <c r="R148" s="11"/>
      <c r="S148" s="11"/>
      <c r="T148" s="11"/>
      <c r="U148" s="11"/>
      <c r="V148" s="11"/>
      <c r="W148" s="11"/>
      <c r="X148" s="16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79"/>
      <c r="AM148" s="45"/>
      <c r="AN148" s="8"/>
    </row>
    <row r="149" spans="2:40" x14ac:dyDescent="0.25">
      <c r="B149" s="147"/>
      <c r="C149" s="89"/>
      <c r="D149" s="89"/>
      <c r="E149" s="102"/>
      <c r="F149" s="90"/>
      <c r="G149" s="72"/>
      <c r="H149" s="9"/>
      <c r="I149" s="74">
        <f t="shared" si="2"/>
        <v>-129000</v>
      </c>
      <c r="J149" s="35"/>
      <c r="K149" s="19"/>
      <c r="L149" s="19"/>
      <c r="M149" s="19"/>
      <c r="N149" s="19"/>
      <c r="O149" s="36"/>
      <c r="P149" s="22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79"/>
      <c r="AM149" s="45"/>
      <c r="AN149" s="8"/>
    </row>
    <row r="150" spans="2:40" x14ac:dyDescent="0.25">
      <c r="B150" s="147"/>
      <c r="C150" s="89"/>
      <c r="D150" s="89"/>
      <c r="E150" s="102"/>
      <c r="F150" s="90"/>
      <c r="G150" s="72"/>
      <c r="H150" s="9"/>
      <c r="I150" s="74">
        <f t="shared" si="2"/>
        <v>-129000</v>
      </c>
      <c r="J150" s="35"/>
      <c r="K150" s="19"/>
      <c r="L150" s="19"/>
      <c r="M150" s="19"/>
      <c r="N150" s="19"/>
      <c r="O150" s="36"/>
      <c r="P150" s="22"/>
      <c r="Q150" s="11"/>
      <c r="R150" s="11"/>
      <c r="S150" s="11"/>
      <c r="T150" s="11"/>
      <c r="U150" s="11"/>
      <c r="V150" s="11"/>
      <c r="W150" s="11"/>
      <c r="X150" s="11"/>
      <c r="Y150" s="11"/>
      <c r="Z150" s="14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79"/>
      <c r="AM150" s="45"/>
      <c r="AN150" s="8"/>
    </row>
    <row r="151" spans="2:40" x14ac:dyDescent="0.25">
      <c r="B151" s="147"/>
      <c r="C151" s="89"/>
      <c r="D151" s="89"/>
      <c r="E151" s="102"/>
      <c r="F151" s="90"/>
      <c r="G151" s="72"/>
      <c r="H151" s="9"/>
      <c r="I151" s="74">
        <f t="shared" si="2"/>
        <v>-129000</v>
      </c>
      <c r="J151" s="35"/>
      <c r="K151" s="19"/>
      <c r="L151" s="19"/>
      <c r="M151" s="19"/>
      <c r="N151" s="19"/>
      <c r="O151" s="36"/>
      <c r="P151" s="22"/>
      <c r="Q151" s="11"/>
      <c r="R151" s="11"/>
      <c r="S151" s="11"/>
      <c r="T151" s="11"/>
      <c r="U151" s="11"/>
      <c r="V151" s="11"/>
      <c r="W151" s="11"/>
      <c r="X151" s="11"/>
      <c r="Y151" s="11"/>
      <c r="Z151" s="14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79"/>
      <c r="AM151" s="45"/>
      <c r="AN151" s="8"/>
    </row>
    <row r="152" spans="2:40" x14ac:dyDescent="0.25">
      <c r="B152" s="147"/>
      <c r="C152" s="89"/>
      <c r="D152" s="89"/>
      <c r="E152" s="102"/>
      <c r="F152" s="90"/>
      <c r="G152" s="72"/>
      <c r="H152" s="9"/>
      <c r="I152" s="74">
        <f t="shared" si="2"/>
        <v>-129000</v>
      </c>
      <c r="J152" s="35"/>
      <c r="K152" s="19"/>
      <c r="L152" s="19"/>
      <c r="M152" s="19"/>
      <c r="N152" s="19"/>
      <c r="O152" s="36"/>
      <c r="P152" s="22"/>
      <c r="Q152" s="11"/>
      <c r="R152" s="11"/>
      <c r="S152" s="11"/>
      <c r="T152" s="11"/>
      <c r="U152" s="11"/>
      <c r="V152" s="11"/>
      <c r="W152" s="11"/>
      <c r="X152" s="11"/>
      <c r="Y152" s="11"/>
      <c r="Z152" s="14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79"/>
      <c r="AM152" s="45"/>
      <c r="AN152" s="8"/>
    </row>
    <row r="153" spans="2:40" x14ac:dyDescent="0.25">
      <c r="B153" s="147"/>
      <c r="C153" s="89"/>
      <c r="D153" s="89"/>
      <c r="E153" s="102"/>
      <c r="F153" s="90"/>
      <c r="G153" s="72"/>
      <c r="H153" s="9"/>
      <c r="I153" s="74">
        <f t="shared" si="2"/>
        <v>-129000</v>
      </c>
      <c r="J153" s="35"/>
      <c r="K153" s="19"/>
      <c r="L153" s="19"/>
      <c r="M153" s="19"/>
      <c r="N153" s="19"/>
      <c r="O153" s="36"/>
      <c r="P153" s="22"/>
      <c r="Q153" s="11"/>
      <c r="R153" s="11"/>
      <c r="S153" s="11"/>
      <c r="T153" s="11"/>
      <c r="U153" s="11"/>
      <c r="V153" s="11"/>
      <c r="W153" s="11"/>
      <c r="X153" s="11"/>
      <c r="Y153" s="11"/>
      <c r="Z153" s="14"/>
      <c r="AA153" s="14"/>
      <c r="AB153" s="14"/>
      <c r="AC153" s="14"/>
      <c r="AD153" s="14"/>
      <c r="AE153" s="11"/>
      <c r="AF153" s="11"/>
      <c r="AG153" s="11"/>
      <c r="AH153" s="11"/>
      <c r="AI153" s="11"/>
      <c r="AJ153" s="11"/>
      <c r="AK153" s="11"/>
      <c r="AL153" s="79"/>
      <c r="AM153" s="45"/>
      <c r="AN153" s="8"/>
    </row>
    <row r="154" spans="2:40" x14ac:dyDescent="0.25">
      <c r="B154" s="147"/>
      <c r="C154" s="89"/>
      <c r="D154" s="89"/>
      <c r="E154" s="102"/>
      <c r="F154" s="90"/>
      <c r="G154" s="72"/>
      <c r="H154" s="9"/>
      <c r="I154" s="74">
        <f t="shared" si="2"/>
        <v>-129000</v>
      </c>
      <c r="J154" s="35"/>
      <c r="K154" s="19"/>
      <c r="L154" s="19"/>
      <c r="M154" s="19"/>
      <c r="N154" s="19"/>
      <c r="O154" s="36"/>
      <c r="P154" s="22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79"/>
      <c r="AM154" s="45"/>
      <c r="AN154" s="8"/>
    </row>
    <row r="155" spans="2:40" x14ac:dyDescent="0.25">
      <c r="B155" s="147"/>
      <c r="C155" s="89"/>
      <c r="D155" s="89"/>
      <c r="E155" s="102"/>
      <c r="F155" s="90"/>
      <c r="G155" s="72"/>
      <c r="H155" s="9"/>
      <c r="I155" s="74">
        <f t="shared" si="2"/>
        <v>-129000</v>
      </c>
      <c r="J155" s="35"/>
      <c r="K155" s="19"/>
      <c r="L155" s="19"/>
      <c r="M155" s="19"/>
      <c r="N155" s="19"/>
      <c r="O155" s="36"/>
      <c r="P155" s="22"/>
      <c r="Q155" s="11"/>
      <c r="R155" s="11"/>
      <c r="S155" s="11"/>
      <c r="T155" s="11"/>
      <c r="U155" s="11"/>
      <c r="V155" s="11"/>
      <c r="W155" s="14"/>
      <c r="X155" s="14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79"/>
      <c r="AM155" s="45"/>
      <c r="AN155" s="8"/>
    </row>
    <row r="156" spans="2:40" x14ac:dyDescent="0.25">
      <c r="B156" s="147"/>
      <c r="C156" s="89"/>
      <c r="D156" s="89"/>
      <c r="E156" s="102"/>
      <c r="F156" s="90"/>
      <c r="G156" s="72"/>
      <c r="H156" s="9"/>
      <c r="I156" s="74">
        <f t="shared" si="2"/>
        <v>-129000</v>
      </c>
      <c r="J156" s="35"/>
      <c r="K156" s="19"/>
      <c r="L156" s="19"/>
      <c r="M156" s="19"/>
      <c r="N156" s="19"/>
      <c r="O156" s="36"/>
      <c r="P156" s="22"/>
      <c r="Q156" s="11"/>
      <c r="R156" s="11"/>
      <c r="S156" s="11"/>
      <c r="T156" s="11"/>
      <c r="U156" s="11"/>
      <c r="V156" s="11"/>
      <c r="W156" s="11"/>
      <c r="X156" s="11"/>
      <c r="Y156" s="11"/>
      <c r="Z156" s="16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79"/>
      <c r="AM156" s="45"/>
      <c r="AN156" s="8"/>
    </row>
    <row r="157" spans="2:40" x14ac:dyDescent="0.25">
      <c r="B157" s="147"/>
      <c r="C157" s="89"/>
      <c r="D157" s="89"/>
      <c r="E157" s="102"/>
      <c r="F157" s="90"/>
      <c r="G157" s="72"/>
      <c r="H157" s="9"/>
      <c r="I157" s="74">
        <f t="shared" si="2"/>
        <v>-129000</v>
      </c>
      <c r="J157" s="35"/>
      <c r="K157" s="19"/>
      <c r="L157" s="19"/>
      <c r="M157" s="19"/>
      <c r="N157" s="19"/>
      <c r="O157" s="36"/>
      <c r="P157" s="22"/>
      <c r="Q157" s="11"/>
      <c r="R157" s="11"/>
      <c r="S157" s="11"/>
      <c r="T157" s="11"/>
      <c r="U157" s="14"/>
      <c r="V157" s="11"/>
      <c r="W157" s="11"/>
      <c r="X157" s="11"/>
      <c r="Y157" s="11"/>
      <c r="Z157" s="14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79"/>
      <c r="AM157" s="45"/>
      <c r="AN157" s="8"/>
    </row>
    <row r="158" spans="2:40" x14ac:dyDescent="0.25">
      <c r="B158" s="147"/>
      <c r="C158" s="89"/>
      <c r="D158" s="89"/>
      <c r="E158" s="102"/>
      <c r="F158" s="90"/>
      <c r="G158" s="72"/>
      <c r="H158" s="9"/>
      <c r="I158" s="74">
        <f t="shared" si="2"/>
        <v>-129000</v>
      </c>
      <c r="J158" s="35"/>
      <c r="K158" s="19"/>
      <c r="L158" s="19"/>
      <c r="M158" s="19"/>
      <c r="N158" s="19"/>
      <c r="O158" s="36"/>
      <c r="P158" s="22"/>
      <c r="Q158" s="11"/>
      <c r="R158" s="11"/>
      <c r="S158" s="11"/>
      <c r="T158" s="11"/>
      <c r="U158" s="11"/>
      <c r="V158" s="11"/>
      <c r="W158" s="11"/>
      <c r="X158" s="11"/>
      <c r="Y158" s="14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79"/>
      <c r="AM158" s="45"/>
      <c r="AN158" s="8"/>
    </row>
    <row r="159" spans="2:40" x14ac:dyDescent="0.25">
      <c r="B159" s="147"/>
      <c r="C159" s="89"/>
      <c r="D159" s="89"/>
      <c r="E159" s="102"/>
      <c r="F159" s="90"/>
      <c r="G159" s="72"/>
      <c r="H159" s="9"/>
      <c r="I159" s="74">
        <f t="shared" si="2"/>
        <v>-129000</v>
      </c>
      <c r="J159" s="35"/>
      <c r="K159" s="19"/>
      <c r="L159" s="19"/>
      <c r="M159" s="19"/>
      <c r="N159" s="19"/>
      <c r="O159" s="36"/>
      <c r="P159" s="22"/>
      <c r="Q159" s="11"/>
      <c r="R159" s="11"/>
      <c r="S159" s="11"/>
      <c r="T159" s="11"/>
      <c r="U159" s="11"/>
      <c r="V159" s="11"/>
      <c r="W159" s="11"/>
      <c r="X159" s="11"/>
      <c r="Y159" s="14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79"/>
      <c r="AM159" s="45"/>
      <c r="AN159" s="8"/>
    </row>
    <row r="160" spans="2:40" x14ac:dyDescent="0.25">
      <c r="B160" s="147"/>
      <c r="C160" s="89"/>
      <c r="D160" s="89"/>
      <c r="E160" s="102"/>
      <c r="F160" s="90"/>
      <c r="G160" s="72"/>
      <c r="H160" s="9"/>
      <c r="I160" s="74">
        <f t="shared" si="2"/>
        <v>-129000</v>
      </c>
      <c r="J160" s="35"/>
      <c r="K160" s="19"/>
      <c r="L160" s="19"/>
      <c r="M160" s="19"/>
      <c r="N160" s="19"/>
      <c r="O160" s="36"/>
      <c r="P160" s="25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79"/>
      <c r="AM160" s="45"/>
      <c r="AN160" s="8"/>
    </row>
    <row r="161" spans="2:40" x14ac:dyDescent="0.25">
      <c r="B161" s="147"/>
      <c r="C161" s="89"/>
      <c r="D161" s="89"/>
      <c r="E161" s="102"/>
      <c r="F161" s="90"/>
      <c r="G161" s="72"/>
      <c r="H161" s="9"/>
      <c r="I161" s="74">
        <f t="shared" si="2"/>
        <v>-129000</v>
      </c>
      <c r="J161" s="35"/>
      <c r="K161" s="19"/>
      <c r="L161" s="19"/>
      <c r="M161" s="19"/>
      <c r="N161" s="19"/>
      <c r="O161" s="36"/>
      <c r="P161" s="22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79"/>
      <c r="AM161" s="45"/>
      <c r="AN161" s="8"/>
    </row>
    <row r="162" spans="2:40" x14ac:dyDescent="0.25">
      <c r="B162" s="147"/>
      <c r="C162" s="89"/>
      <c r="D162" s="89"/>
      <c r="E162" s="102"/>
      <c r="F162" s="90"/>
      <c r="G162" s="72"/>
      <c r="H162" s="9"/>
      <c r="I162" s="74">
        <f t="shared" si="2"/>
        <v>-129000</v>
      </c>
      <c r="J162" s="35"/>
      <c r="K162" s="19"/>
      <c r="L162" s="19"/>
      <c r="M162" s="19"/>
      <c r="N162" s="19"/>
      <c r="O162" s="36"/>
      <c r="P162" s="22"/>
      <c r="Q162" s="11"/>
      <c r="R162" s="11"/>
      <c r="S162" s="15"/>
      <c r="T162" s="15"/>
      <c r="U162" s="11"/>
      <c r="V162" s="11"/>
      <c r="W162" s="11"/>
      <c r="X162" s="11"/>
      <c r="Y162" s="11"/>
      <c r="Z162" s="11"/>
      <c r="AA162" s="15"/>
      <c r="AB162" s="15"/>
      <c r="AC162" s="15"/>
      <c r="AD162" s="15"/>
      <c r="AE162" s="11"/>
      <c r="AF162" s="11"/>
      <c r="AG162" s="11"/>
      <c r="AH162" s="11"/>
      <c r="AI162" s="11"/>
      <c r="AJ162" s="11"/>
      <c r="AK162" s="11"/>
      <c r="AL162" s="79"/>
      <c r="AM162" s="45"/>
      <c r="AN162" s="8"/>
    </row>
    <row r="163" spans="2:40" x14ac:dyDescent="0.25">
      <c r="B163" s="147"/>
      <c r="C163" s="89"/>
      <c r="D163" s="89"/>
      <c r="E163" s="102"/>
      <c r="F163" s="90"/>
      <c r="G163" s="72"/>
      <c r="H163" s="9"/>
      <c r="I163" s="74">
        <f t="shared" si="2"/>
        <v>-129000</v>
      </c>
      <c r="J163" s="35"/>
      <c r="K163" s="19"/>
      <c r="L163" s="19"/>
      <c r="M163" s="19"/>
      <c r="N163" s="19"/>
      <c r="O163" s="36"/>
      <c r="P163" s="22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79"/>
      <c r="AM163" s="45"/>
      <c r="AN163" s="8"/>
    </row>
    <row r="164" spans="2:40" x14ac:dyDescent="0.25">
      <c r="B164" s="147"/>
      <c r="C164" s="89"/>
      <c r="D164" s="89"/>
      <c r="E164" s="102"/>
      <c r="F164" s="90"/>
      <c r="G164" s="72"/>
      <c r="H164" s="9"/>
      <c r="I164" s="74">
        <f t="shared" si="2"/>
        <v>-129000</v>
      </c>
      <c r="J164" s="35"/>
      <c r="K164" s="19"/>
      <c r="L164" s="19"/>
      <c r="M164" s="19"/>
      <c r="N164" s="19"/>
      <c r="O164" s="36"/>
      <c r="P164" s="22"/>
      <c r="Q164" s="11"/>
      <c r="R164" s="11"/>
      <c r="S164" s="11"/>
      <c r="T164" s="11"/>
      <c r="U164" s="11"/>
      <c r="V164" s="11"/>
      <c r="W164" s="11"/>
      <c r="X164" s="11"/>
      <c r="Y164" s="11"/>
      <c r="Z164" s="14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79"/>
      <c r="AM164" s="45"/>
      <c r="AN164" s="8"/>
    </row>
    <row r="165" spans="2:40" x14ac:dyDescent="0.25">
      <c r="B165" s="147"/>
      <c r="C165" s="89"/>
      <c r="D165" s="89"/>
      <c r="E165" s="102"/>
      <c r="F165" s="90"/>
      <c r="G165" s="72"/>
      <c r="H165" s="9"/>
      <c r="I165" s="74">
        <f t="shared" si="2"/>
        <v>-129000</v>
      </c>
      <c r="J165" s="35"/>
      <c r="K165" s="19"/>
      <c r="L165" s="19"/>
      <c r="M165" s="19"/>
      <c r="N165" s="19"/>
      <c r="O165" s="36"/>
      <c r="P165" s="22"/>
      <c r="Q165" s="11"/>
      <c r="R165" s="11"/>
      <c r="S165" s="11"/>
      <c r="T165" s="11"/>
      <c r="U165" s="11"/>
      <c r="V165" s="11"/>
      <c r="W165" s="11"/>
      <c r="X165" s="16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79"/>
      <c r="AM165" s="45"/>
      <c r="AN165" s="8"/>
    </row>
    <row r="166" spans="2:40" x14ac:dyDescent="0.25">
      <c r="B166" s="147"/>
      <c r="C166" s="89"/>
      <c r="D166" s="89"/>
      <c r="E166" s="102"/>
      <c r="F166" s="90"/>
      <c r="G166" s="72"/>
      <c r="H166" s="9"/>
      <c r="I166" s="74">
        <f t="shared" si="2"/>
        <v>-129000</v>
      </c>
      <c r="J166" s="35"/>
      <c r="K166" s="19"/>
      <c r="L166" s="19"/>
      <c r="M166" s="19"/>
      <c r="N166" s="19"/>
      <c r="O166" s="36"/>
      <c r="P166" s="22"/>
      <c r="Q166" s="11"/>
      <c r="R166" s="11"/>
      <c r="S166" s="11"/>
      <c r="T166" s="11"/>
      <c r="U166" s="11"/>
      <c r="V166" s="14"/>
      <c r="W166" s="14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79"/>
      <c r="AM166" s="45"/>
      <c r="AN166" s="8"/>
    </row>
    <row r="167" spans="2:40" x14ac:dyDescent="0.25">
      <c r="B167" s="147"/>
      <c r="C167" s="89"/>
      <c r="D167" s="89"/>
      <c r="E167" s="102"/>
      <c r="F167" s="90"/>
      <c r="G167" s="72"/>
      <c r="H167" s="9"/>
      <c r="I167" s="74">
        <f t="shared" si="2"/>
        <v>-129000</v>
      </c>
      <c r="J167" s="35"/>
      <c r="K167" s="19"/>
      <c r="L167" s="19"/>
      <c r="M167" s="19"/>
      <c r="N167" s="19"/>
      <c r="O167" s="36"/>
      <c r="P167" s="22"/>
      <c r="Q167" s="11"/>
      <c r="R167" s="11"/>
      <c r="S167" s="11"/>
      <c r="T167" s="11"/>
      <c r="U167" s="11"/>
      <c r="V167" s="11"/>
      <c r="W167" s="11"/>
      <c r="X167" s="16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79"/>
      <c r="AM167" s="45"/>
      <c r="AN167" s="8"/>
    </row>
    <row r="168" spans="2:40" x14ac:dyDescent="0.25">
      <c r="B168" s="147"/>
      <c r="C168" s="89"/>
      <c r="D168" s="89"/>
      <c r="E168" s="102"/>
      <c r="F168" s="90"/>
      <c r="G168" s="72"/>
      <c r="H168" s="9"/>
      <c r="I168" s="74">
        <f t="shared" si="2"/>
        <v>-129000</v>
      </c>
      <c r="J168" s="35"/>
      <c r="K168" s="19"/>
      <c r="L168" s="19"/>
      <c r="M168" s="19"/>
      <c r="N168" s="19"/>
      <c r="O168" s="36"/>
      <c r="P168" s="22"/>
      <c r="Q168" s="11"/>
      <c r="R168" s="11"/>
      <c r="S168" s="11"/>
      <c r="T168" s="11"/>
      <c r="U168" s="11"/>
      <c r="V168" s="11"/>
      <c r="W168" s="11"/>
      <c r="X168" s="16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79"/>
      <c r="AM168" s="45"/>
      <c r="AN168" s="8"/>
    </row>
    <row r="169" spans="2:40" x14ac:dyDescent="0.25">
      <c r="B169" s="147"/>
      <c r="C169" s="89"/>
      <c r="D169" s="89"/>
      <c r="E169" s="102"/>
      <c r="F169" s="90"/>
      <c r="G169" s="72"/>
      <c r="H169" s="9"/>
      <c r="I169" s="74">
        <f t="shared" si="2"/>
        <v>-129000</v>
      </c>
      <c r="J169" s="35"/>
      <c r="K169" s="19"/>
      <c r="L169" s="19"/>
      <c r="M169" s="19"/>
      <c r="N169" s="19"/>
      <c r="O169" s="36"/>
      <c r="P169" s="22"/>
      <c r="Q169" s="11"/>
      <c r="R169" s="11"/>
      <c r="S169" s="11"/>
      <c r="T169" s="11"/>
      <c r="U169" s="11"/>
      <c r="V169" s="11"/>
      <c r="W169" s="11"/>
      <c r="X169" s="16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79"/>
      <c r="AM169" s="45"/>
      <c r="AN169" s="8"/>
    </row>
    <row r="170" spans="2:40" x14ac:dyDescent="0.25">
      <c r="B170" s="147"/>
      <c r="C170" s="89"/>
      <c r="D170" s="89"/>
      <c r="E170" s="102"/>
      <c r="F170" s="90"/>
      <c r="G170" s="72"/>
      <c r="H170" s="9"/>
      <c r="I170" s="74">
        <f t="shared" si="2"/>
        <v>-129000</v>
      </c>
      <c r="J170" s="35"/>
      <c r="K170" s="19"/>
      <c r="L170" s="19"/>
      <c r="M170" s="19"/>
      <c r="N170" s="19"/>
      <c r="O170" s="36"/>
      <c r="P170" s="22"/>
      <c r="Q170" s="11"/>
      <c r="R170" s="11"/>
      <c r="S170" s="11"/>
      <c r="T170" s="11"/>
      <c r="U170" s="11"/>
      <c r="V170" s="11"/>
      <c r="W170" s="11"/>
      <c r="X170" s="16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79"/>
      <c r="AM170" s="45"/>
      <c r="AN170" s="8"/>
    </row>
    <row r="171" spans="2:40" x14ac:dyDescent="0.25">
      <c r="B171" s="147"/>
      <c r="C171" s="89"/>
      <c r="D171" s="89"/>
      <c r="E171" s="102"/>
      <c r="F171" s="90"/>
      <c r="G171" s="72"/>
      <c r="H171" s="9"/>
      <c r="I171" s="74">
        <f t="shared" si="2"/>
        <v>-129000</v>
      </c>
      <c r="J171" s="35"/>
      <c r="K171" s="19"/>
      <c r="L171" s="19"/>
      <c r="M171" s="19"/>
      <c r="N171" s="19"/>
      <c r="O171" s="36"/>
      <c r="P171" s="22"/>
      <c r="Q171" s="11"/>
      <c r="R171" s="11"/>
      <c r="S171" s="11"/>
      <c r="T171" s="11"/>
      <c r="U171" s="11"/>
      <c r="V171" s="11"/>
      <c r="W171" s="11"/>
      <c r="X171" s="16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79"/>
      <c r="AM171" s="45"/>
      <c r="AN171" s="8"/>
    </row>
    <row r="172" spans="2:40" x14ac:dyDescent="0.25">
      <c r="B172" s="147"/>
      <c r="C172" s="89"/>
      <c r="D172" s="89"/>
      <c r="E172" s="102"/>
      <c r="F172" s="90"/>
      <c r="G172" s="72"/>
      <c r="H172" s="9"/>
      <c r="I172" s="74">
        <f t="shared" si="2"/>
        <v>-129000</v>
      </c>
      <c r="J172" s="35"/>
      <c r="K172" s="19"/>
      <c r="L172" s="19"/>
      <c r="M172" s="19"/>
      <c r="N172" s="19"/>
      <c r="O172" s="36"/>
      <c r="P172" s="22"/>
      <c r="Q172" s="11"/>
      <c r="R172" s="11"/>
      <c r="S172" s="11"/>
      <c r="T172" s="11"/>
      <c r="U172" s="11"/>
      <c r="V172" s="11"/>
      <c r="W172" s="11"/>
      <c r="X172" s="16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79"/>
      <c r="AM172" s="45"/>
      <c r="AN172" s="8"/>
    </row>
    <row r="173" spans="2:40" x14ac:dyDescent="0.25">
      <c r="B173" s="147"/>
      <c r="C173" s="89"/>
      <c r="D173" s="89"/>
      <c r="E173" s="102"/>
      <c r="F173" s="90"/>
      <c r="G173" s="72"/>
      <c r="H173" s="9"/>
      <c r="I173" s="74">
        <f t="shared" si="2"/>
        <v>-129000</v>
      </c>
      <c r="J173" s="35"/>
      <c r="K173" s="19"/>
      <c r="L173" s="19"/>
      <c r="M173" s="19"/>
      <c r="N173" s="19"/>
      <c r="O173" s="36"/>
      <c r="P173" s="22"/>
      <c r="Q173" s="11"/>
      <c r="R173" s="11"/>
      <c r="S173" s="11"/>
      <c r="T173" s="11"/>
      <c r="U173" s="11"/>
      <c r="V173" s="11"/>
      <c r="W173" s="11"/>
      <c r="X173" s="16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79"/>
      <c r="AM173" s="45"/>
      <c r="AN173" s="8"/>
    </row>
    <row r="174" spans="2:40" x14ac:dyDescent="0.25">
      <c r="B174" s="147"/>
      <c r="C174" s="89"/>
      <c r="D174" s="89"/>
      <c r="E174" s="102"/>
      <c r="F174" s="90"/>
      <c r="G174" s="72"/>
      <c r="H174" s="9"/>
      <c r="I174" s="74">
        <f t="shared" si="2"/>
        <v>-129000</v>
      </c>
      <c r="J174" s="35"/>
      <c r="K174" s="19"/>
      <c r="L174" s="19"/>
      <c r="M174" s="19"/>
      <c r="N174" s="19"/>
      <c r="O174" s="36"/>
      <c r="P174" s="22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79"/>
      <c r="AM174" s="45"/>
      <c r="AN174" s="8"/>
    </row>
    <row r="175" spans="2:40" x14ac:dyDescent="0.25">
      <c r="B175" s="147"/>
      <c r="C175" s="89"/>
      <c r="D175" s="89"/>
      <c r="E175" s="102"/>
      <c r="F175" s="90"/>
      <c r="G175" s="72"/>
      <c r="H175" s="9"/>
      <c r="I175" s="74">
        <f t="shared" si="2"/>
        <v>-129000</v>
      </c>
      <c r="J175" s="35"/>
      <c r="K175" s="19"/>
      <c r="L175" s="19"/>
      <c r="M175" s="19"/>
      <c r="N175" s="19"/>
      <c r="O175" s="36"/>
      <c r="P175" s="22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79"/>
      <c r="AM175" s="45"/>
      <c r="AN175" s="8"/>
    </row>
    <row r="176" spans="2:40" x14ac:dyDescent="0.25">
      <c r="B176" s="147"/>
      <c r="C176" s="89"/>
      <c r="D176" s="89"/>
      <c r="E176" s="102"/>
      <c r="F176" s="90"/>
      <c r="G176" s="72"/>
      <c r="H176" s="9"/>
      <c r="I176" s="74">
        <f t="shared" si="2"/>
        <v>-129000</v>
      </c>
      <c r="J176" s="35"/>
      <c r="K176" s="19"/>
      <c r="L176" s="19"/>
      <c r="M176" s="19"/>
      <c r="N176" s="19"/>
      <c r="O176" s="36"/>
      <c r="P176" s="22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79"/>
      <c r="AM176" s="45"/>
      <c r="AN176" s="8"/>
    </row>
    <row r="177" spans="2:40" x14ac:dyDescent="0.25">
      <c r="B177" s="147"/>
      <c r="C177" s="89"/>
      <c r="D177" s="89"/>
      <c r="E177" s="102"/>
      <c r="F177" s="90"/>
      <c r="G177" s="72"/>
      <c r="H177" s="9"/>
      <c r="I177" s="74">
        <f t="shared" si="2"/>
        <v>-129000</v>
      </c>
      <c r="J177" s="35"/>
      <c r="K177" s="19"/>
      <c r="L177" s="19"/>
      <c r="M177" s="19"/>
      <c r="N177" s="19"/>
      <c r="O177" s="36"/>
      <c r="P177" s="22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79"/>
      <c r="AM177" s="45"/>
      <c r="AN177" s="8"/>
    </row>
    <row r="178" spans="2:40" x14ac:dyDescent="0.25">
      <c r="B178" s="147"/>
      <c r="C178" s="89"/>
      <c r="D178" s="89"/>
      <c r="E178" s="102"/>
      <c r="F178" s="90"/>
      <c r="G178" s="72"/>
      <c r="H178" s="9"/>
      <c r="I178" s="74">
        <f t="shared" si="2"/>
        <v>-129000</v>
      </c>
      <c r="J178" s="35"/>
      <c r="K178" s="19"/>
      <c r="L178" s="19"/>
      <c r="M178" s="19"/>
      <c r="N178" s="19"/>
      <c r="O178" s="36"/>
      <c r="P178" s="22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79"/>
      <c r="AM178" s="45"/>
      <c r="AN178" s="8"/>
    </row>
    <row r="179" spans="2:40" x14ac:dyDescent="0.25">
      <c r="B179" s="147"/>
      <c r="C179" s="89"/>
      <c r="D179" s="89"/>
      <c r="E179" s="102"/>
      <c r="F179" s="90"/>
      <c r="G179" s="72"/>
      <c r="H179" s="9"/>
      <c r="I179" s="74">
        <f t="shared" si="2"/>
        <v>-129000</v>
      </c>
      <c r="J179" s="35"/>
      <c r="K179" s="19"/>
      <c r="L179" s="19"/>
      <c r="M179" s="19"/>
      <c r="N179" s="19"/>
      <c r="O179" s="36"/>
      <c r="P179" s="2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79"/>
      <c r="AM179" s="45"/>
      <c r="AN179" s="8"/>
    </row>
    <row r="180" spans="2:40" x14ac:dyDescent="0.25">
      <c r="B180" s="147"/>
      <c r="C180" s="89"/>
      <c r="D180" s="89"/>
      <c r="E180" s="102"/>
      <c r="F180" s="90"/>
      <c r="G180" s="72"/>
      <c r="H180" s="9"/>
      <c r="I180" s="74">
        <f t="shared" si="2"/>
        <v>-129000</v>
      </c>
      <c r="J180" s="35"/>
      <c r="K180" s="19"/>
      <c r="L180" s="19"/>
      <c r="M180" s="19"/>
      <c r="N180" s="19"/>
      <c r="O180" s="36"/>
      <c r="P180" s="22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79"/>
      <c r="AM180" s="45"/>
      <c r="AN180" s="8"/>
    </row>
    <row r="181" spans="2:40" x14ac:dyDescent="0.25">
      <c r="B181" s="147"/>
      <c r="C181" s="89"/>
      <c r="D181" s="89"/>
      <c r="E181" s="102"/>
      <c r="F181" s="90"/>
      <c r="G181" s="72"/>
      <c r="H181" s="9"/>
      <c r="I181" s="74">
        <f t="shared" si="2"/>
        <v>-129000</v>
      </c>
      <c r="J181" s="35"/>
      <c r="K181" s="19"/>
      <c r="L181" s="19"/>
      <c r="M181" s="19"/>
      <c r="N181" s="19"/>
      <c r="O181" s="36"/>
      <c r="P181" s="22"/>
      <c r="Q181" s="11"/>
      <c r="R181" s="11"/>
      <c r="S181" s="11"/>
      <c r="T181" s="11"/>
      <c r="U181" s="14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79"/>
      <c r="AM181" s="45"/>
      <c r="AN181" s="8"/>
    </row>
    <row r="182" spans="2:40" x14ac:dyDescent="0.25">
      <c r="B182" s="147"/>
      <c r="C182" s="89"/>
      <c r="D182" s="89"/>
      <c r="E182" s="102"/>
      <c r="F182" s="90"/>
      <c r="G182" s="72"/>
      <c r="H182" s="9"/>
      <c r="I182" s="74">
        <f t="shared" si="2"/>
        <v>-129000</v>
      </c>
      <c r="J182" s="35"/>
      <c r="K182" s="19"/>
      <c r="L182" s="19"/>
      <c r="M182" s="19"/>
      <c r="N182" s="19"/>
      <c r="O182" s="36"/>
      <c r="P182" s="22"/>
      <c r="Q182" s="11"/>
      <c r="R182" s="11"/>
      <c r="S182" s="11"/>
      <c r="T182" s="11"/>
      <c r="U182" s="14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79"/>
      <c r="AM182" s="45"/>
      <c r="AN182" s="8"/>
    </row>
    <row r="183" spans="2:40" x14ac:dyDescent="0.25">
      <c r="B183" s="147"/>
      <c r="C183" s="89"/>
      <c r="D183" s="89"/>
      <c r="E183" s="102"/>
      <c r="F183" s="90"/>
      <c r="G183" s="72"/>
      <c r="H183" s="9"/>
      <c r="I183" s="74">
        <f t="shared" si="2"/>
        <v>-129000</v>
      </c>
      <c r="J183" s="35"/>
      <c r="K183" s="19"/>
      <c r="L183" s="19"/>
      <c r="M183" s="19"/>
      <c r="N183" s="19"/>
      <c r="O183" s="36"/>
      <c r="P183" s="22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79"/>
      <c r="AM183" s="45"/>
      <c r="AN183" s="8"/>
    </row>
    <row r="184" spans="2:40" x14ac:dyDescent="0.25">
      <c r="B184" s="147"/>
      <c r="C184" s="89"/>
      <c r="D184" s="89"/>
      <c r="E184" s="102"/>
      <c r="F184" s="90"/>
      <c r="G184" s="72"/>
      <c r="H184" s="9"/>
      <c r="I184" s="74">
        <f t="shared" si="2"/>
        <v>-129000</v>
      </c>
      <c r="J184" s="35"/>
      <c r="K184" s="19"/>
      <c r="L184" s="19"/>
      <c r="M184" s="19"/>
      <c r="N184" s="19"/>
      <c r="O184" s="36"/>
      <c r="P184" s="22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79"/>
      <c r="AM184" s="45"/>
      <c r="AN184" s="8"/>
    </row>
    <row r="185" spans="2:40" x14ac:dyDescent="0.25">
      <c r="B185" s="147"/>
      <c r="C185" s="89"/>
      <c r="D185" s="89"/>
      <c r="E185" s="102"/>
      <c r="F185" s="90"/>
      <c r="G185" s="72"/>
      <c r="H185" s="9"/>
      <c r="I185" s="74">
        <f t="shared" si="2"/>
        <v>-129000</v>
      </c>
      <c r="J185" s="35"/>
      <c r="K185" s="19"/>
      <c r="L185" s="19"/>
      <c r="M185" s="19"/>
      <c r="N185" s="19"/>
      <c r="O185" s="36"/>
      <c r="P185" s="22"/>
      <c r="Q185" s="11"/>
      <c r="R185" s="11"/>
      <c r="S185" s="11"/>
      <c r="T185" s="11"/>
      <c r="U185" s="11"/>
      <c r="V185" s="11"/>
      <c r="W185" s="11"/>
      <c r="X185" s="11"/>
      <c r="Y185" s="14"/>
      <c r="Z185" s="11"/>
      <c r="AA185" s="11"/>
      <c r="AB185" s="14"/>
      <c r="AC185" s="14"/>
      <c r="AD185" s="11"/>
      <c r="AE185" s="11"/>
      <c r="AF185" s="11"/>
      <c r="AG185" s="11"/>
      <c r="AH185" s="11"/>
      <c r="AI185" s="11"/>
      <c r="AJ185" s="11"/>
      <c r="AK185" s="11"/>
      <c r="AL185" s="79"/>
      <c r="AM185" s="45"/>
      <c r="AN185" s="8"/>
    </row>
    <row r="186" spans="2:40" x14ac:dyDescent="0.25">
      <c r="B186" s="147"/>
      <c r="C186" s="89"/>
      <c r="D186" s="89"/>
      <c r="E186" s="102"/>
      <c r="F186" s="90"/>
      <c r="G186" s="72"/>
      <c r="H186" s="9"/>
      <c r="I186" s="74">
        <f t="shared" si="2"/>
        <v>-129000</v>
      </c>
      <c r="J186" s="35"/>
      <c r="K186" s="19"/>
      <c r="L186" s="19"/>
      <c r="M186" s="19"/>
      <c r="N186" s="19"/>
      <c r="O186" s="36"/>
      <c r="P186" s="22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5"/>
      <c r="AB186" s="15"/>
      <c r="AC186" s="15"/>
      <c r="AD186" s="15"/>
      <c r="AE186" s="11"/>
      <c r="AF186" s="11"/>
      <c r="AG186" s="11"/>
      <c r="AH186" s="11"/>
      <c r="AI186" s="11"/>
      <c r="AJ186" s="11"/>
      <c r="AK186" s="11"/>
      <c r="AL186" s="79"/>
      <c r="AM186" s="45"/>
      <c r="AN186" s="8"/>
    </row>
    <row r="187" spans="2:40" x14ac:dyDescent="0.25">
      <c r="B187" s="147"/>
      <c r="C187" s="89"/>
      <c r="D187" s="89"/>
      <c r="E187" s="102"/>
      <c r="F187" s="90"/>
      <c r="G187" s="72"/>
      <c r="H187" s="9"/>
      <c r="I187" s="74">
        <f t="shared" si="2"/>
        <v>-129000</v>
      </c>
      <c r="J187" s="35"/>
      <c r="K187" s="19"/>
      <c r="L187" s="19"/>
      <c r="M187" s="19"/>
      <c r="N187" s="19"/>
      <c r="O187" s="36"/>
      <c r="P187" s="22"/>
      <c r="Q187" s="11"/>
      <c r="R187" s="11"/>
      <c r="S187" s="11"/>
      <c r="T187" s="11"/>
      <c r="U187" s="11"/>
      <c r="V187" s="11"/>
      <c r="W187" s="11"/>
      <c r="X187" s="16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79"/>
      <c r="AM187" s="45"/>
      <c r="AN187" s="8"/>
    </row>
    <row r="188" spans="2:40" x14ac:dyDescent="0.25">
      <c r="B188" s="147"/>
      <c r="C188" s="89"/>
      <c r="D188" s="89"/>
      <c r="E188" s="102"/>
      <c r="F188" s="90"/>
      <c r="G188" s="72"/>
      <c r="H188" s="9"/>
      <c r="I188" s="74">
        <f t="shared" si="2"/>
        <v>-129000</v>
      </c>
      <c r="J188" s="35"/>
      <c r="K188" s="19"/>
      <c r="L188" s="19"/>
      <c r="M188" s="19"/>
      <c r="N188" s="19"/>
      <c r="O188" s="36"/>
      <c r="P188" s="22"/>
      <c r="Q188" s="11"/>
      <c r="R188" s="11"/>
      <c r="S188" s="11"/>
      <c r="T188" s="11"/>
      <c r="U188" s="11"/>
      <c r="V188" s="11"/>
      <c r="W188" s="11"/>
      <c r="X188" s="16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79"/>
      <c r="AM188" s="45"/>
      <c r="AN188" s="8"/>
    </row>
    <row r="189" spans="2:40" x14ac:dyDescent="0.25">
      <c r="B189" s="147"/>
      <c r="C189" s="89"/>
      <c r="D189" s="89"/>
      <c r="E189" s="102"/>
      <c r="F189" s="90"/>
      <c r="G189" s="72"/>
      <c r="H189" s="9"/>
      <c r="I189" s="74">
        <f t="shared" si="2"/>
        <v>-129000</v>
      </c>
      <c r="J189" s="35"/>
      <c r="K189" s="19"/>
      <c r="L189" s="19"/>
      <c r="M189" s="19"/>
      <c r="N189" s="19"/>
      <c r="O189" s="36"/>
      <c r="P189" s="22"/>
      <c r="Q189" s="11"/>
      <c r="R189" s="11"/>
      <c r="S189" s="11"/>
      <c r="T189" s="11"/>
      <c r="U189" s="11"/>
      <c r="V189" s="11"/>
      <c r="W189" s="11"/>
      <c r="X189" s="16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79"/>
      <c r="AM189" s="45"/>
      <c r="AN189" s="8"/>
    </row>
    <row r="190" spans="2:40" x14ac:dyDescent="0.25">
      <c r="B190" s="147"/>
      <c r="C190" s="89"/>
      <c r="D190" s="89"/>
      <c r="E190" s="102"/>
      <c r="F190" s="90"/>
      <c r="G190" s="72"/>
      <c r="H190" s="9"/>
      <c r="I190" s="74">
        <f t="shared" si="2"/>
        <v>-129000</v>
      </c>
      <c r="J190" s="35"/>
      <c r="K190" s="19"/>
      <c r="L190" s="19"/>
      <c r="M190" s="19"/>
      <c r="N190" s="19"/>
      <c r="O190" s="36"/>
      <c r="P190" s="22"/>
      <c r="Q190" s="11"/>
      <c r="R190" s="11"/>
      <c r="S190" s="11"/>
      <c r="T190" s="11"/>
      <c r="U190" s="11"/>
      <c r="V190" s="11"/>
      <c r="W190" s="11"/>
      <c r="X190" s="16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79"/>
      <c r="AM190" s="45"/>
      <c r="AN190" s="8"/>
    </row>
    <row r="191" spans="2:40" x14ac:dyDescent="0.25">
      <c r="B191" s="147"/>
      <c r="C191" s="89"/>
      <c r="D191" s="89"/>
      <c r="E191" s="102"/>
      <c r="F191" s="90"/>
      <c r="G191" s="72"/>
      <c r="H191" s="9"/>
      <c r="I191" s="74">
        <f t="shared" si="2"/>
        <v>-129000</v>
      </c>
      <c r="J191" s="35"/>
      <c r="K191" s="19"/>
      <c r="L191" s="19"/>
      <c r="M191" s="19"/>
      <c r="N191" s="19"/>
      <c r="O191" s="36"/>
      <c r="P191" s="22"/>
      <c r="Q191" s="11"/>
      <c r="R191" s="11"/>
      <c r="S191" s="11"/>
      <c r="T191" s="11"/>
      <c r="U191" s="11"/>
      <c r="V191" s="11"/>
      <c r="W191" s="11"/>
      <c r="X191" s="16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79"/>
      <c r="AM191" s="45"/>
      <c r="AN191" s="8"/>
    </row>
    <row r="192" spans="2:40" x14ac:dyDescent="0.25">
      <c r="B192" s="147"/>
      <c r="C192" s="89"/>
      <c r="D192" s="89"/>
      <c r="E192" s="102"/>
      <c r="F192" s="90"/>
      <c r="G192" s="72"/>
      <c r="H192" s="9"/>
      <c r="I192" s="74">
        <f t="shared" si="2"/>
        <v>-129000</v>
      </c>
      <c r="J192" s="35"/>
      <c r="K192" s="19"/>
      <c r="L192" s="19"/>
      <c r="M192" s="19"/>
      <c r="N192" s="19"/>
      <c r="O192" s="36"/>
      <c r="P192" s="22"/>
      <c r="Q192" s="11"/>
      <c r="R192" s="11"/>
      <c r="S192" s="11"/>
      <c r="T192" s="11"/>
      <c r="U192" s="11"/>
      <c r="V192" s="11"/>
      <c r="W192" s="11"/>
      <c r="X192" s="16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4"/>
      <c r="AJ192" s="14"/>
      <c r="AK192" s="14"/>
      <c r="AL192" s="80"/>
      <c r="AM192" s="45"/>
      <c r="AN192" s="8"/>
    </row>
    <row r="193" spans="2:40" x14ac:dyDescent="0.25">
      <c r="B193" s="147"/>
      <c r="C193" s="89"/>
      <c r="D193" s="89"/>
      <c r="E193" s="102"/>
      <c r="F193" s="90"/>
      <c r="G193" s="72"/>
      <c r="H193" s="9"/>
      <c r="I193" s="74">
        <f t="shared" si="2"/>
        <v>-129000</v>
      </c>
      <c r="J193" s="35"/>
      <c r="K193" s="19"/>
      <c r="L193" s="19"/>
      <c r="M193" s="19"/>
      <c r="N193" s="19"/>
      <c r="O193" s="36"/>
      <c r="P193" s="22"/>
      <c r="Q193" s="11"/>
      <c r="R193" s="11"/>
      <c r="S193" s="11"/>
      <c r="T193" s="11"/>
      <c r="U193" s="11"/>
      <c r="V193" s="11"/>
      <c r="W193" s="11"/>
      <c r="X193" s="16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79"/>
      <c r="AM193" s="45"/>
      <c r="AN193" s="8"/>
    </row>
    <row r="194" spans="2:40" x14ac:dyDescent="0.25">
      <c r="B194" s="147"/>
      <c r="C194" s="89"/>
      <c r="D194" s="89"/>
      <c r="E194" s="102"/>
      <c r="F194" s="90"/>
      <c r="G194" s="72"/>
      <c r="H194" s="9"/>
      <c r="I194" s="74">
        <f t="shared" si="2"/>
        <v>-129000</v>
      </c>
      <c r="J194" s="35"/>
      <c r="K194" s="19"/>
      <c r="L194" s="19"/>
      <c r="M194" s="19"/>
      <c r="N194" s="19"/>
      <c r="O194" s="36"/>
      <c r="P194" s="22"/>
      <c r="Q194" s="11"/>
      <c r="R194" s="11"/>
      <c r="S194" s="11"/>
      <c r="T194" s="11"/>
      <c r="U194" s="11"/>
      <c r="V194" s="11"/>
      <c r="W194" s="11"/>
      <c r="X194" s="16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79"/>
      <c r="AM194" s="45"/>
      <c r="AN194" s="8"/>
    </row>
    <row r="195" spans="2:40" x14ac:dyDescent="0.25">
      <c r="B195" s="147"/>
      <c r="C195" s="89"/>
      <c r="D195" s="89"/>
      <c r="E195" s="102"/>
      <c r="F195" s="90"/>
      <c r="G195" s="72"/>
      <c r="H195" s="9"/>
      <c r="I195" s="74">
        <f t="shared" si="2"/>
        <v>-129000</v>
      </c>
      <c r="J195" s="35"/>
      <c r="K195" s="19"/>
      <c r="L195" s="19"/>
      <c r="M195" s="19"/>
      <c r="N195" s="19"/>
      <c r="O195" s="36"/>
      <c r="P195" s="22"/>
      <c r="Q195" s="11"/>
      <c r="R195" s="11"/>
      <c r="S195" s="11"/>
      <c r="T195" s="11"/>
      <c r="U195" s="11"/>
      <c r="V195" s="14"/>
      <c r="W195" s="14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79"/>
      <c r="AM195" s="45"/>
      <c r="AN195" s="8"/>
    </row>
    <row r="196" spans="2:40" x14ac:dyDescent="0.25">
      <c r="B196" s="147"/>
      <c r="C196" s="89"/>
      <c r="D196" s="89"/>
      <c r="E196" s="102"/>
      <c r="F196" s="90"/>
      <c r="G196" s="72"/>
      <c r="H196" s="9"/>
      <c r="I196" s="74">
        <f t="shared" si="2"/>
        <v>-129000</v>
      </c>
      <c r="J196" s="35"/>
      <c r="K196" s="19"/>
      <c r="L196" s="19"/>
      <c r="M196" s="19"/>
      <c r="N196" s="19"/>
      <c r="O196" s="36"/>
      <c r="P196" s="22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5"/>
      <c r="AB196" s="15"/>
      <c r="AC196" s="15"/>
      <c r="AD196" s="15"/>
      <c r="AE196" s="11"/>
      <c r="AF196" s="11"/>
      <c r="AG196" s="11"/>
      <c r="AH196" s="11"/>
      <c r="AI196" s="11"/>
      <c r="AJ196" s="11"/>
      <c r="AK196" s="11"/>
      <c r="AL196" s="79"/>
      <c r="AM196" s="45"/>
      <c r="AN196" s="8"/>
    </row>
    <row r="197" spans="2:40" x14ac:dyDescent="0.25">
      <c r="B197" s="147"/>
      <c r="C197" s="89"/>
      <c r="D197" s="89"/>
      <c r="E197" s="102"/>
      <c r="F197" s="90"/>
      <c r="G197" s="72"/>
      <c r="H197" s="9"/>
      <c r="I197" s="74">
        <f t="shared" si="2"/>
        <v>-129000</v>
      </c>
      <c r="J197" s="35"/>
      <c r="K197" s="19"/>
      <c r="L197" s="19"/>
      <c r="M197" s="19"/>
      <c r="N197" s="19"/>
      <c r="O197" s="36"/>
      <c r="P197" s="22"/>
      <c r="Q197" s="14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79"/>
      <c r="AM197" s="45"/>
      <c r="AN197" s="8"/>
    </row>
    <row r="198" spans="2:40" x14ac:dyDescent="0.25">
      <c r="B198" s="147"/>
      <c r="C198" s="89"/>
      <c r="D198" s="89"/>
      <c r="E198" s="102"/>
      <c r="F198" s="90"/>
      <c r="G198" s="72"/>
      <c r="H198" s="9"/>
      <c r="I198" s="74">
        <f t="shared" si="2"/>
        <v>-129000</v>
      </c>
      <c r="J198" s="35"/>
      <c r="K198" s="19"/>
      <c r="L198" s="19"/>
      <c r="M198" s="19"/>
      <c r="N198" s="19"/>
      <c r="O198" s="36"/>
      <c r="P198" s="22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79"/>
      <c r="AM198" s="45"/>
      <c r="AN198" s="8"/>
    </row>
    <row r="199" spans="2:40" x14ac:dyDescent="0.25">
      <c r="B199" s="147"/>
      <c r="C199" s="89"/>
      <c r="D199" s="89"/>
      <c r="E199" s="102"/>
      <c r="F199" s="90"/>
      <c r="G199" s="72"/>
      <c r="H199" s="9"/>
      <c r="I199" s="74">
        <f t="shared" si="2"/>
        <v>-129000</v>
      </c>
      <c r="J199" s="35"/>
      <c r="K199" s="19"/>
      <c r="L199" s="19"/>
      <c r="M199" s="19"/>
      <c r="N199" s="19"/>
      <c r="O199" s="36"/>
      <c r="P199" s="22"/>
      <c r="Q199" s="11"/>
      <c r="R199" s="11"/>
      <c r="S199" s="11"/>
      <c r="T199" s="11"/>
      <c r="U199" s="14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4"/>
      <c r="AI199" s="11"/>
      <c r="AJ199" s="11"/>
      <c r="AK199" s="11"/>
      <c r="AL199" s="79"/>
      <c r="AM199" s="45"/>
      <c r="AN199" s="8"/>
    </row>
    <row r="200" spans="2:40" x14ac:dyDescent="0.25">
      <c r="B200" s="147"/>
      <c r="C200" s="89"/>
      <c r="D200" s="89"/>
      <c r="E200" s="102"/>
      <c r="F200" s="90"/>
      <c r="G200" s="72"/>
      <c r="H200" s="9"/>
      <c r="I200" s="74">
        <f t="shared" si="2"/>
        <v>-129000</v>
      </c>
      <c r="J200" s="35"/>
      <c r="K200" s="19"/>
      <c r="L200" s="19"/>
      <c r="M200" s="19"/>
      <c r="N200" s="19"/>
      <c r="O200" s="36"/>
      <c r="P200" s="22"/>
      <c r="Q200" s="11"/>
      <c r="R200" s="11"/>
      <c r="S200" s="11"/>
      <c r="T200" s="11"/>
      <c r="U200" s="11"/>
      <c r="V200" s="11"/>
      <c r="W200" s="11"/>
      <c r="X200" s="11"/>
      <c r="Y200" s="11"/>
      <c r="Z200" s="14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79"/>
      <c r="AM200" s="45"/>
      <c r="AN200" s="8"/>
    </row>
    <row r="201" spans="2:40" x14ac:dyDescent="0.25">
      <c r="B201" s="147"/>
      <c r="C201" s="89"/>
      <c r="D201" s="89"/>
      <c r="E201" s="102"/>
      <c r="F201" s="90"/>
      <c r="G201" s="72"/>
      <c r="H201" s="9"/>
      <c r="I201" s="74">
        <f t="shared" si="2"/>
        <v>-129000</v>
      </c>
      <c r="J201" s="35"/>
      <c r="K201" s="19"/>
      <c r="L201" s="19"/>
      <c r="M201" s="19"/>
      <c r="N201" s="19"/>
      <c r="O201" s="36"/>
      <c r="P201" s="22"/>
      <c r="Q201" s="11"/>
      <c r="R201" s="11"/>
      <c r="S201" s="11"/>
      <c r="T201" s="11"/>
      <c r="U201" s="11"/>
      <c r="V201" s="11"/>
      <c r="W201" s="11"/>
      <c r="X201" s="11"/>
      <c r="Y201" s="11"/>
      <c r="Z201" s="14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79"/>
      <c r="AM201" s="45"/>
      <c r="AN201" s="8"/>
    </row>
    <row r="202" spans="2:40" x14ac:dyDescent="0.25">
      <c r="B202" s="147"/>
      <c r="C202" s="89"/>
      <c r="D202" s="89"/>
      <c r="E202" s="102"/>
      <c r="F202" s="90"/>
      <c r="G202" s="72"/>
      <c r="H202" s="9"/>
      <c r="I202" s="74">
        <f t="shared" si="2"/>
        <v>-129000</v>
      </c>
      <c r="J202" s="35"/>
      <c r="K202" s="19"/>
      <c r="L202" s="19"/>
      <c r="M202" s="19"/>
      <c r="N202" s="19"/>
      <c r="O202" s="36"/>
      <c r="P202" s="22"/>
      <c r="Q202" s="11"/>
      <c r="R202" s="11"/>
      <c r="S202" s="11"/>
      <c r="T202" s="11"/>
      <c r="U202" s="11"/>
      <c r="V202" s="11"/>
      <c r="W202" s="11"/>
      <c r="X202" s="11"/>
      <c r="Y202" s="11"/>
      <c r="Z202" s="14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79"/>
      <c r="AM202" s="45"/>
      <c r="AN202" s="8"/>
    </row>
    <row r="203" spans="2:40" x14ac:dyDescent="0.25">
      <c r="B203" s="147"/>
      <c r="C203" s="89"/>
      <c r="D203" s="89"/>
      <c r="E203" s="102"/>
      <c r="F203" s="90"/>
      <c r="G203" s="72"/>
      <c r="H203" s="9"/>
      <c r="I203" s="74">
        <f t="shared" si="2"/>
        <v>-129000</v>
      </c>
      <c r="J203" s="35"/>
      <c r="K203" s="19"/>
      <c r="L203" s="19"/>
      <c r="M203" s="19"/>
      <c r="N203" s="19"/>
      <c r="O203" s="36"/>
      <c r="P203" s="22"/>
      <c r="Q203" s="11"/>
      <c r="R203" s="11"/>
      <c r="S203" s="11"/>
      <c r="T203" s="11"/>
      <c r="U203" s="11"/>
      <c r="V203" s="11"/>
      <c r="W203" s="14"/>
      <c r="X203" s="14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79"/>
      <c r="AM203" s="45"/>
      <c r="AN203" s="8"/>
    </row>
    <row r="204" spans="2:40" x14ac:dyDescent="0.25">
      <c r="B204" s="147"/>
      <c r="C204" s="89"/>
      <c r="D204" s="89"/>
      <c r="E204" s="102"/>
      <c r="F204" s="90"/>
      <c r="G204" s="72"/>
      <c r="H204" s="9"/>
      <c r="I204" s="74">
        <f t="shared" si="2"/>
        <v>-129000</v>
      </c>
      <c r="J204" s="35"/>
      <c r="K204" s="19"/>
      <c r="L204" s="19"/>
      <c r="M204" s="19"/>
      <c r="N204" s="19"/>
      <c r="O204" s="36"/>
      <c r="P204" s="22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79"/>
      <c r="AM204" s="45"/>
      <c r="AN204" s="8"/>
    </row>
    <row r="205" spans="2:40" x14ac:dyDescent="0.25">
      <c r="B205" s="147"/>
      <c r="C205" s="89"/>
      <c r="D205" s="89"/>
      <c r="E205" s="102"/>
      <c r="F205" s="90"/>
      <c r="G205" s="72"/>
      <c r="H205" s="9"/>
      <c r="I205" s="74">
        <f t="shared" si="2"/>
        <v>-129000</v>
      </c>
      <c r="J205" s="35"/>
      <c r="K205" s="19"/>
      <c r="L205" s="19"/>
      <c r="M205" s="19"/>
      <c r="N205" s="19"/>
      <c r="O205" s="36"/>
      <c r="P205" s="22"/>
      <c r="Q205" s="11"/>
      <c r="R205" s="11"/>
      <c r="S205" s="11"/>
      <c r="T205" s="11"/>
      <c r="U205" s="14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79"/>
      <c r="AM205" s="45"/>
      <c r="AN205" s="8"/>
    </row>
    <row r="206" spans="2:40" x14ac:dyDescent="0.25">
      <c r="B206" s="147"/>
      <c r="C206" s="89"/>
      <c r="D206" s="89"/>
      <c r="E206" s="102"/>
      <c r="F206" s="90"/>
      <c r="G206" s="72"/>
      <c r="H206" s="9"/>
      <c r="I206" s="74">
        <f t="shared" si="2"/>
        <v>-129000</v>
      </c>
      <c r="J206" s="35"/>
      <c r="K206" s="19"/>
      <c r="L206" s="19"/>
      <c r="M206" s="19"/>
      <c r="N206" s="19"/>
      <c r="O206" s="36"/>
      <c r="P206" s="22"/>
      <c r="Q206" s="11"/>
      <c r="R206" s="11"/>
      <c r="S206" s="11"/>
      <c r="T206" s="11"/>
      <c r="U206" s="11"/>
      <c r="V206" s="11"/>
      <c r="W206" s="11"/>
      <c r="X206" s="16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79"/>
      <c r="AM206" s="45"/>
      <c r="AN206" s="8"/>
    </row>
    <row r="207" spans="2:40" x14ac:dyDescent="0.25">
      <c r="B207" s="147"/>
      <c r="C207" s="89"/>
      <c r="D207" s="89"/>
      <c r="E207" s="102"/>
      <c r="F207" s="90"/>
      <c r="G207" s="72"/>
      <c r="H207" s="9"/>
      <c r="I207" s="74">
        <f t="shared" si="2"/>
        <v>-129000</v>
      </c>
      <c r="J207" s="35"/>
      <c r="K207" s="19"/>
      <c r="L207" s="19"/>
      <c r="M207" s="19"/>
      <c r="N207" s="19"/>
      <c r="O207" s="36"/>
      <c r="P207" s="22"/>
      <c r="Q207" s="11"/>
      <c r="R207" s="11"/>
      <c r="S207" s="11"/>
      <c r="T207" s="11"/>
      <c r="U207" s="11"/>
      <c r="V207" s="11"/>
      <c r="W207" s="11"/>
      <c r="X207" s="16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79"/>
      <c r="AM207" s="45"/>
      <c r="AN207" s="8"/>
    </row>
    <row r="208" spans="2:40" x14ac:dyDescent="0.25">
      <c r="B208" s="147"/>
      <c r="C208" s="89"/>
      <c r="D208" s="89"/>
      <c r="E208" s="102"/>
      <c r="F208" s="90"/>
      <c r="G208" s="72"/>
      <c r="H208" s="9"/>
      <c r="I208" s="74">
        <f t="shared" si="2"/>
        <v>-129000</v>
      </c>
      <c r="J208" s="35"/>
      <c r="K208" s="19"/>
      <c r="L208" s="19"/>
      <c r="M208" s="19"/>
      <c r="N208" s="19"/>
      <c r="O208" s="36"/>
      <c r="P208" s="22"/>
      <c r="Q208" s="11"/>
      <c r="R208" s="11"/>
      <c r="S208" s="11"/>
      <c r="T208" s="11"/>
      <c r="U208" s="11"/>
      <c r="V208" s="11"/>
      <c r="W208" s="11"/>
      <c r="X208" s="16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79"/>
      <c r="AM208" s="45"/>
      <c r="AN208" s="8"/>
    </row>
    <row r="209" spans="2:40" x14ac:dyDescent="0.25">
      <c r="B209" s="147"/>
      <c r="C209" s="89"/>
      <c r="D209" s="89"/>
      <c r="E209" s="102"/>
      <c r="F209" s="90"/>
      <c r="G209" s="72"/>
      <c r="H209" s="9"/>
      <c r="I209" s="74">
        <f t="shared" si="2"/>
        <v>-129000</v>
      </c>
      <c r="J209" s="35"/>
      <c r="K209" s="19"/>
      <c r="L209" s="19"/>
      <c r="M209" s="19"/>
      <c r="N209" s="19"/>
      <c r="O209" s="36"/>
      <c r="P209" s="22"/>
      <c r="Q209" s="11"/>
      <c r="R209" s="11"/>
      <c r="S209" s="11"/>
      <c r="T209" s="11"/>
      <c r="U209" s="11"/>
      <c r="V209" s="11"/>
      <c r="W209" s="11"/>
      <c r="X209" s="16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79"/>
      <c r="AM209" s="45"/>
      <c r="AN209" s="8"/>
    </row>
    <row r="210" spans="2:40" x14ac:dyDescent="0.25">
      <c r="B210" s="147"/>
      <c r="C210" s="89"/>
      <c r="D210" s="89"/>
      <c r="E210" s="102"/>
      <c r="F210" s="90"/>
      <c r="G210" s="72"/>
      <c r="H210" s="9"/>
      <c r="I210" s="74">
        <f t="shared" ref="I210:I273" si="3">I209+G210-H210</f>
        <v>-129000</v>
      </c>
      <c r="J210" s="35"/>
      <c r="K210" s="19"/>
      <c r="L210" s="19"/>
      <c r="M210" s="19"/>
      <c r="N210" s="19"/>
      <c r="O210" s="36"/>
      <c r="P210" s="22"/>
      <c r="Q210" s="11"/>
      <c r="R210" s="11"/>
      <c r="S210" s="11"/>
      <c r="T210" s="11"/>
      <c r="U210" s="11"/>
      <c r="V210" s="11"/>
      <c r="W210" s="11"/>
      <c r="X210" s="16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79"/>
      <c r="AM210" s="45"/>
      <c r="AN210" s="8"/>
    </row>
    <row r="211" spans="2:40" x14ac:dyDescent="0.25">
      <c r="B211" s="147"/>
      <c r="C211" s="89"/>
      <c r="D211" s="89"/>
      <c r="E211" s="102"/>
      <c r="F211" s="90"/>
      <c r="G211" s="72"/>
      <c r="H211" s="9"/>
      <c r="I211" s="74">
        <f t="shared" si="3"/>
        <v>-129000</v>
      </c>
      <c r="J211" s="35"/>
      <c r="K211" s="19"/>
      <c r="L211" s="19"/>
      <c r="M211" s="19"/>
      <c r="N211" s="19"/>
      <c r="O211" s="36"/>
      <c r="P211" s="22"/>
      <c r="Q211" s="11"/>
      <c r="R211" s="11"/>
      <c r="S211" s="11"/>
      <c r="T211" s="11"/>
      <c r="U211" s="11"/>
      <c r="V211" s="11"/>
      <c r="W211" s="11"/>
      <c r="X211" s="16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79"/>
      <c r="AM211" s="45"/>
      <c r="AN211" s="8"/>
    </row>
    <row r="212" spans="2:40" x14ac:dyDescent="0.25">
      <c r="B212" s="147"/>
      <c r="C212" s="89"/>
      <c r="D212" s="89"/>
      <c r="E212" s="102"/>
      <c r="F212" s="90"/>
      <c r="G212" s="72"/>
      <c r="H212" s="9"/>
      <c r="I212" s="74">
        <f t="shared" si="3"/>
        <v>-129000</v>
      </c>
      <c r="J212" s="35"/>
      <c r="K212" s="19"/>
      <c r="L212" s="19"/>
      <c r="M212" s="19"/>
      <c r="N212" s="19"/>
      <c r="O212" s="36"/>
      <c r="P212" s="22"/>
      <c r="Q212" s="11"/>
      <c r="R212" s="11"/>
      <c r="S212" s="11"/>
      <c r="T212" s="11"/>
      <c r="U212" s="11"/>
      <c r="V212" s="11"/>
      <c r="W212" s="11"/>
      <c r="X212" s="16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79"/>
      <c r="AM212" s="45"/>
      <c r="AN212" s="8"/>
    </row>
    <row r="213" spans="2:40" x14ac:dyDescent="0.25">
      <c r="B213" s="147"/>
      <c r="C213" s="89"/>
      <c r="D213" s="89"/>
      <c r="E213" s="102"/>
      <c r="F213" s="90"/>
      <c r="G213" s="72"/>
      <c r="H213" s="9"/>
      <c r="I213" s="74">
        <f t="shared" si="3"/>
        <v>-129000</v>
      </c>
      <c r="J213" s="35"/>
      <c r="K213" s="19"/>
      <c r="L213" s="19"/>
      <c r="M213" s="19"/>
      <c r="N213" s="19"/>
      <c r="O213" s="36"/>
      <c r="P213" s="22"/>
      <c r="Q213" s="11"/>
      <c r="R213" s="11"/>
      <c r="S213" s="11"/>
      <c r="T213" s="11"/>
      <c r="U213" s="11"/>
      <c r="V213" s="11"/>
      <c r="W213" s="11"/>
      <c r="X213" s="16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79"/>
      <c r="AM213" s="45"/>
      <c r="AN213" s="8"/>
    </row>
    <row r="214" spans="2:40" x14ac:dyDescent="0.25">
      <c r="B214" s="147"/>
      <c r="C214" s="89"/>
      <c r="D214" s="89"/>
      <c r="E214" s="102"/>
      <c r="F214" s="90"/>
      <c r="G214" s="72"/>
      <c r="H214" s="9"/>
      <c r="I214" s="74">
        <f t="shared" si="3"/>
        <v>-129000</v>
      </c>
      <c r="J214" s="35"/>
      <c r="K214" s="19"/>
      <c r="L214" s="19"/>
      <c r="M214" s="19"/>
      <c r="N214" s="19"/>
      <c r="O214" s="36"/>
      <c r="P214" s="22"/>
      <c r="Q214" s="11"/>
      <c r="R214" s="11"/>
      <c r="S214" s="11"/>
      <c r="T214" s="11"/>
      <c r="U214" s="11"/>
      <c r="V214" s="11"/>
      <c r="W214" s="11"/>
      <c r="X214" s="16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79"/>
      <c r="AM214" s="45"/>
      <c r="AN214" s="8"/>
    </row>
    <row r="215" spans="2:40" x14ac:dyDescent="0.25">
      <c r="B215" s="147"/>
      <c r="C215" s="89"/>
      <c r="D215" s="89"/>
      <c r="E215" s="102"/>
      <c r="F215" s="90"/>
      <c r="G215" s="72"/>
      <c r="H215" s="9"/>
      <c r="I215" s="74">
        <f t="shared" si="3"/>
        <v>-129000</v>
      </c>
      <c r="J215" s="35"/>
      <c r="K215" s="19"/>
      <c r="L215" s="19"/>
      <c r="M215" s="19"/>
      <c r="N215" s="19"/>
      <c r="O215" s="36"/>
      <c r="P215" s="22"/>
      <c r="Q215" s="11"/>
      <c r="R215" s="11"/>
      <c r="S215" s="11"/>
      <c r="T215" s="11"/>
      <c r="U215" s="11"/>
      <c r="V215" s="14"/>
      <c r="W215" s="14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79"/>
      <c r="AM215" s="45"/>
      <c r="AN215" s="8"/>
    </row>
    <row r="216" spans="2:40" x14ac:dyDescent="0.25">
      <c r="B216" s="147"/>
      <c r="C216" s="89"/>
      <c r="D216" s="89"/>
      <c r="E216" s="102"/>
      <c r="F216" s="90"/>
      <c r="G216" s="72"/>
      <c r="H216" s="9"/>
      <c r="I216" s="74">
        <f t="shared" si="3"/>
        <v>-129000</v>
      </c>
      <c r="J216" s="35"/>
      <c r="K216" s="19"/>
      <c r="L216" s="19"/>
      <c r="M216" s="19"/>
      <c r="N216" s="19"/>
      <c r="O216" s="36"/>
      <c r="P216" s="22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4"/>
      <c r="AG216" s="11"/>
      <c r="AH216" s="11"/>
      <c r="AI216" s="11"/>
      <c r="AJ216" s="11"/>
      <c r="AK216" s="11"/>
      <c r="AL216" s="79"/>
      <c r="AM216" s="45"/>
      <c r="AN216" s="8"/>
    </row>
    <row r="217" spans="2:40" x14ac:dyDescent="0.25">
      <c r="B217" s="147"/>
      <c r="C217" s="89"/>
      <c r="D217" s="89"/>
      <c r="E217" s="102"/>
      <c r="F217" s="90"/>
      <c r="G217" s="72"/>
      <c r="H217" s="9"/>
      <c r="I217" s="74">
        <f t="shared" si="3"/>
        <v>-129000</v>
      </c>
      <c r="J217" s="35"/>
      <c r="K217" s="19"/>
      <c r="L217" s="19"/>
      <c r="M217" s="19"/>
      <c r="N217" s="19"/>
      <c r="O217" s="36"/>
      <c r="P217" s="22"/>
      <c r="Q217" s="11"/>
      <c r="R217" s="11"/>
      <c r="S217" s="11"/>
      <c r="T217" s="11"/>
      <c r="U217" s="11"/>
      <c r="V217" s="11"/>
      <c r="W217" s="11"/>
      <c r="X217" s="16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79"/>
      <c r="AM217" s="45"/>
      <c r="AN217" s="8"/>
    </row>
    <row r="218" spans="2:40" x14ac:dyDescent="0.25">
      <c r="B218" s="147"/>
      <c r="C218" s="89"/>
      <c r="D218" s="89"/>
      <c r="E218" s="102"/>
      <c r="F218" s="90"/>
      <c r="G218" s="72"/>
      <c r="H218" s="9"/>
      <c r="I218" s="74">
        <f t="shared" si="3"/>
        <v>-129000</v>
      </c>
      <c r="J218" s="35"/>
      <c r="K218" s="19"/>
      <c r="L218" s="19"/>
      <c r="M218" s="19"/>
      <c r="N218" s="19"/>
      <c r="O218" s="36"/>
      <c r="P218" s="22"/>
      <c r="Q218" s="11"/>
      <c r="R218" s="11"/>
      <c r="S218" s="11"/>
      <c r="T218" s="11"/>
      <c r="U218" s="11"/>
      <c r="V218" s="11"/>
      <c r="W218" s="11"/>
      <c r="X218" s="16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79"/>
      <c r="AM218" s="45"/>
      <c r="AN218" s="8"/>
    </row>
    <row r="219" spans="2:40" x14ac:dyDescent="0.25">
      <c r="B219" s="147"/>
      <c r="C219" s="89"/>
      <c r="D219" s="89"/>
      <c r="E219" s="102"/>
      <c r="F219" s="90"/>
      <c r="G219" s="72"/>
      <c r="H219" s="9"/>
      <c r="I219" s="74">
        <f t="shared" si="3"/>
        <v>-129000</v>
      </c>
      <c r="J219" s="35"/>
      <c r="K219" s="19"/>
      <c r="L219" s="19"/>
      <c r="M219" s="19"/>
      <c r="N219" s="19"/>
      <c r="O219" s="36"/>
      <c r="P219" s="22"/>
      <c r="Q219" s="11"/>
      <c r="R219" s="11"/>
      <c r="S219" s="11"/>
      <c r="T219" s="11"/>
      <c r="U219" s="11"/>
      <c r="V219" s="11"/>
      <c r="W219" s="11"/>
      <c r="X219" s="16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79"/>
      <c r="AM219" s="45"/>
      <c r="AN219" s="8"/>
    </row>
    <row r="220" spans="2:40" x14ac:dyDescent="0.25">
      <c r="B220" s="147"/>
      <c r="C220" s="89"/>
      <c r="D220" s="89"/>
      <c r="E220" s="102"/>
      <c r="F220" s="90"/>
      <c r="G220" s="72"/>
      <c r="H220" s="9"/>
      <c r="I220" s="74">
        <f t="shared" si="3"/>
        <v>-129000</v>
      </c>
      <c r="J220" s="35"/>
      <c r="K220" s="19"/>
      <c r="L220" s="19"/>
      <c r="M220" s="19"/>
      <c r="N220" s="19"/>
      <c r="O220" s="36"/>
      <c r="P220" s="22"/>
      <c r="Q220" s="11"/>
      <c r="R220" s="11"/>
      <c r="S220" s="11"/>
      <c r="T220" s="11"/>
      <c r="U220" s="11"/>
      <c r="V220" s="11"/>
      <c r="W220" s="11"/>
      <c r="X220" s="16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79"/>
      <c r="AM220" s="45"/>
      <c r="AN220" s="8"/>
    </row>
    <row r="221" spans="2:40" x14ac:dyDescent="0.25">
      <c r="B221" s="147"/>
      <c r="C221" s="89"/>
      <c r="D221" s="89"/>
      <c r="E221" s="102"/>
      <c r="F221" s="90"/>
      <c r="G221" s="72"/>
      <c r="H221" s="9"/>
      <c r="I221" s="74">
        <f t="shared" si="3"/>
        <v>-129000</v>
      </c>
      <c r="J221" s="35"/>
      <c r="K221" s="19"/>
      <c r="L221" s="19"/>
      <c r="M221" s="19"/>
      <c r="N221" s="19"/>
      <c r="O221" s="36"/>
      <c r="P221" s="22"/>
      <c r="Q221" s="11"/>
      <c r="R221" s="11"/>
      <c r="S221" s="11"/>
      <c r="T221" s="11"/>
      <c r="U221" s="11"/>
      <c r="V221" s="11"/>
      <c r="W221" s="11"/>
      <c r="X221" s="16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79"/>
      <c r="AM221" s="45"/>
      <c r="AN221" s="8"/>
    </row>
    <row r="222" spans="2:40" x14ac:dyDescent="0.25">
      <c r="B222" s="147"/>
      <c r="C222" s="89"/>
      <c r="D222" s="89"/>
      <c r="E222" s="102"/>
      <c r="F222" s="90"/>
      <c r="G222" s="72"/>
      <c r="H222" s="9"/>
      <c r="I222" s="74">
        <f t="shared" si="3"/>
        <v>-129000</v>
      </c>
      <c r="J222" s="35"/>
      <c r="K222" s="19"/>
      <c r="L222" s="19"/>
      <c r="M222" s="19"/>
      <c r="N222" s="19"/>
      <c r="O222" s="36"/>
      <c r="P222" s="22"/>
      <c r="Q222" s="11"/>
      <c r="R222" s="11"/>
      <c r="S222" s="11"/>
      <c r="T222" s="11"/>
      <c r="U222" s="11"/>
      <c r="V222" s="11"/>
      <c r="W222" s="11"/>
      <c r="X222" s="16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79"/>
      <c r="AM222" s="45"/>
      <c r="AN222" s="8"/>
    </row>
    <row r="223" spans="2:40" x14ac:dyDescent="0.25">
      <c r="B223" s="147"/>
      <c r="C223" s="89"/>
      <c r="D223" s="89"/>
      <c r="E223" s="102"/>
      <c r="F223" s="90"/>
      <c r="G223" s="72"/>
      <c r="H223" s="9"/>
      <c r="I223" s="74">
        <f t="shared" si="3"/>
        <v>-129000</v>
      </c>
      <c r="J223" s="35"/>
      <c r="K223" s="19"/>
      <c r="L223" s="19"/>
      <c r="M223" s="19"/>
      <c r="N223" s="19"/>
      <c r="O223" s="36"/>
      <c r="P223" s="22"/>
      <c r="Q223" s="11"/>
      <c r="R223" s="11"/>
      <c r="S223" s="11"/>
      <c r="T223" s="11"/>
      <c r="U223" s="11"/>
      <c r="V223" s="11"/>
      <c r="W223" s="11"/>
      <c r="X223" s="16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79"/>
      <c r="AM223" s="45"/>
      <c r="AN223" s="8"/>
    </row>
    <row r="224" spans="2:40" x14ac:dyDescent="0.25">
      <c r="B224" s="147"/>
      <c r="C224" s="89"/>
      <c r="D224" s="89"/>
      <c r="E224" s="102"/>
      <c r="F224" s="90"/>
      <c r="G224" s="72"/>
      <c r="H224" s="9"/>
      <c r="I224" s="74">
        <f t="shared" si="3"/>
        <v>-129000</v>
      </c>
      <c r="J224" s="35"/>
      <c r="K224" s="19"/>
      <c r="L224" s="19"/>
      <c r="M224" s="19"/>
      <c r="N224" s="19"/>
      <c r="O224" s="36"/>
      <c r="P224" s="22"/>
      <c r="Q224" s="11"/>
      <c r="R224" s="11"/>
      <c r="S224" s="11"/>
      <c r="T224" s="11"/>
      <c r="U224" s="11"/>
      <c r="V224" s="11"/>
      <c r="W224" s="11"/>
      <c r="X224" s="16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79"/>
      <c r="AM224" s="45"/>
      <c r="AN224" s="8"/>
    </row>
    <row r="225" spans="2:40" x14ac:dyDescent="0.25">
      <c r="B225" s="147"/>
      <c r="C225" s="89"/>
      <c r="D225" s="89"/>
      <c r="E225" s="102"/>
      <c r="F225" s="90"/>
      <c r="G225" s="72"/>
      <c r="H225" s="9"/>
      <c r="I225" s="74">
        <f t="shared" si="3"/>
        <v>-129000</v>
      </c>
      <c r="J225" s="35"/>
      <c r="K225" s="19"/>
      <c r="L225" s="19"/>
      <c r="M225" s="19"/>
      <c r="N225" s="19"/>
      <c r="O225" s="36"/>
      <c r="P225" s="22"/>
      <c r="Q225" s="11"/>
      <c r="R225" s="11"/>
      <c r="S225" s="11"/>
      <c r="T225" s="11"/>
      <c r="U225" s="11"/>
      <c r="V225" s="11"/>
      <c r="W225" s="11"/>
      <c r="X225" s="11"/>
      <c r="Y225" s="11"/>
      <c r="Z225" s="14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79"/>
      <c r="AM225" s="45"/>
      <c r="AN225" s="8"/>
    </row>
    <row r="226" spans="2:40" x14ac:dyDescent="0.25">
      <c r="B226" s="147"/>
      <c r="C226" s="89"/>
      <c r="D226" s="89"/>
      <c r="E226" s="102"/>
      <c r="F226" s="90"/>
      <c r="G226" s="72"/>
      <c r="H226" s="9"/>
      <c r="I226" s="74">
        <f t="shared" si="3"/>
        <v>-129000</v>
      </c>
      <c r="J226" s="35"/>
      <c r="K226" s="19"/>
      <c r="L226" s="19"/>
      <c r="M226" s="19"/>
      <c r="N226" s="19"/>
      <c r="O226" s="36"/>
      <c r="P226" s="22"/>
      <c r="Q226" s="11"/>
      <c r="R226" s="11"/>
      <c r="S226" s="11"/>
      <c r="T226" s="11"/>
      <c r="U226" s="11"/>
      <c r="V226" s="11"/>
      <c r="W226" s="11"/>
      <c r="X226" s="11"/>
      <c r="Y226" s="11"/>
      <c r="Z226" s="14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79"/>
      <c r="AM226" s="45"/>
      <c r="AN226" s="8"/>
    </row>
    <row r="227" spans="2:40" x14ac:dyDescent="0.25">
      <c r="B227" s="147"/>
      <c r="C227" s="89"/>
      <c r="D227" s="89"/>
      <c r="E227" s="102"/>
      <c r="F227" s="90"/>
      <c r="G227" s="72"/>
      <c r="H227" s="9"/>
      <c r="I227" s="74">
        <f t="shared" si="3"/>
        <v>-129000</v>
      </c>
      <c r="J227" s="35"/>
      <c r="K227" s="19"/>
      <c r="L227" s="19"/>
      <c r="M227" s="19"/>
      <c r="N227" s="19"/>
      <c r="O227" s="36"/>
      <c r="P227" s="22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79"/>
      <c r="AM227" s="45"/>
      <c r="AN227" s="8"/>
    </row>
    <row r="228" spans="2:40" x14ac:dyDescent="0.25">
      <c r="B228" s="147"/>
      <c r="C228" s="89"/>
      <c r="D228" s="89"/>
      <c r="E228" s="102"/>
      <c r="F228" s="90"/>
      <c r="G228" s="72"/>
      <c r="H228" s="9"/>
      <c r="I228" s="74">
        <f t="shared" si="3"/>
        <v>-129000</v>
      </c>
      <c r="J228" s="35"/>
      <c r="K228" s="19"/>
      <c r="L228" s="19"/>
      <c r="M228" s="19"/>
      <c r="N228" s="19"/>
      <c r="O228" s="36"/>
      <c r="P228" s="22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79"/>
      <c r="AM228" s="45"/>
      <c r="AN228" s="8"/>
    </row>
    <row r="229" spans="2:40" x14ac:dyDescent="0.25">
      <c r="B229" s="147"/>
      <c r="C229" s="89"/>
      <c r="D229" s="89"/>
      <c r="E229" s="102"/>
      <c r="F229" s="90"/>
      <c r="G229" s="72"/>
      <c r="H229" s="9"/>
      <c r="I229" s="74">
        <f t="shared" si="3"/>
        <v>-129000</v>
      </c>
      <c r="J229" s="35"/>
      <c r="K229" s="19"/>
      <c r="L229" s="19"/>
      <c r="M229" s="19"/>
      <c r="N229" s="19"/>
      <c r="O229" s="36"/>
      <c r="P229" s="22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79"/>
      <c r="AM229" s="45"/>
      <c r="AN229" s="8"/>
    </row>
    <row r="230" spans="2:40" x14ac:dyDescent="0.25">
      <c r="B230" s="147"/>
      <c r="C230" s="89"/>
      <c r="D230" s="89"/>
      <c r="E230" s="102"/>
      <c r="F230" s="90"/>
      <c r="G230" s="72"/>
      <c r="H230" s="9"/>
      <c r="I230" s="74">
        <f t="shared" si="3"/>
        <v>-129000</v>
      </c>
      <c r="J230" s="35"/>
      <c r="K230" s="19"/>
      <c r="L230" s="19"/>
      <c r="M230" s="19"/>
      <c r="N230" s="19"/>
      <c r="O230" s="36"/>
      <c r="P230" s="22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79"/>
      <c r="AM230" s="45"/>
      <c r="AN230" s="8"/>
    </row>
    <row r="231" spans="2:40" x14ac:dyDescent="0.25">
      <c r="B231" s="147"/>
      <c r="C231" s="89"/>
      <c r="D231" s="89"/>
      <c r="E231" s="102"/>
      <c r="F231" s="90"/>
      <c r="G231" s="72"/>
      <c r="H231" s="9"/>
      <c r="I231" s="74">
        <f t="shared" si="3"/>
        <v>-129000</v>
      </c>
      <c r="J231" s="35"/>
      <c r="K231" s="19"/>
      <c r="L231" s="19"/>
      <c r="M231" s="19"/>
      <c r="N231" s="19"/>
      <c r="O231" s="36"/>
      <c r="P231" s="22"/>
      <c r="Q231" s="11"/>
      <c r="R231" s="11"/>
      <c r="S231" s="11"/>
      <c r="T231" s="11"/>
      <c r="U231" s="14"/>
      <c r="V231" s="11"/>
      <c r="W231" s="11"/>
      <c r="X231" s="11"/>
      <c r="Y231" s="11"/>
      <c r="Z231" s="14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79"/>
      <c r="AM231" s="45"/>
      <c r="AN231" s="8"/>
    </row>
    <row r="232" spans="2:40" x14ac:dyDescent="0.25">
      <c r="B232" s="147"/>
      <c r="C232" s="89"/>
      <c r="D232" s="89"/>
      <c r="E232" s="102"/>
      <c r="F232" s="90"/>
      <c r="G232" s="72"/>
      <c r="H232" s="9"/>
      <c r="I232" s="74">
        <f t="shared" si="3"/>
        <v>-129000</v>
      </c>
      <c r="J232" s="35"/>
      <c r="K232" s="19"/>
      <c r="L232" s="19"/>
      <c r="M232" s="19"/>
      <c r="N232" s="19"/>
      <c r="O232" s="36"/>
      <c r="P232" s="22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79"/>
      <c r="AM232" s="45"/>
      <c r="AN232" s="8"/>
    </row>
    <row r="233" spans="2:40" x14ac:dyDescent="0.25">
      <c r="B233" s="147"/>
      <c r="C233" s="89"/>
      <c r="D233" s="89"/>
      <c r="E233" s="102"/>
      <c r="F233" s="90"/>
      <c r="G233" s="72"/>
      <c r="H233" s="9"/>
      <c r="I233" s="74">
        <f t="shared" si="3"/>
        <v>-129000</v>
      </c>
      <c r="J233" s="35"/>
      <c r="K233" s="19"/>
      <c r="L233" s="19"/>
      <c r="M233" s="19"/>
      <c r="N233" s="19"/>
      <c r="O233" s="36"/>
      <c r="P233" s="22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79"/>
      <c r="AM233" s="45"/>
      <c r="AN233" s="8"/>
    </row>
    <row r="234" spans="2:40" x14ac:dyDescent="0.25">
      <c r="B234" s="147"/>
      <c r="C234" s="89"/>
      <c r="D234" s="89"/>
      <c r="E234" s="102"/>
      <c r="F234" s="90"/>
      <c r="G234" s="72"/>
      <c r="H234" s="9"/>
      <c r="I234" s="74">
        <f t="shared" si="3"/>
        <v>-129000</v>
      </c>
      <c r="J234" s="35"/>
      <c r="K234" s="19"/>
      <c r="L234" s="19"/>
      <c r="M234" s="19"/>
      <c r="N234" s="19"/>
      <c r="O234" s="36"/>
      <c r="P234" s="22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79"/>
      <c r="AM234" s="45"/>
      <c r="AN234" s="8"/>
    </row>
    <row r="235" spans="2:40" x14ac:dyDescent="0.25">
      <c r="B235" s="147"/>
      <c r="C235" s="89"/>
      <c r="D235" s="89"/>
      <c r="E235" s="102"/>
      <c r="F235" s="90"/>
      <c r="G235" s="72"/>
      <c r="H235" s="9"/>
      <c r="I235" s="74">
        <f t="shared" si="3"/>
        <v>-129000</v>
      </c>
      <c r="J235" s="35"/>
      <c r="K235" s="19"/>
      <c r="L235" s="19"/>
      <c r="M235" s="19"/>
      <c r="N235" s="19"/>
      <c r="O235" s="36"/>
      <c r="P235" s="22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79"/>
      <c r="AM235" s="45"/>
      <c r="AN235" s="8"/>
    </row>
    <row r="236" spans="2:40" x14ac:dyDescent="0.25">
      <c r="B236" s="147"/>
      <c r="C236" s="89"/>
      <c r="D236" s="89"/>
      <c r="E236" s="102"/>
      <c r="F236" s="90"/>
      <c r="G236" s="72"/>
      <c r="H236" s="9"/>
      <c r="I236" s="74">
        <f t="shared" si="3"/>
        <v>-129000</v>
      </c>
      <c r="J236" s="35"/>
      <c r="K236" s="19"/>
      <c r="L236" s="19"/>
      <c r="M236" s="19"/>
      <c r="N236" s="19"/>
      <c r="O236" s="36"/>
      <c r="P236" s="22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79"/>
      <c r="AM236" s="45"/>
      <c r="AN236" s="8"/>
    </row>
    <row r="237" spans="2:40" x14ac:dyDescent="0.25">
      <c r="B237" s="147"/>
      <c r="C237" s="89"/>
      <c r="D237" s="89"/>
      <c r="E237" s="102"/>
      <c r="F237" s="90"/>
      <c r="G237" s="72"/>
      <c r="H237" s="9"/>
      <c r="I237" s="74">
        <f t="shared" si="3"/>
        <v>-129000</v>
      </c>
      <c r="J237" s="35"/>
      <c r="K237" s="19"/>
      <c r="L237" s="19"/>
      <c r="M237" s="19"/>
      <c r="N237" s="19"/>
      <c r="O237" s="36"/>
      <c r="P237" s="22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79"/>
      <c r="AM237" s="45"/>
      <c r="AN237" s="8"/>
    </row>
    <row r="238" spans="2:40" x14ac:dyDescent="0.25">
      <c r="B238" s="147"/>
      <c r="C238" s="89"/>
      <c r="D238" s="89"/>
      <c r="E238" s="102"/>
      <c r="F238" s="90"/>
      <c r="G238" s="72"/>
      <c r="H238" s="9"/>
      <c r="I238" s="74">
        <f t="shared" si="3"/>
        <v>-129000</v>
      </c>
      <c r="J238" s="35"/>
      <c r="K238" s="19"/>
      <c r="L238" s="19"/>
      <c r="M238" s="19"/>
      <c r="N238" s="19"/>
      <c r="O238" s="36"/>
      <c r="P238" s="22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79"/>
      <c r="AM238" s="45"/>
      <c r="AN238" s="8"/>
    </row>
    <row r="239" spans="2:40" x14ac:dyDescent="0.25">
      <c r="B239" s="147"/>
      <c r="C239" s="89"/>
      <c r="D239" s="89"/>
      <c r="E239" s="102"/>
      <c r="F239" s="90"/>
      <c r="G239" s="72"/>
      <c r="H239" s="9"/>
      <c r="I239" s="74">
        <f t="shared" si="3"/>
        <v>-129000</v>
      </c>
      <c r="J239" s="35"/>
      <c r="K239" s="19"/>
      <c r="L239" s="19"/>
      <c r="M239" s="19"/>
      <c r="N239" s="19"/>
      <c r="O239" s="36"/>
      <c r="P239" s="22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79"/>
      <c r="AM239" s="45"/>
      <c r="AN239" s="8"/>
    </row>
    <row r="240" spans="2:40" x14ac:dyDescent="0.25">
      <c r="B240" s="147"/>
      <c r="C240" s="89"/>
      <c r="D240" s="89"/>
      <c r="E240" s="102"/>
      <c r="F240" s="90"/>
      <c r="G240" s="72"/>
      <c r="H240" s="9"/>
      <c r="I240" s="74">
        <f t="shared" si="3"/>
        <v>-129000</v>
      </c>
      <c r="J240" s="35"/>
      <c r="K240" s="19"/>
      <c r="L240" s="19"/>
      <c r="M240" s="19"/>
      <c r="N240" s="19"/>
      <c r="O240" s="36"/>
      <c r="P240" s="22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4"/>
      <c r="AJ240" s="14"/>
      <c r="AK240" s="14"/>
      <c r="AL240" s="80"/>
      <c r="AM240" s="45"/>
      <c r="AN240" s="8"/>
    </row>
    <row r="241" spans="2:40" x14ac:dyDescent="0.25">
      <c r="B241" s="147"/>
      <c r="C241" s="89"/>
      <c r="D241" s="89"/>
      <c r="E241" s="102"/>
      <c r="F241" s="90"/>
      <c r="G241" s="72"/>
      <c r="H241" s="9"/>
      <c r="I241" s="74">
        <f t="shared" si="3"/>
        <v>-129000</v>
      </c>
      <c r="J241" s="35"/>
      <c r="K241" s="19"/>
      <c r="L241" s="19"/>
      <c r="M241" s="19"/>
      <c r="N241" s="19"/>
      <c r="O241" s="36"/>
      <c r="P241" s="22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79"/>
      <c r="AM241" s="45"/>
      <c r="AN241" s="8"/>
    </row>
    <row r="242" spans="2:40" x14ac:dyDescent="0.25">
      <c r="B242" s="147"/>
      <c r="C242" s="89"/>
      <c r="D242" s="89"/>
      <c r="E242" s="102"/>
      <c r="F242" s="90"/>
      <c r="G242" s="72"/>
      <c r="H242" s="9"/>
      <c r="I242" s="74">
        <f t="shared" si="3"/>
        <v>-129000</v>
      </c>
      <c r="J242" s="35"/>
      <c r="K242" s="19"/>
      <c r="L242" s="19"/>
      <c r="M242" s="19"/>
      <c r="N242" s="19"/>
      <c r="O242" s="36"/>
      <c r="P242" s="22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6"/>
      <c r="AJ242" s="16"/>
      <c r="AK242" s="16"/>
      <c r="AL242" s="81"/>
      <c r="AM242" s="45"/>
      <c r="AN242" s="8"/>
    </row>
    <row r="243" spans="2:40" x14ac:dyDescent="0.25">
      <c r="B243" s="147"/>
      <c r="C243" s="89"/>
      <c r="D243" s="89"/>
      <c r="E243" s="102"/>
      <c r="F243" s="90"/>
      <c r="G243" s="72"/>
      <c r="H243" s="9"/>
      <c r="I243" s="74">
        <f t="shared" si="3"/>
        <v>-129000</v>
      </c>
      <c r="J243" s="35"/>
      <c r="K243" s="19"/>
      <c r="L243" s="19"/>
      <c r="M243" s="19"/>
      <c r="N243" s="19"/>
      <c r="O243" s="36"/>
      <c r="P243" s="22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79"/>
      <c r="AM243" s="45"/>
      <c r="AN243" s="8"/>
    </row>
    <row r="244" spans="2:40" x14ac:dyDescent="0.25">
      <c r="B244" s="147"/>
      <c r="C244" s="89"/>
      <c r="D244" s="89"/>
      <c r="E244" s="102"/>
      <c r="F244" s="90"/>
      <c r="G244" s="72"/>
      <c r="H244" s="9"/>
      <c r="I244" s="74">
        <f t="shared" si="3"/>
        <v>-129000</v>
      </c>
      <c r="J244" s="35"/>
      <c r="K244" s="19"/>
      <c r="L244" s="19"/>
      <c r="M244" s="19"/>
      <c r="N244" s="19"/>
      <c r="O244" s="36"/>
      <c r="P244" s="22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79"/>
      <c r="AM244" s="45"/>
      <c r="AN244" s="8"/>
    </row>
    <row r="245" spans="2:40" x14ac:dyDescent="0.25">
      <c r="B245" s="147"/>
      <c r="C245" s="89"/>
      <c r="D245" s="89"/>
      <c r="E245" s="102"/>
      <c r="F245" s="90"/>
      <c r="G245" s="72"/>
      <c r="H245" s="9"/>
      <c r="I245" s="74">
        <f t="shared" si="3"/>
        <v>-129000</v>
      </c>
      <c r="J245" s="35"/>
      <c r="K245" s="19"/>
      <c r="L245" s="19"/>
      <c r="M245" s="19"/>
      <c r="N245" s="19"/>
      <c r="O245" s="36"/>
      <c r="P245" s="22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79"/>
      <c r="AM245" s="45"/>
      <c r="AN245" s="8"/>
    </row>
    <row r="246" spans="2:40" x14ac:dyDescent="0.25">
      <c r="B246" s="147"/>
      <c r="C246" s="89"/>
      <c r="D246" s="89"/>
      <c r="E246" s="102"/>
      <c r="F246" s="90"/>
      <c r="G246" s="72"/>
      <c r="H246" s="9"/>
      <c r="I246" s="74">
        <f t="shared" si="3"/>
        <v>-129000</v>
      </c>
      <c r="J246" s="35"/>
      <c r="K246" s="19"/>
      <c r="L246" s="19"/>
      <c r="M246" s="19"/>
      <c r="N246" s="19"/>
      <c r="O246" s="36"/>
      <c r="P246" s="22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79"/>
      <c r="AM246" s="45"/>
      <c r="AN246" s="8"/>
    </row>
    <row r="247" spans="2:40" x14ac:dyDescent="0.25">
      <c r="B247" s="147"/>
      <c r="C247" s="89"/>
      <c r="D247" s="89"/>
      <c r="E247" s="102"/>
      <c r="F247" s="90"/>
      <c r="G247" s="72"/>
      <c r="H247" s="9"/>
      <c r="I247" s="74">
        <f t="shared" si="3"/>
        <v>-129000</v>
      </c>
      <c r="J247" s="35"/>
      <c r="K247" s="19"/>
      <c r="L247" s="19"/>
      <c r="M247" s="19"/>
      <c r="N247" s="19"/>
      <c r="O247" s="36"/>
      <c r="P247" s="22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4"/>
      <c r="AI247" s="11"/>
      <c r="AJ247" s="11"/>
      <c r="AK247" s="11"/>
      <c r="AL247" s="79"/>
      <c r="AM247" s="45"/>
      <c r="AN247" s="8"/>
    </row>
    <row r="248" spans="2:40" x14ac:dyDescent="0.25">
      <c r="B248" s="147"/>
      <c r="C248" s="89"/>
      <c r="D248" s="89"/>
      <c r="E248" s="102"/>
      <c r="F248" s="90"/>
      <c r="G248" s="72"/>
      <c r="H248" s="9"/>
      <c r="I248" s="74">
        <f t="shared" si="3"/>
        <v>-129000</v>
      </c>
      <c r="J248" s="35"/>
      <c r="K248" s="19"/>
      <c r="L248" s="19"/>
      <c r="M248" s="19"/>
      <c r="N248" s="19"/>
      <c r="O248" s="36"/>
      <c r="P248" s="22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79"/>
      <c r="AM248" s="45"/>
      <c r="AN248" s="8"/>
    </row>
    <row r="249" spans="2:40" x14ac:dyDescent="0.25">
      <c r="B249" s="147"/>
      <c r="C249" s="89"/>
      <c r="D249" s="89"/>
      <c r="E249" s="102"/>
      <c r="F249" s="90"/>
      <c r="G249" s="72"/>
      <c r="H249" s="9"/>
      <c r="I249" s="74">
        <f t="shared" si="3"/>
        <v>-129000</v>
      </c>
      <c r="J249" s="35"/>
      <c r="K249" s="19"/>
      <c r="L249" s="19"/>
      <c r="M249" s="19"/>
      <c r="N249" s="19"/>
      <c r="O249" s="36"/>
      <c r="P249" s="22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6"/>
      <c r="AI249" s="11"/>
      <c r="AJ249" s="11"/>
      <c r="AK249" s="11"/>
      <c r="AL249" s="79"/>
      <c r="AM249" s="45"/>
      <c r="AN249" s="8"/>
    </row>
    <row r="250" spans="2:40" x14ac:dyDescent="0.25">
      <c r="B250" s="147"/>
      <c r="C250" s="89"/>
      <c r="D250" s="89"/>
      <c r="E250" s="102"/>
      <c r="F250" s="90"/>
      <c r="G250" s="72"/>
      <c r="H250" s="9"/>
      <c r="I250" s="74">
        <f t="shared" si="3"/>
        <v>-129000</v>
      </c>
      <c r="J250" s="35"/>
      <c r="K250" s="19"/>
      <c r="L250" s="19"/>
      <c r="M250" s="19"/>
      <c r="N250" s="19"/>
      <c r="O250" s="36"/>
      <c r="P250" s="22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79"/>
      <c r="AM250" s="45"/>
      <c r="AN250" s="8"/>
    </row>
    <row r="251" spans="2:40" x14ac:dyDescent="0.25">
      <c r="B251" s="147"/>
      <c r="C251" s="89"/>
      <c r="D251" s="89"/>
      <c r="E251" s="102"/>
      <c r="F251" s="90"/>
      <c r="G251" s="72"/>
      <c r="H251" s="9"/>
      <c r="I251" s="74">
        <f t="shared" si="3"/>
        <v>-129000</v>
      </c>
      <c r="J251" s="35"/>
      <c r="K251" s="19"/>
      <c r="L251" s="19"/>
      <c r="M251" s="19"/>
      <c r="N251" s="19"/>
      <c r="O251" s="36"/>
      <c r="P251" s="22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79"/>
      <c r="AM251" s="45"/>
      <c r="AN251" s="8"/>
    </row>
    <row r="252" spans="2:40" x14ac:dyDescent="0.25">
      <c r="B252" s="147"/>
      <c r="C252" s="89"/>
      <c r="D252" s="89"/>
      <c r="E252" s="102"/>
      <c r="F252" s="90"/>
      <c r="G252" s="72"/>
      <c r="H252" s="9"/>
      <c r="I252" s="74">
        <f t="shared" si="3"/>
        <v>-129000</v>
      </c>
      <c r="J252" s="35"/>
      <c r="K252" s="19"/>
      <c r="L252" s="19"/>
      <c r="M252" s="19"/>
      <c r="N252" s="19"/>
      <c r="O252" s="36"/>
      <c r="P252" s="22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79"/>
      <c r="AM252" s="45"/>
      <c r="AN252" s="8"/>
    </row>
    <row r="253" spans="2:40" x14ac:dyDescent="0.25">
      <c r="B253" s="147"/>
      <c r="C253" s="89"/>
      <c r="D253" s="89"/>
      <c r="E253" s="102"/>
      <c r="F253" s="90"/>
      <c r="G253" s="72"/>
      <c r="H253" s="9"/>
      <c r="I253" s="74">
        <f t="shared" si="3"/>
        <v>-129000</v>
      </c>
      <c r="J253" s="35"/>
      <c r="K253" s="19"/>
      <c r="L253" s="19"/>
      <c r="M253" s="19"/>
      <c r="N253" s="19"/>
      <c r="O253" s="36"/>
      <c r="P253" s="22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79"/>
      <c r="AM253" s="45"/>
      <c r="AN253" s="8"/>
    </row>
    <row r="254" spans="2:40" x14ac:dyDescent="0.25">
      <c r="B254" s="147"/>
      <c r="C254" s="89"/>
      <c r="D254" s="89"/>
      <c r="E254" s="102"/>
      <c r="F254" s="90"/>
      <c r="G254" s="72"/>
      <c r="H254" s="9"/>
      <c r="I254" s="74">
        <f t="shared" si="3"/>
        <v>-129000</v>
      </c>
      <c r="J254" s="35"/>
      <c r="K254" s="19"/>
      <c r="L254" s="19"/>
      <c r="M254" s="19"/>
      <c r="N254" s="19"/>
      <c r="O254" s="36"/>
      <c r="P254" s="22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79"/>
      <c r="AM254" s="45"/>
      <c r="AN254" s="8"/>
    </row>
    <row r="255" spans="2:40" x14ac:dyDescent="0.25">
      <c r="B255" s="147"/>
      <c r="C255" s="89"/>
      <c r="D255" s="89"/>
      <c r="E255" s="102"/>
      <c r="F255" s="90"/>
      <c r="G255" s="72"/>
      <c r="H255" s="9"/>
      <c r="I255" s="74">
        <f t="shared" si="3"/>
        <v>-129000</v>
      </c>
      <c r="J255" s="35"/>
      <c r="K255" s="19"/>
      <c r="L255" s="19"/>
      <c r="M255" s="19"/>
      <c r="N255" s="19"/>
      <c r="O255" s="36"/>
      <c r="P255" s="22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79"/>
      <c r="AM255" s="45"/>
      <c r="AN255" s="8"/>
    </row>
    <row r="256" spans="2:40" x14ac:dyDescent="0.25">
      <c r="B256" s="147"/>
      <c r="C256" s="89"/>
      <c r="D256" s="89"/>
      <c r="E256" s="102"/>
      <c r="F256" s="90"/>
      <c r="G256" s="72"/>
      <c r="H256" s="9"/>
      <c r="I256" s="74">
        <f t="shared" si="3"/>
        <v>-129000</v>
      </c>
      <c r="J256" s="35"/>
      <c r="K256" s="19"/>
      <c r="L256" s="19"/>
      <c r="M256" s="19"/>
      <c r="N256" s="19"/>
      <c r="O256" s="36"/>
      <c r="P256" s="22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79"/>
      <c r="AM256" s="45"/>
      <c r="AN256" s="8"/>
    </row>
    <row r="257" spans="2:40" x14ac:dyDescent="0.25">
      <c r="B257" s="147"/>
      <c r="C257" s="89"/>
      <c r="D257" s="89"/>
      <c r="E257" s="102"/>
      <c r="F257" s="90"/>
      <c r="G257" s="72"/>
      <c r="H257" s="9"/>
      <c r="I257" s="74">
        <f t="shared" si="3"/>
        <v>-129000</v>
      </c>
      <c r="J257" s="35"/>
      <c r="K257" s="19"/>
      <c r="L257" s="19"/>
      <c r="M257" s="19"/>
      <c r="N257" s="19"/>
      <c r="O257" s="36"/>
      <c r="P257" s="22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79"/>
      <c r="AM257" s="45"/>
      <c r="AN257" s="8"/>
    </row>
    <row r="258" spans="2:40" x14ac:dyDescent="0.25">
      <c r="B258" s="147"/>
      <c r="C258" s="89"/>
      <c r="D258" s="89"/>
      <c r="E258" s="102"/>
      <c r="F258" s="90"/>
      <c r="G258" s="72"/>
      <c r="H258" s="9"/>
      <c r="I258" s="74">
        <f t="shared" si="3"/>
        <v>-129000</v>
      </c>
      <c r="J258" s="35"/>
      <c r="K258" s="19"/>
      <c r="L258" s="19"/>
      <c r="M258" s="19"/>
      <c r="N258" s="19"/>
      <c r="O258" s="36"/>
      <c r="P258" s="22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79"/>
      <c r="AM258" s="45"/>
      <c r="AN258" s="8"/>
    </row>
    <row r="259" spans="2:40" x14ac:dyDescent="0.25">
      <c r="B259" s="147"/>
      <c r="C259" s="89"/>
      <c r="D259" s="89"/>
      <c r="E259" s="102"/>
      <c r="F259" s="90"/>
      <c r="G259" s="72"/>
      <c r="H259" s="9"/>
      <c r="I259" s="74">
        <f t="shared" si="3"/>
        <v>-129000</v>
      </c>
      <c r="J259" s="35"/>
      <c r="K259" s="19"/>
      <c r="L259" s="19"/>
      <c r="M259" s="19"/>
      <c r="N259" s="19"/>
      <c r="O259" s="36"/>
      <c r="P259" s="22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79"/>
      <c r="AM259" s="45"/>
      <c r="AN259" s="8"/>
    </row>
    <row r="260" spans="2:40" x14ac:dyDescent="0.25">
      <c r="B260" s="147"/>
      <c r="C260" s="89"/>
      <c r="D260" s="89"/>
      <c r="E260" s="102"/>
      <c r="F260" s="90"/>
      <c r="G260" s="72"/>
      <c r="H260" s="9"/>
      <c r="I260" s="74">
        <f t="shared" si="3"/>
        <v>-129000</v>
      </c>
      <c r="J260" s="35"/>
      <c r="K260" s="19"/>
      <c r="L260" s="19"/>
      <c r="M260" s="19"/>
      <c r="N260" s="19"/>
      <c r="O260" s="36"/>
      <c r="P260" s="22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79"/>
      <c r="AM260" s="45"/>
      <c r="AN260" s="8"/>
    </row>
    <row r="261" spans="2:40" x14ac:dyDescent="0.25">
      <c r="B261" s="147"/>
      <c r="C261" s="89"/>
      <c r="D261" s="89"/>
      <c r="E261" s="102"/>
      <c r="F261" s="90"/>
      <c r="G261" s="72"/>
      <c r="H261" s="9"/>
      <c r="I261" s="74">
        <f t="shared" si="3"/>
        <v>-129000</v>
      </c>
      <c r="J261" s="35"/>
      <c r="K261" s="19"/>
      <c r="L261" s="19"/>
      <c r="M261" s="19"/>
      <c r="N261" s="19"/>
      <c r="O261" s="36"/>
      <c r="P261" s="22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79"/>
      <c r="AM261" s="45"/>
      <c r="AN261" s="8"/>
    </row>
    <row r="262" spans="2:40" x14ac:dyDescent="0.25">
      <c r="B262" s="147"/>
      <c r="C262" s="89"/>
      <c r="D262" s="89"/>
      <c r="E262" s="102"/>
      <c r="F262" s="90"/>
      <c r="G262" s="72"/>
      <c r="H262" s="9"/>
      <c r="I262" s="74">
        <f t="shared" si="3"/>
        <v>-129000</v>
      </c>
      <c r="J262" s="35"/>
      <c r="K262" s="19"/>
      <c r="L262" s="19"/>
      <c r="M262" s="19"/>
      <c r="N262" s="19"/>
      <c r="O262" s="36"/>
      <c r="P262" s="22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79"/>
      <c r="AM262" s="45"/>
      <c r="AN262" s="8"/>
    </row>
    <row r="263" spans="2:40" x14ac:dyDescent="0.25">
      <c r="B263" s="147"/>
      <c r="C263" s="89"/>
      <c r="D263" s="89"/>
      <c r="E263" s="102"/>
      <c r="F263" s="90"/>
      <c r="G263" s="72"/>
      <c r="H263" s="9"/>
      <c r="I263" s="74">
        <f t="shared" si="3"/>
        <v>-129000</v>
      </c>
      <c r="J263" s="35"/>
      <c r="K263" s="19"/>
      <c r="L263" s="19"/>
      <c r="M263" s="19"/>
      <c r="N263" s="19"/>
      <c r="O263" s="36"/>
      <c r="P263" s="22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79"/>
      <c r="AM263" s="45"/>
      <c r="AN263" s="8"/>
    </row>
    <row r="264" spans="2:40" x14ac:dyDescent="0.25">
      <c r="B264" s="147"/>
      <c r="C264" s="89"/>
      <c r="D264" s="89"/>
      <c r="E264" s="102"/>
      <c r="F264" s="90"/>
      <c r="G264" s="72"/>
      <c r="H264" s="9"/>
      <c r="I264" s="74">
        <f t="shared" si="3"/>
        <v>-129000</v>
      </c>
      <c r="J264" s="35"/>
      <c r="K264" s="19"/>
      <c r="L264" s="19"/>
      <c r="M264" s="19"/>
      <c r="N264" s="19"/>
      <c r="O264" s="36"/>
      <c r="P264" s="22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79"/>
      <c r="AM264" s="45"/>
      <c r="AN264" s="8"/>
    </row>
    <row r="265" spans="2:40" x14ac:dyDescent="0.25">
      <c r="B265" s="147"/>
      <c r="C265" s="89"/>
      <c r="D265" s="89"/>
      <c r="E265" s="102"/>
      <c r="F265" s="90"/>
      <c r="G265" s="72"/>
      <c r="H265" s="9"/>
      <c r="I265" s="74">
        <f t="shared" si="3"/>
        <v>-129000</v>
      </c>
      <c r="J265" s="35"/>
      <c r="K265" s="19"/>
      <c r="L265" s="19"/>
      <c r="M265" s="19"/>
      <c r="N265" s="19"/>
      <c r="O265" s="36"/>
      <c r="P265" s="22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79"/>
      <c r="AM265" s="45"/>
      <c r="AN265" s="8"/>
    </row>
    <row r="266" spans="2:40" x14ac:dyDescent="0.25">
      <c r="B266" s="147"/>
      <c r="C266" s="89"/>
      <c r="D266" s="89"/>
      <c r="E266" s="102"/>
      <c r="F266" s="90"/>
      <c r="G266" s="72"/>
      <c r="H266" s="9"/>
      <c r="I266" s="74">
        <f t="shared" si="3"/>
        <v>-129000</v>
      </c>
      <c r="J266" s="35"/>
      <c r="K266" s="19"/>
      <c r="L266" s="19"/>
      <c r="M266" s="19"/>
      <c r="N266" s="19"/>
      <c r="O266" s="36"/>
      <c r="P266" s="22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79"/>
      <c r="AM266" s="45"/>
      <c r="AN266" s="8"/>
    </row>
    <row r="267" spans="2:40" x14ac:dyDescent="0.25">
      <c r="B267" s="147"/>
      <c r="C267" s="89"/>
      <c r="D267" s="89"/>
      <c r="E267" s="102"/>
      <c r="F267" s="90"/>
      <c r="G267" s="72"/>
      <c r="H267" s="9"/>
      <c r="I267" s="74">
        <f t="shared" si="3"/>
        <v>-129000</v>
      </c>
      <c r="J267" s="35"/>
      <c r="K267" s="19"/>
      <c r="L267" s="19"/>
      <c r="M267" s="19"/>
      <c r="N267" s="19"/>
      <c r="O267" s="36"/>
      <c r="P267" s="22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79"/>
      <c r="AM267" s="45"/>
      <c r="AN267" s="8"/>
    </row>
    <row r="268" spans="2:40" x14ac:dyDescent="0.25">
      <c r="B268" s="147"/>
      <c r="C268" s="89"/>
      <c r="D268" s="89"/>
      <c r="E268" s="102"/>
      <c r="F268" s="90"/>
      <c r="G268" s="72"/>
      <c r="H268" s="9"/>
      <c r="I268" s="74">
        <f t="shared" si="3"/>
        <v>-129000</v>
      </c>
      <c r="J268" s="35"/>
      <c r="K268" s="19"/>
      <c r="L268" s="19"/>
      <c r="M268" s="19"/>
      <c r="N268" s="19"/>
      <c r="O268" s="36"/>
      <c r="P268" s="22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79"/>
      <c r="AM268" s="45"/>
      <c r="AN268" s="8"/>
    </row>
    <row r="269" spans="2:40" x14ac:dyDescent="0.25">
      <c r="B269" s="147"/>
      <c r="C269" s="89"/>
      <c r="D269" s="89"/>
      <c r="E269" s="102"/>
      <c r="F269" s="90"/>
      <c r="G269" s="72"/>
      <c r="H269" s="9"/>
      <c r="I269" s="74">
        <f t="shared" si="3"/>
        <v>-129000</v>
      </c>
      <c r="J269" s="35"/>
      <c r="K269" s="19"/>
      <c r="L269" s="19"/>
      <c r="M269" s="19"/>
      <c r="N269" s="19"/>
      <c r="O269" s="36"/>
      <c r="P269" s="22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79"/>
      <c r="AM269" s="45"/>
      <c r="AN269" s="8"/>
    </row>
    <row r="270" spans="2:40" x14ac:dyDescent="0.25">
      <c r="B270" s="147"/>
      <c r="C270" s="89"/>
      <c r="D270" s="89"/>
      <c r="E270" s="102"/>
      <c r="F270" s="90"/>
      <c r="G270" s="72"/>
      <c r="H270" s="9"/>
      <c r="I270" s="74">
        <f t="shared" si="3"/>
        <v>-129000</v>
      </c>
      <c r="J270" s="35"/>
      <c r="K270" s="19"/>
      <c r="L270" s="19"/>
      <c r="M270" s="19"/>
      <c r="N270" s="19"/>
      <c r="O270" s="36"/>
      <c r="P270" s="22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79"/>
      <c r="AM270" s="45"/>
      <c r="AN270" s="8"/>
    </row>
    <row r="271" spans="2:40" x14ac:dyDescent="0.25">
      <c r="B271" s="147"/>
      <c r="C271" s="89"/>
      <c r="D271" s="89"/>
      <c r="E271" s="102"/>
      <c r="F271" s="90"/>
      <c r="G271" s="72"/>
      <c r="H271" s="9"/>
      <c r="I271" s="74">
        <f t="shared" si="3"/>
        <v>-129000</v>
      </c>
      <c r="J271" s="35"/>
      <c r="K271" s="19"/>
      <c r="L271" s="19"/>
      <c r="M271" s="19"/>
      <c r="N271" s="19"/>
      <c r="O271" s="36"/>
      <c r="P271" s="22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79"/>
      <c r="AM271" s="45"/>
      <c r="AN271" s="8"/>
    </row>
    <row r="272" spans="2:40" x14ac:dyDescent="0.25">
      <c r="B272" s="147"/>
      <c r="C272" s="89"/>
      <c r="D272" s="89"/>
      <c r="E272" s="102"/>
      <c r="F272" s="90"/>
      <c r="G272" s="72"/>
      <c r="H272" s="9"/>
      <c r="I272" s="74">
        <f t="shared" si="3"/>
        <v>-129000</v>
      </c>
      <c r="J272" s="35"/>
      <c r="K272" s="19"/>
      <c r="L272" s="19"/>
      <c r="M272" s="19"/>
      <c r="N272" s="19"/>
      <c r="O272" s="36"/>
      <c r="P272" s="22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79"/>
      <c r="AM272" s="45"/>
      <c r="AN272" s="8"/>
    </row>
    <row r="273" spans="2:40" x14ac:dyDescent="0.25">
      <c r="B273" s="147"/>
      <c r="C273" s="89"/>
      <c r="D273" s="89"/>
      <c r="E273" s="102"/>
      <c r="F273" s="90"/>
      <c r="G273" s="72"/>
      <c r="H273" s="9"/>
      <c r="I273" s="74">
        <f t="shared" si="3"/>
        <v>-129000</v>
      </c>
      <c r="J273" s="35"/>
      <c r="K273" s="19"/>
      <c r="L273" s="19"/>
      <c r="M273" s="19"/>
      <c r="N273" s="19"/>
      <c r="O273" s="36"/>
      <c r="P273" s="22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79"/>
      <c r="AM273" s="45"/>
      <c r="AN273" s="8"/>
    </row>
    <row r="274" spans="2:40" x14ac:dyDescent="0.25">
      <c r="B274" s="147"/>
      <c r="C274" s="89"/>
      <c r="D274" s="89"/>
      <c r="E274" s="102"/>
      <c r="F274" s="90"/>
      <c r="G274" s="72"/>
      <c r="H274" s="9"/>
      <c r="I274" s="74">
        <f t="shared" ref="I274:I337" si="4">I273+G274-H274</f>
        <v>-129000</v>
      </c>
      <c r="J274" s="35"/>
      <c r="K274" s="19"/>
      <c r="L274" s="19"/>
      <c r="M274" s="19"/>
      <c r="N274" s="19"/>
      <c r="O274" s="36"/>
      <c r="P274" s="22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79"/>
      <c r="AM274" s="45"/>
      <c r="AN274" s="8"/>
    </row>
    <row r="275" spans="2:40" x14ac:dyDescent="0.25">
      <c r="B275" s="147"/>
      <c r="C275" s="89"/>
      <c r="D275" s="89"/>
      <c r="E275" s="102"/>
      <c r="F275" s="90"/>
      <c r="G275" s="72"/>
      <c r="H275" s="9"/>
      <c r="I275" s="74">
        <f t="shared" si="4"/>
        <v>-129000</v>
      </c>
      <c r="J275" s="35"/>
      <c r="K275" s="19"/>
      <c r="L275" s="19"/>
      <c r="M275" s="19"/>
      <c r="N275" s="19"/>
      <c r="O275" s="36"/>
      <c r="P275" s="22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79"/>
      <c r="AM275" s="45"/>
      <c r="AN275" s="8"/>
    </row>
    <row r="276" spans="2:40" x14ac:dyDescent="0.25">
      <c r="B276" s="147"/>
      <c r="C276" s="89"/>
      <c r="D276" s="89"/>
      <c r="E276" s="102"/>
      <c r="F276" s="90"/>
      <c r="G276" s="72"/>
      <c r="H276" s="9"/>
      <c r="I276" s="74">
        <f t="shared" si="4"/>
        <v>-129000</v>
      </c>
      <c r="J276" s="35"/>
      <c r="K276" s="19"/>
      <c r="L276" s="19"/>
      <c r="M276" s="19"/>
      <c r="N276" s="19"/>
      <c r="O276" s="36"/>
      <c r="P276" s="22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79"/>
      <c r="AM276" s="45"/>
      <c r="AN276" s="8"/>
    </row>
    <row r="277" spans="2:40" x14ac:dyDescent="0.25">
      <c r="B277" s="147"/>
      <c r="C277" s="89"/>
      <c r="D277" s="89"/>
      <c r="E277" s="102"/>
      <c r="F277" s="90"/>
      <c r="G277" s="72"/>
      <c r="H277" s="9"/>
      <c r="I277" s="74">
        <f t="shared" si="4"/>
        <v>-129000</v>
      </c>
      <c r="J277" s="35"/>
      <c r="K277" s="19"/>
      <c r="L277" s="19"/>
      <c r="M277" s="19"/>
      <c r="N277" s="19"/>
      <c r="O277" s="36"/>
      <c r="P277" s="22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79"/>
      <c r="AM277" s="45"/>
      <c r="AN277" s="8"/>
    </row>
    <row r="278" spans="2:40" x14ac:dyDescent="0.25">
      <c r="B278" s="147"/>
      <c r="C278" s="89"/>
      <c r="D278" s="89"/>
      <c r="E278" s="102"/>
      <c r="F278" s="90"/>
      <c r="G278" s="72"/>
      <c r="H278" s="9"/>
      <c r="I278" s="74">
        <f t="shared" si="4"/>
        <v>-129000</v>
      </c>
      <c r="J278" s="35"/>
      <c r="K278" s="19"/>
      <c r="L278" s="19"/>
      <c r="M278" s="19"/>
      <c r="N278" s="19"/>
      <c r="O278" s="36"/>
      <c r="P278" s="22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79"/>
      <c r="AM278" s="45"/>
      <c r="AN278" s="8"/>
    </row>
    <row r="279" spans="2:40" x14ac:dyDescent="0.25">
      <c r="B279" s="147"/>
      <c r="C279" s="89"/>
      <c r="D279" s="89"/>
      <c r="E279" s="102"/>
      <c r="F279" s="90"/>
      <c r="G279" s="72"/>
      <c r="H279" s="9"/>
      <c r="I279" s="74">
        <f t="shared" si="4"/>
        <v>-129000</v>
      </c>
      <c r="J279" s="35"/>
      <c r="K279" s="19"/>
      <c r="L279" s="19"/>
      <c r="M279" s="19"/>
      <c r="N279" s="19"/>
      <c r="O279" s="36"/>
      <c r="P279" s="22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79"/>
      <c r="AM279" s="45"/>
      <c r="AN279" s="8"/>
    </row>
    <row r="280" spans="2:40" x14ac:dyDescent="0.25">
      <c r="B280" s="147"/>
      <c r="C280" s="89"/>
      <c r="D280" s="89"/>
      <c r="E280" s="102"/>
      <c r="F280" s="90"/>
      <c r="G280" s="72"/>
      <c r="H280" s="9"/>
      <c r="I280" s="74">
        <f t="shared" si="4"/>
        <v>-129000</v>
      </c>
      <c r="J280" s="35"/>
      <c r="K280" s="19"/>
      <c r="L280" s="19"/>
      <c r="M280" s="19"/>
      <c r="N280" s="19"/>
      <c r="O280" s="36"/>
      <c r="P280" s="22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79"/>
      <c r="AM280" s="45"/>
      <c r="AN280" s="8"/>
    </row>
    <row r="281" spans="2:40" x14ac:dyDescent="0.25">
      <c r="B281" s="147"/>
      <c r="C281" s="89"/>
      <c r="D281" s="89"/>
      <c r="E281" s="102"/>
      <c r="F281" s="90"/>
      <c r="G281" s="72"/>
      <c r="H281" s="9"/>
      <c r="I281" s="74">
        <f t="shared" si="4"/>
        <v>-129000</v>
      </c>
      <c r="J281" s="35"/>
      <c r="K281" s="19"/>
      <c r="L281" s="19"/>
      <c r="M281" s="19"/>
      <c r="N281" s="19"/>
      <c r="O281" s="36"/>
      <c r="P281" s="22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79"/>
      <c r="AM281" s="45"/>
      <c r="AN281" s="8"/>
    </row>
    <row r="282" spans="2:40" x14ac:dyDescent="0.25">
      <c r="B282" s="147"/>
      <c r="C282" s="89"/>
      <c r="D282" s="89"/>
      <c r="E282" s="102"/>
      <c r="F282" s="90"/>
      <c r="G282" s="72"/>
      <c r="H282" s="9"/>
      <c r="I282" s="74">
        <f t="shared" si="4"/>
        <v>-129000</v>
      </c>
      <c r="J282" s="35"/>
      <c r="K282" s="19"/>
      <c r="L282" s="19"/>
      <c r="M282" s="19"/>
      <c r="N282" s="19"/>
      <c r="O282" s="36"/>
      <c r="P282" s="22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79"/>
      <c r="AM282" s="45"/>
      <c r="AN282" s="8"/>
    </row>
    <row r="283" spans="2:40" x14ac:dyDescent="0.25">
      <c r="B283" s="147"/>
      <c r="C283" s="89"/>
      <c r="D283" s="89"/>
      <c r="E283" s="102"/>
      <c r="F283" s="90"/>
      <c r="G283" s="72"/>
      <c r="H283" s="9"/>
      <c r="I283" s="74">
        <f t="shared" si="4"/>
        <v>-129000</v>
      </c>
      <c r="J283" s="35"/>
      <c r="K283" s="19"/>
      <c r="L283" s="19"/>
      <c r="M283" s="19"/>
      <c r="N283" s="19"/>
      <c r="O283" s="36"/>
      <c r="P283" s="22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79"/>
      <c r="AM283" s="45"/>
      <c r="AN283" s="8"/>
    </row>
    <row r="284" spans="2:40" x14ac:dyDescent="0.25">
      <c r="B284" s="147"/>
      <c r="C284" s="89"/>
      <c r="D284" s="89"/>
      <c r="E284" s="102"/>
      <c r="F284" s="90"/>
      <c r="G284" s="72"/>
      <c r="H284" s="9"/>
      <c r="I284" s="74">
        <f t="shared" si="4"/>
        <v>-129000</v>
      </c>
      <c r="J284" s="35"/>
      <c r="K284" s="19"/>
      <c r="L284" s="19"/>
      <c r="M284" s="19"/>
      <c r="N284" s="19"/>
      <c r="O284" s="36"/>
      <c r="P284" s="22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79"/>
      <c r="AM284" s="45"/>
      <c r="AN284" s="8"/>
    </row>
    <row r="285" spans="2:40" x14ac:dyDescent="0.25">
      <c r="B285" s="147"/>
      <c r="C285" s="89"/>
      <c r="D285" s="89"/>
      <c r="E285" s="102"/>
      <c r="F285" s="90"/>
      <c r="G285" s="72"/>
      <c r="H285" s="9"/>
      <c r="I285" s="74">
        <f t="shared" si="4"/>
        <v>-129000</v>
      </c>
      <c r="J285" s="35"/>
      <c r="K285" s="19"/>
      <c r="L285" s="19"/>
      <c r="M285" s="19"/>
      <c r="N285" s="19"/>
      <c r="O285" s="36"/>
      <c r="P285" s="22"/>
      <c r="Q285" s="11"/>
      <c r="R285" s="11"/>
      <c r="S285" s="11"/>
      <c r="T285" s="11"/>
      <c r="U285" s="11"/>
      <c r="V285" s="11"/>
      <c r="W285" s="11"/>
      <c r="X285" s="11"/>
      <c r="Y285" s="11"/>
      <c r="Z285" s="14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79"/>
      <c r="AM285" s="45"/>
      <c r="AN285" s="8"/>
    </row>
    <row r="286" spans="2:40" x14ac:dyDescent="0.25">
      <c r="B286" s="147"/>
      <c r="C286" s="89"/>
      <c r="D286" s="89"/>
      <c r="E286" s="102"/>
      <c r="F286" s="90"/>
      <c r="G286" s="72"/>
      <c r="H286" s="9"/>
      <c r="I286" s="74">
        <f t="shared" si="4"/>
        <v>-129000</v>
      </c>
      <c r="J286" s="35"/>
      <c r="K286" s="19"/>
      <c r="L286" s="19"/>
      <c r="M286" s="19"/>
      <c r="N286" s="19"/>
      <c r="O286" s="36"/>
      <c r="P286" s="22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79"/>
      <c r="AM286" s="45"/>
      <c r="AN286" s="8"/>
    </row>
    <row r="287" spans="2:40" x14ac:dyDescent="0.25">
      <c r="B287" s="147"/>
      <c r="C287" s="89"/>
      <c r="D287" s="89"/>
      <c r="E287" s="102"/>
      <c r="F287" s="90"/>
      <c r="G287" s="72"/>
      <c r="H287" s="9"/>
      <c r="I287" s="74">
        <f t="shared" si="4"/>
        <v>-129000</v>
      </c>
      <c r="J287" s="35"/>
      <c r="K287" s="19"/>
      <c r="L287" s="19"/>
      <c r="M287" s="19"/>
      <c r="N287" s="19"/>
      <c r="O287" s="36"/>
      <c r="P287" s="22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79"/>
      <c r="AM287" s="45"/>
      <c r="AN287" s="8"/>
    </row>
    <row r="288" spans="2:40" x14ac:dyDescent="0.25">
      <c r="B288" s="147"/>
      <c r="C288" s="89"/>
      <c r="D288" s="89"/>
      <c r="E288" s="102"/>
      <c r="F288" s="90"/>
      <c r="G288" s="72"/>
      <c r="H288" s="9"/>
      <c r="I288" s="74">
        <f t="shared" si="4"/>
        <v>-129000</v>
      </c>
      <c r="J288" s="35"/>
      <c r="K288" s="19"/>
      <c r="L288" s="19"/>
      <c r="M288" s="19"/>
      <c r="N288" s="19"/>
      <c r="O288" s="36"/>
      <c r="P288" s="22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79"/>
      <c r="AM288" s="45"/>
      <c r="AN288" s="8"/>
    </row>
    <row r="289" spans="2:40" x14ac:dyDescent="0.25">
      <c r="B289" s="147"/>
      <c r="C289" s="89"/>
      <c r="D289" s="89"/>
      <c r="E289" s="102"/>
      <c r="F289" s="90"/>
      <c r="G289" s="72"/>
      <c r="H289" s="9"/>
      <c r="I289" s="74">
        <f t="shared" si="4"/>
        <v>-129000</v>
      </c>
      <c r="J289" s="35"/>
      <c r="K289" s="19"/>
      <c r="L289" s="19"/>
      <c r="M289" s="19"/>
      <c r="N289" s="19"/>
      <c r="O289" s="36"/>
      <c r="P289" s="22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79"/>
      <c r="AM289" s="45"/>
      <c r="AN289" s="8"/>
    </row>
    <row r="290" spans="2:40" x14ac:dyDescent="0.25">
      <c r="B290" s="147"/>
      <c r="C290" s="89"/>
      <c r="D290" s="89"/>
      <c r="E290" s="102"/>
      <c r="F290" s="90"/>
      <c r="G290" s="72"/>
      <c r="H290" s="9"/>
      <c r="I290" s="74">
        <f t="shared" si="4"/>
        <v>-129000</v>
      </c>
      <c r="J290" s="35"/>
      <c r="K290" s="19"/>
      <c r="L290" s="19"/>
      <c r="M290" s="19"/>
      <c r="N290" s="19"/>
      <c r="O290" s="36"/>
      <c r="P290" s="22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79"/>
      <c r="AM290" s="45"/>
      <c r="AN290" s="8"/>
    </row>
    <row r="291" spans="2:40" x14ac:dyDescent="0.25">
      <c r="B291" s="147"/>
      <c r="C291" s="89"/>
      <c r="D291" s="89"/>
      <c r="E291" s="102"/>
      <c r="F291" s="90"/>
      <c r="G291" s="72"/>
      <c r="H291" s="9"/>
      <c r="I291" s="74">
        <f t="shared" si="4"/>
        <v>-129000</v>
      </c>
      <c r="J291" s="35"/>
      <c r="K291" s="19"/>
      <c r="L291" s="19"/>
      <c r="M291" s="19"/>
      <c r="N291" s="19"/>
      <c r="O291" s="36"/>
      <c r="P291" s="22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79"/>
      <c r="AM291" s="45"/>
      <c r="AN291" s="8"/>
    </row>
    <row r="292" spans="2:40" x14ac:dyDescent="0.25">
      <c r="B292" s="147"/>
      <c r="C292" s="89"/>
      <c r="D292" s="89"/>
      <c r="E292" s="102"/>
      <c r="F292" s="90"/>
      <c r="G292" s="72"/>
      <c r="H292" s="9"/>
      <c r="I292" s="74">
        <f t="shared" si="4"/>
        <v>-129000</v>
      </c>
      <c r="J292" s="35"/>
      <c r="K292" s="19"/>
      <c r="L292" s="19"/>
      <c r="M292" s="19"/>
      <c r="N292" s="19"/>
      <c r="O292" s="36"/>
      <c r="P292" s="22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79"/>
      <c r="AM292" s="45"/>
      <c r="AN292" s="8"/>
    </row>
    <row r="293" spans="2:40" x14ac:dyDescent="0.25">
      <c r="B293" s="147"/>
      <c r="C293" s="89"/>
      <c r="D293" s="89"/>
      <c r="E293" s="102"/>
      <c r="F293" s="90"/>
      <c r="G293" s="72"/>
      <c r="H293" s="9"/>
      <c r="I293" s="74">
        <f t="shared" si="4"/>
        <v>-129000</v>
      </c>
      <c r="J293" s="35"/>
      <c r="K293" s="19"/>
      <c r="L293" s="19"/>
      <c r="M293" s="19"/>
      <c r="N293" s="19"/>
      <c r="O293" s="36"/>
      <c r="P293" s="22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79"/>
      <c r="AM293" s="45"/>
      <c r="AN293" s="8"/>
    </row>
    <row r="294" spans="2:40" x14ac:dyDescent="0.25">
      <c r="B294" s="147"/>
      <c r="C294" s="89"/>
      <c r="D294" s="89"/>
      <c r="E294" s="102"/>
      <c r="F294" s="90"/>
      <c r="G294" s="72"/>
      <c r="H294" s="9"/>
      <c r="I294" s="74">
        <f t="shared" si="4"/>
        <v>-129000</v>
      </c>
      <c r="J294" s="35"/>
      <c r="K294" s="19"/>
      <c r="L294" s="19"/>
      <c r="M294" s="19"/>
      <c r="N294" s="19"/>
      <c r="O294" s="36"/>
      <c r="P294" s="22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79"/>
      <c r="AM294" s="45"/>
      <c r="AN294" s="8"/>
    </row>
    <row r="295" spans="2:40" x14ac:dyDescent="0.25">
      <c r="B295" s="147"/>
      <c r="C295" s="89"/>
      <c r="D295" s="89"/>
      <c r="E295" s="102"/>
      <c r="F295" s="90"/>
      <c r="G295" s="72"/>
      <c r="H295" s="9"/>
      <c r="I295" s="74">
        <f t="shared" si="4"/>
        <v>-129000</v>
      </c>
      <c r="J295" s="35"/>
      <c r="K295" s="19"/>
      <c r="L295" s="19"/>
      <c r="M295" s="19"/>
      <c r="N295" s="19"/>
      <c r="O295" s="36"/>
      <c r="P295" s="22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79"/>
      <c r="AM295" s="45"/>
      <c r="AN295" s="8"/>
    </row>
    <row r="296" spans="2:40" x14ac:dyDescent="0.25">
      <c r="B296" s="147"/>
      <c r="C296" s="89"/>
      <c r="D296" s="89"/>
      <c r="E296" s="102"/>
      <c r="F296" s="90"/>
      <c r="G296" s="72"/>
      <c r="H296" s="9"/>
      <c r="I296" s="74">
        <f t="shared" si="4"/>
        <v>-129000</v>
      </c>
      <c r="J296" s="35"/>
      <c r="K296" s="19"/>
      <c r="L296" s="19"/>
      <c r="M296" s="19"/>
      <c r="N296" s="19"/>
      <c r="O296" s="36"/>
      <c r="P296" s="22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79"/>
      <c r="AM296" s="45"/>
      <c r="AN296" s="8"/>
    </row>
    <row r="297" spans="2:40" x14ac:dyDescent="0.25">
      <c r="B297" s="147"/>
      <c r="C297" s="89"/>
      <c r="D297" s="89"/>
      <c r="E297" s="102"/>
      <c r="F297" s="90"/>
      <c r="G297" s="72"/>
      <c r="H297" s="9"/>
      <c r="I297" s="74">
        <f t="shared" si="4"/>
        <v>-129000</v>
      </c>
      <c r="J297" s="35"/>
      <c r="K297" s="19"/>
      <c r="L297" s="19"/>
      <c r="M297" s="19"/>
      <c r="N297" s="19"/>
      <c r="O297" s="36"/>
      <c r="P297" s="22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79"/>
      <c r="AM297" s="45"/>
      <c r="AN297" s="8"/>
    </row>
    <row r="298" spans="2:40" x14ac:dyDescent="0.25">
      <c r="B298" s="147"/>
      <c r="C298" s="89"/>
      <c r="D298" s="89"/>
      <c r="E298" s="102"/>
      <c r="F298" s="90"/>
      <c r="G298" s="72"/>
      <c r="H298" s="9"/>
      <c r="I298" s="74">
        <f t="shared" si="4"/>
        <v>-129000</v>
      </c>
      <c r="J298" s="35"/>
      <c r="K298" s="19"/>
      <c r="L298" s="19"/>
      <c r="M298" s="19"/>
      <c r="N298" s="19"/>
      <c r="O298" s="36"/>
      <c r="P298" s="22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79"/>
      <c r="AM298" s="45"/>
      <c r="AN298" s="8"/>
    </row>
    <row r="299" spans="2:40" x14ac:dyDescent="0.25">
      <c r="B299" s="147"/>
      <c r="C299" s="89"/>
      <c r="D299" s="89"/>
      <c r="E299" s="102"/>
      <c r="F299" s="90"/>
      <c r="G299" s="72"/>
      <c r="H299" s="9"/>
      <c r="I299" s="74">
        <f t="shared" si="4"/>
        <v>-129000</v>
      </c>
      <c r="J299" s="35"/>
      <c r="K299" s="19"/>
      <c r="L299" s="19"/>
      <c r="M299" s="19"/>
      <c r="N299" s="19"/>
      <c r="O299" s="36"/>
      <c r="P299" s="22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79"/>
      <c r="AM299" s="45"/>
      <c r="AN299" s="8"/>
    </row>
    <row r="300" spans="2:40" x14ac:dyDescent="0.25">
      <c r="B300" s="147"/>
      <c r="C300" s="89"/>
      <c r="D300" s="89"/>
      <c r="E300" s="102"/>
      <c r="F300" s="90"/>
      <c r="G300" s="72"/>
      <c r="H300" s="9"/>
      <c r="I300" s="74">
        <f t="shared" si="4"/>
        <v>-129000</v>
      </c>
      <c r="J300" s="35"/>
      <c r="K300" s="19"/>
      <c r="L300" s="19"/>
      <c r="M300" s="19"/>
      <c r="N300" s="19"/>
      <c r="O300" s="36"/>
      <c r="P300" s="22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79"/>
      <c r="AM300" s="45"/>
      <c r="AN300" s="8"/>
    </row>
    <row r="301" spans="2:40" x14ac:dyDescent="0.25">
      <c r="B301" s="147"/>
      <c r="C301" s="89"/>
      <c r="D301" s="89"/>
      <c r="E301" s="102"/>
      <c r="F301" s="90"/>
      <c r="G301" s="72"/>
      <c r="H301" s="9"/>
      <c r="I301" s="74">
        <f t="shared" si="4"/>
        <v>-129000</v>
      </c>
      <c r="J301" s="35"/>
      <c r="K301" s="19"/>
      <c r="L301" s="19"/>
      <c r="M301" s="19"/>
      <c r="N301" s="19"/>
      <c r="O301" s="36"/>
      <c r="P301" s="22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79"/>
      <c r="AM301" s="45"/>
      <c r="AN301" s="8"/>
    </row>
    <row r="302" spans="2:40" x14ac:dyDescent="0.25">
      <c r="B302" s="147"/>
      <c r="C302" s="89"/>
      <c r="D302" s="89"/>
      <c r="E302" s="102"/>
      <c r="F302" s="90"/>
      <c r="G302" s="72"/>
      <c r="H302" s="9"/>
      <c r="I302" s="74">
        <f t="shared" si="4"/>
        <v>-129000</v>
      </c>
      <c r="J302" s="35"/>
      <c r="K302" s="19"/>
      <c r="L302" s="19"/>
      <c r="M302" s="19"/>
      <c r="N302" s="19"/>
      <c r="O302" s="36"/>
      <c r="P302" s="22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79"/>
      <c r="AM302" s="45"/>
      <c r="AN302" s="8"/>
    </row>
    <row r="303" spans="2:40" x14ac:dyDescent="0.25">
      <c r="B303" s="147"/>
      <c r="C303" s="89"/>
      <c r="D303" s="89"/>
      <c r="E303" s="102"/>
      <c r="F303" s="90"/>
      <c r="G303" s="72"/>
      <c r="H303" s="9"/>
      <c r="I303" s="74">
        <f t="shared" si="4"/>
        <v>-129000</v>
      </c>
      <c r="J303" s="35"/>
      <c r="K303" s="19"/>
      <c r="L303" s="19"/>
      <c r="M303" s="19"/>
      <c r="N303" s="19"/>
      <c r="O303" s="36"/>
      <c r="P303" s="2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79"/>
      <c r="AM303" s="45"/>
      <c r="AN303" s="8"/>
    </row>
    <row r="304" spans="2:40" x14ac:dyDescent="0.25">
      <c r="B304" s="147"/>
      <c r="C304" s="89"/>
      <c r="D304" s="89"/>
      <c r="E304" s="102"/>
      <c r="F304" s="90"/>
      <c r="G304" s="72"/>
      <c r="H304" s="9"/>
      <c r="I304" s="74">
        <f t="shared" si="4"/>
        <v>-129000</v>
      </c>
      <c r="J304" s="35"/>
      <c r="K304" s="19"/>
      <c r="L304" s="19"/>
      <c r="M304" s="19"/>
      <c r="N304" s="19"/>
      <c r="O304" s="36"/>
      <c r="P304" s="2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79"/>
      <c r="AM304" s="45"/>
      <c r="AN304" s="8"/>
    </row>
    <row r="305" spans="2:40" x14ac:dyDescent="0.25">
      <c r="B305" s="147"/>
      <c r="C305" s="89"/>
      <c r="D305" s="89"/>
      <c r="E305" s="102"/>
      <c r="F305" s="90"/>
      <c r="G305" s="72"/>
      <c r="H305" s="9"/>
      <c r="I305" s="74">
        <f t="shared" si="4"/>
        <v>-129000</v>
      </c>
      <c r="J305" s="35"/>
      <c r="K305" s="19"/>
      <c r="L305" s="19"/>
      <c r="M305" s="19"/>
      <c r="N305" s="19"/>
      <c r="O305" s="36"/>
      <c r="P305" s="2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79"/>
      <c r="AM305" s="45"/>
      <c r="AN305" s="8"/>
    </row>
    <row r="306" spans="2:40" x14ac:dyDescent="0.25">
      <c r="B306" s="147"/>
      <c r="C306" s="89"/>
      <c r="D306" s="89"/>
      <c r="E306" s="102"/>
      <c r="F306" s="90"/>
      <c r="G306" s="72"/>
      <c r="H306" s="9"/>
      <c r="I306" s="74">
        <f t="shared" si="4"/>
        <v>-129000</v>
      </c>
      <c r="J306" s="35"/>
      <c r="K306" s="19"/>
      <c r="L306" s="19"/>
      <c r="M306" s="19"/>
      <c r="N306" s="19"/>
      <c r="O306" s="36"/>
      <c r="P306" s="2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79"/>
      <c r="AM306" s="45"/>
      <c r="AN306" s="8"/>
    </row>
    <row r="307" spans="2:40" x14ac:dyDescent="0.25">
      <c r="B307" s="147"/>
      <c r="C307" s="89"/>
      <c r="D307" s="89"/>
      <c r="E307" s="102"/>
      <c r="F307" s="90"/>
      <c r="G307" s="72"/>
      <c r="H307" s="9"/>
      <c r="I307" s="74">
        <f t="shared" si="4"/>
        <v>-129000</v>
      </c>
      <c r="J307" s="35"/>
      <c r="K307" s="19"/>
      <c r="L307" s="19"/>
      <c r="M307" s="19"/>
      <c r="N307" s="19"/>
      <c r="O307" s="36"/>
      <c r="P307" s="2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79"/>
      <c r="AM307" s="45"/>
      <c r="AN307" s="8"/>
    </row>
    <row r="308" spans="2:40" x14ac:dyDescent="0.25">
      <c r="B308" s="147"/>
      <c r="C308" s="89"/>
      <c r="D308" s="89"/>
      <c r="E308" s="102"/>
      <c r="F308" s="90"/>
      <c r="G308" s="72"/>
      <c r="H308" s="9"/>
      <c r="I308" s="74">
        <f t="shared" si="4"/>
        <v>-129000</v>
      </c>
      <c r="J308" s="35"/>
      <c r="K308" s="19"/>
      <c r="L308" s="19"/>
      <c r="M308" s="19"/>
      <c r="N308" s="19"/>
      <c r="O308" s="36"/>
      <c r="P308" s="2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79"/>
      <c r="AM308" s="45"/>
      <c r="AN308" s="8"/>
    </row>
    <row r="309" spans="2:40" x14ac:dyDescent="0.25">
      <c r="B309" s="147"/>
      <c r="C309" s="89"/>
      <c r="D309" s="89"/>
      <c r="E309" s="102"/>
      <c r="F309" s="90"/>
      <c r="G309" s="72"/>
      <c r="H309" s="9"/>
      <c r="I309" s="74">
        <f t="shared" si="4"/>
        <v>-129000</v>
      </c>
      <c r="J309" s="35"/>
      <c r="K309" s="19"/>
      <c r="L309" s="19"/>
      <c r="M309" s="19"/>
      <c r="N309" s="19"/>
      <c r="O309" s="36"/>
      <c r="P309" s="22"/>
      <c r="Q309" s="14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79"/>
      <c r="AM309" s="45"/>
      <c r="AN309" s="8"/>
    </row>
    <row r="310" spans="2:40" x14ac:dyDescent="0.25">
      <c r="B310" s="147"/>
      <c r="C310" s="89"/>
      <c r="D310" s="89"/>
      <c r="E310" s="102"/>
      <c r="F310" s="90"/>
      <c r="G310" s="72"/>
      <c r="H310" s="9"/>
      <c r="I310" s="74">
        <f t="shared" si="4"/>
        <v>-129000</v>
      </c>
      <c r="J310" s="35"/>
      <c r="K310" s="19"/>
      <c r="L310" s="19"/>
      <c r="M310" s="19"/>
      <c r="N310" s="19"/>
      <c r="O310" s="36"/>
      <c r="P310" s="2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79"/>
      <c r="AM310" s="45"/>
      <c r="AN310" s="8"/>
    </row>
    <row r="311" spans="2:40" x14ac:dyDescent="0.25">
      <c r="B311" s="147"/>
      <c r="C311" s="89"/>
      <c r="D311" s="89"/>
      <c r="E311" s="102"/>
      <c r="F311" s="90"/>
      <c r="G311" s="72"/>
      <c r="H311" s="9"/>
      <c r="I311" s="74">
        <f t="shared" si="4"/>
        <v>-129000</v>
      </c>
      <c r="J311" s="35"/>
      <c r="K311" s="19"/>
      <c r="L311" s="19"/>
      <c r="M311" s="19"/>
      <c r="N311" s="19"/>
      <c r="O311" s="36"/>
      <c r="P311" s="22"/>
      <c r="Q311" s="14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79"/>
      <c r="AM311" s="45"/>
      <c r="AN311" s="8"/>
    </row>
    <row r="312" spans="2:40" x14ac:dyDescent="0.25">
      <c r="B312" s="147"/>
      <c r="C312" s="89"/>
      <c r="D312" s="89"/>
      <c r="E312" s="102"/>
      <c r="F312" s="90"/>
      <c r="G312" s="72"/>
      <c r="H312" s="9"/>
      <c r="I312" s="74">
        <f t="shared" si="4"/>
        <v>-129000</v>
      </c>
      <c r="J312" s="35"/>
      <c r="K312" s="19"/>
      <c r="L312" s="19"/>
      <c r="M312" s="19"/>
      <c r="N312" s="19"/>
      <c r="O312" s="36"/>
      <c r="P312" s="2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79"/>
      <c r="AM312" s="45"/>
      <c r="AN312" s="8"/>
    </row>
    <row r="313" spans="2:40" x14ac:dyDescent="0.25">
      <c r="B313" s="147"/>
      <c r="C313" s="89"/>
      <c r="D313" s="89"/>
      <c r="E313" s="102"/>
      <c r="F313" s="90"/>
      <c r="G313" s="72"/>
      <c r="H313" s="9"/>
      <c r="I313" s="74">
        <f t="shared" si="4"/>
        <v>-129000</v>
      </c>
      <c r="J313" s="35"/>
      <c r="K313" s="19"/>
      <c r="L313" s="19"/>
      <c r="M313" s="19"/>
      <c r="N313" s="19"/>
      <c r="O313" s="36"/>
      <c r="P313" s="22"/>
      <c r="Q313" s="17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79"/>
      <c r="AM313" s="45"/>
      <c r="AN313" s="8"/>
    </row>
    <row r="314" spans="2:40" x14ac:dyDescent="0.25">
      <c r="B314" s="147"/>
      <c r="C314" s="89"/>
      <c r="D314" s="89"/>
      <c r="E314" s="102"/>
      <c r="F314" s="90"/>
      <c r="G314" s="72"/>
      <c r="H314" s="9"/>
      <c r="I314" s="74">
        <f t="shared" si="4"/>
        <v>-129000</v>
      </c>
      <c r="J314" s="35"/>
      <c r="K314" s="19"/>
      <c r="L314" s="19"/>
      <c r="M314" s="19"/>
      <c r="N314" s="19"/>
      <c r="O314" s="36"/>
      <c r="P314" s="22"/>
      <c r="Q314" s="17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79"/>
      <c r="AM314" s="45"/>
      <c r="AN314" s="8"/>
    </row>
    <row r="315" spans="2:40" x14ac:dyDescent="0.25">
      <c r="B315" s="147"/>
      <c r="C315" s="89"/>
      <c r="D315" s="89"/>
      <c r="E315" s="102"/>
      <c r="F315" s="90"/>
      <c r="G315" s="72"/>
      <c r="H315" s="9"/>
      <c r="I315" s="74">
        <f t="shared" si="4"/>
        <v>-129000</v>
      </c>
      <c r="J315" s="35"/>
      <c r="K315" s="19"/>
      <c r="L315" s="19"/>
      <c r="M315" s="19"/>
      <c r="N315" s="19"/>
      <c r="O315" s="36"/>
      <c r="P315" s="2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79"/>
      <c r="AM315" s="45"/>
      <c r="AN315" s="8"/>
    </row>
    <row r="316" spans="2:40" x14ac:dyDescent="0.25">
      <c r="B316" s="147"/>
      <c r="C316" s="89"/>
      <c r="D316" s="89"/>
      <c r="E316" s="102"/>
      <c r="F316" s="90"/>
      <c r="G316" s="72"/>
      <c r="H316" s="9"/>
      <c r="I316" s="74">
        <f t="shared" si="4"/>
        <v>-129000</v>
      </c>
      <c r="J316" s="35"/>
      <c r="K316" s="19"/>
      <c r="L316" s="19"/>
      <c r="M316" s="19"/>
      <c r="N316" s="19"/>
      <c r="O316" s="36"/>
      <c r="P316" s="2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4"/>
      <c r="AB316" s="14"/>
      <c r="AC316" s="14"/>
      <c r="AD316" s="14"/>
      <c r="AE316" s="11"/>
      <c r="AF316" s="11"/>
      <c r="AG316" s="11"/>
      <c r="AH316" s="11"/>
      <c r="AI316" s="11"/>
      <c r="AJ316" s="11"/>
      <c r="AK316" s="11"/>
      <c r="AL316" s="79"/>
      <c r="AM316" s="45"/>
      <c r="AN316" s="8"/>
    </row>
    <row r="317" spans="2:40" x14ac:dyDescent="0.25">
      <c r="B317" s="147"/>
      <c r="C317" s="89"/>
      <c r="D317" s="89"/>
      <c r="E317" s="102"/>
      <c r="F317" s="90"/>
      <c r="G317" s="72"/>
      <c r="H317" s="9"/>
      <c r="I317" s="74">
        <f t="shared" si="4"/>
        <v>-129000</v>
      </c>
      <c r="J317" s="35"/>
      <c r="K317" s="19"/>
      <c r="L317" s="19"/>
      <c r="M317" s="19"/>
      <c r="N317" s="19"/>
      <c r="O317" s="36"/>
      <c r="P317" s="2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79"/>
      <c r="AM317" s="45"/>
      <c r="AN317" s="8"/>
    </row>
    <row r="318" spans="2:40" x14ac:dyDescent="0.25">
      <c r="B318" s="147"/>
      <c r="C318" s="89"/>
      <c r="D318" s="89"/>
      <c r="E318" s="102"/>
      <c r="F318" s="90"/>
      <c r="G318" s="72"/>
      <c r="H318" s="9"/>
      <c r="I318" s="74">
        <f t="shared" si="4"/>
        <v>-129000</v>
      </c>
      <c r="J318" s="35"/>
      <c r="K318" s="19"/>
      <c r="L318" s="19"/>
      <c r="M318" s="19"/>
      <c r="N318" s="19"/>
      <c r="O318" s="36"/>
      <c r="P318" s="2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79"/>
      <c r="AM318" s="45"/>
      <c r="AN318" s="8"/>
    </row>
    <row r="319" spans="2:40" x14ac:dyDescent="0.25">
      <c r="B319" s="147"/>
      <c r="C319" s="89"/>
      <c r="D319" s="89"/>
      <c r="E319" s="102"/>
      <c r="F319" s="90"/>
      <c r="G319" s="72"/>
      <c r="H319" s="9"/>
      <c r="I319" s="74">
        <f t="shared" si="4"/>
        <v>-129000</v>
      </c>
      <c r="J319" s="35"/>
      <c r="K319" s="19"/>
      <c r="L319" s="19"/>
      <c r="M319" s="19"/>
      <c r="N319" s="19"/>
      <c r="O319" s="36"/>
      <c r="P319" s="22"/>
      <c r="Q319" s="14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79"/>
      <c r="AM319" s="45"/>
      <c r="AN319" s="8"/>
    </row>
    <row r="320" spans="2:40" x14ac:dyDescent="0.25">
      <c r="B320" s="147"/>
      <c r="C320" s="89"/>
      <c r="D320" s="89"/>
      <c r="E320" s="102"/>
      <c r="F320" s="90"/>
      <c r="G320" s="72"/>
      <c r="H320" s="9"/>
      <c r="I320" s="74">
        <f t="shared" si="4"/>
        <v>-129000</v>
      </c>
      <c r="J320" s="35"/>
      <c r="K320" s="19"/>
      <c r="L320" s="19"/>
      <c r="M320" s="19"/>
      <c r="N320" s="19"/>
      <c r="O320" s="36"/>
      <c r="P320" s="2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79"/>
      <c r="AM320" s="45"/>
      <c r="AN320" s="8"/>
    </row>
    <row r="321" spans="2:40" x14ac:dyDescent="0.25">
      <c r="B321" s="147"/>
      <c r="C321" s="89"/>
      <c r="D321" s="89"/>
      <c r="E321" s="102"/>
      <c r="F321" s="90"/>
      <c r="G321" s="72"/>
      <c r="H321" s="9"/>
      <c r="I321" s="74">
        <f t="shared" si="4"/>
        <v>-129000</v>
      </c>
      <c r="J321" s="35"/>
      <c r="K321" s="19"/>
      <c r="L321" s="19"/>
      <c r="M321" s="19"/>
      <c r="N321" s="19"/>
      <c r="O321" s="36"/>
      <c r="P321" s="22"/>
      <c r="Q321" s="11"/>
      <c r="R321" s="11"/>
      <c r="S321" s="11"/>
      <c r="T321" s="11"/>
      <c r="U321" s="16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79"/>
      <c r="AM321" s="45"/>
      <c r="AN321" s="8"/>
    </row>
    <row r="322" spans="2:40" x14ac:dyDescent="0.25">
      <c r="B322" s="147"/>
      <c r="C322" s="89"/>
      <c r="D322" s="89"/>
      <c r="E322" s="102"/>
      <c r="F322" s="90"/>
      <c r="G322" s="72"/>
      <c r="H322" s="9"/>
      <c r="I322" s="74">
        <f t="shared" si="4"/>
        <v>-129000</v>
      </c>
      <c r="J322" s="35"/>
      <c r="K322" s="19"/>
      <c r="L322" s="19"/>
      <c r="M322" s="19"/>
      <c r="N322" s="19"/>
      <c r="O322" s="36"/>
      <c r="P322" s="2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79"/>
      <c r="AM322" s="45"/>
      <c r="AN322" s="8"/>
    </row>
    <row r="323" spans="2:40" x14ac:dyDescent="0.25">
      <c r="B323" s="147"/>
      <c r="C323" s="89"/>
      <c r="D323" s="89"/>
      <c r="E323" s="102"/>
      <c r="F323" s="90"/>
      <c r="G323" s="72"/>
      <c r="H323" s="9"/>
      <c r="I323" s="74">
        <f t="shared" si="4"/>
        <v>-129000</v>
      </c>
      <c r="J323" s="35"/>
      <c r="K323" s="19"/>
      <c r="L323" s="19"/>
      <c r="M323" s="19"/>
      <c r="N323" s="19"/>
      <c r="O323" s="36"/>
      <c r="P323" s="2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79"/>
      <c r="AM323" s="45"/>
      <c r="AN323" s="8"/>
    </row>
    <row r="324" spans="2:40" x14ac:dyDescent="0.25">
      <c r="B324" s="147"/>
      <c r="C324" s="89"/>
      <c r="D324" s="89"/>
      <c r="E324" s="102"/>
      <c r="F324" s="90"/>
      <c r="G324" s="72"/>
      <c r="H324" s="9"/>
      <c r="I324" s="74">
        <f t="shared" si="4"/>
        <v>-129000</v>
      </c>
      <c r="J324" s="35"/>
      <c r="K324" s="19"/>
      <c r="L324" s="19"/>
      <c r="M324" s="19"/>
      <c r="N324" s="19"/>
      <c r="O324" s="36"/>
      <c r="P324" s="2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79"/>
      <c r="AM324" s="45"/>
      <c r="AN324" s="8"/>
    </row>
    <row r="325" spans="2:40" x14ac:dyDescent="0.25">
      <c r="B325" s="147"/>
      <c r="C325" s="89"/>
      <c r="D325" s="89"/>
      <c r="E325" s="102"/>
      <c r="F325" s="90"/>
      <c r="G325" s="72"/>
      <c r="H325" s="9"/>
      <c r="I325" s="74">
        <f t="shared" si="4"/>
        <v>-129000</v>
      </c>
      <c r="J325" s="35"/>
      <c r="K325" s="19"/>
      <c r="L325" s="19"/>
      <c r="M325" s="19"/>
      <c r="N325" s="19"/>
      <c r="O325" s="36"/>
      <c r="P325" s="22"/>
      <c r="Q325" s="11"/>
      <c r="R325" s="14"/>
      <c r="S325" s="14"/>
      <c r="T325" s="14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4"/>
      <c r="AJ325" s="14"/>
      <c r="AK325" s="14"/>
      <c r="AL325" s="80"/>
      <c r="AM325" s="45"/>
      <c r="AN325" s="8"/>
    </row>
    <row r="326" spans="2:40" x14ac:dyDescent="0.25">
      <c r="B326" s="147"/>
      <c r="C326" s="89"/>
      <c r="D326" s="89"/>
      <c r="E326" s="102"/>
      <c r="F326" s="90"/>
      <c r="G326" s="72"/>
      <c r="H326" s="9"/>
      <c r="I326" s="74">
        <f t="shared" si="4"/>
        <v>-129000</v>
      </c>
      <c r="J326" s="35"/>
      <c r="K326" s="19"/>
      <c r="L326" s="19"/>
      <c r="M326" s="19"/>
      <c r="N326" s="19"/>
      <c r="O326" s="36"/>
      <c r="P326" s="22"/>
      <c r="Q326" s="11"/>
      <c r="R326" s="14"/>
      <c r="S326" s="14"/>
      <c r="T326" s="14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79"/>
      <c r="AM326" s="45"/>
      <c r="AN326" s="8"/>
    </row>
    <row r="327" spans="2:40" x14ac:dyDescent="0.25">
      <c r="B327" s="147"/>
      <c r="C327" s="89"/>
      <c r="D327" s="89"/>
      <c r="E327" s="102"/>
      <c r="F327" s="90"/>
      <c r="G327" s="72"/>
      <c r="H327" s="9"/>
      <c r="I327" s="74">
        <f t="shared" si="4"/>
        <v>-129000</v>
      </c>
      <c r="J327" s="35"/>
      <c r="K327" s="19"/>
      <c r="L327" s="19"/>
      <c r="M327" s="19"/>
      <c r="N327" s="19"/>
      <c r="O327" s="36"/>
      <c r="P327" s="22"/>
      <c r="Q327" s="11"/>
      <c r="R327" s="14"/>
      <c r="S327" s="14"/>
      <c r="T327" s="14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79"/>
      <c r="AM327" s="45"/>
      <c r="AN327" s="8"/>
    </row>
    <row r="328" spans="2:40" x14ac:dyDescent="0.25">
      <c r="B328" s="147"/>
      <c r="C328" s="89"/>
      <c r="D328" s="89"/>
      <c r="E328" s="102"/>
      <c r="F328" s="90"/>
      <c r="G328" s="72"/>
      <c r="H328" s="9"/>
      <c r="I328" s="74">
        <f t="shared" si="4"/>
        <v>-129000</v>
      </c>
      <c r="J328" s="35"/>
      <c r="K328" s="19"/>
      <c r="L328" s="19"/>
      <c r="M328" s="19"/>
      <c r="N328" s="19"/>
      <c r="O328" s="36"/>
      <c r="P328" s="22"/>
      <c r="Q328" s="11"/>
      <c r="R328" s="14"/>
      <c r="S328" s="14"/>
      <c r="T328" s="14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79"/>
      <c r="AM328" s="45"/>
      <c r="AN328" s="8"/>
    </row>
    <row r="329" spans="2:40" x14ac:dyDescent="0.25">
      <c r="B329" s="147"/>
      <c r="C329" s="89"/>
      <c r="D329" s="89"/>
      <c r="E329" s="102"/>
      <c r="F329" s="90"/>
      <c r="G329" s="72"/>
      <c r="H329" s="9"/>
      <c r="I329" s="74">
        <f t="shared" si="4"/>
        <v>-129000</v>
      </c>
      <c r="J329" s="35"/>
      <c r="K329" s="19"/>
      <c r="L329" s="19"/>
      <c r="M329" s="19"/>
      <c r="N329" s="19"/>
      <c r="O329" s="36"/>
      <c r="P329" s="22"/>
      <c r="Q329" s="17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79"/>
      <c r="AM329" s="45"/>
      <c r="AN329" s="8"/>
    </row>
    <row r="330" spans="2:40" x14ac:dyDescent="0.25">
      <c r="B330" s="147"/>
      <c r="C330" s="89"/>
      <c r="D330" s="89"/>
      <c r="E330" s="102"/>
      <c r="F330" s="90"/>
      <c r="G330" s="72"/>
      <c r="H330" s="9"/>
      <c r="I330" s="74">
        <f t="shared" si="4"/>
        <v>-129000</v>
      </c>
      <c r="J330" s="35"/>
      <c r="K330" s="19"/>
      <c r="L330" s="19"/>
      <c r="M330" s="19"/>
      <c r="N330" s="19"/>
      <c r="O330" s="36"/>
      <c r="P330" s="2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79"/>
      <c r="AM330" s="45"/>
      <c r="AN330" s="8"/>
    </row>
    <row r="331" spans="2:40" x14ac:dyDescent="0.25">
      <c r="B331" s="147"/>
      <c r="C331" s="89"/>
      <c r="D331" s="89"/>
      <c r="E331" s="102"/>
      <c r="F331" s="90"/>
      <c r="G331" s="72"/>
      <c r="H331" s="9"/>
      <c r="I331" s="74">
        <f t="shared" si="4"/>
        <v>-129000</v>
      </c>
      <c r="J331" s="35"/>
      <c r="K331" s="19"/>
      <c r="L331" s="19"/>
      <c r="M331" s="19"/>
      <c r="N331" s="19"/>
      <c r="O331" s="36"/>
      <c r="P331" s="2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79"/>
      <c r="AM331" s="45"/>
      <c r="AN331" s="8"/>
    </row>
    <row r="332" spans="2:40" x14ac:dyDescent="0.25">
      <c r="B332" s="147"/>
      <c r="C332" s="89"/>
      <c r="D332" s="89"/>
      <c r="E332" s="102"/>
      <c r="F332" s="90"/>
      <c r="G332" s="72"/>
      <c r="H332" s="9"/>
      <c r="I332" s="74">
        <f t="shared" si="4"/>
        <v>-129000</v>
      </c>
      <c r="J332" s="35"/>
      <c r="K332" s="19"/>
      <c r="L332" s="19"/>
      <c r="M332" s="19"/>
      <c r="N332" s="19"/>
      <c r="O332" s="36"/>
      <c r="P332" s="2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4"/>
      <c r="AI332" s="11"/>
      <c r="AJ332" s="11"/>
      <c r="AK332" s="11"/>
      <c r="AL332" s="79"/>
      <c r="AM332" s="45"/>
      <c r="AN332" s="8"/>
    </row>
    <row r="333" spans="2:40" x14ac:dyDescent="0.25">
      <c r="B333" s="147"/>
      <c r="C333" s="89"/>
      <c r="D333" s="89"/>
      <c r="E333" s="102"/>
      <c r="F333" s="90"/>
      <c r="G333" s="72"/>
      <c r="H333" s="9"/>
      <c r="I333" s="74">
        <f t="shared" si="4"/>
        <v>-129000</v>
      </c>
      <c r="J333" s="35"/>
      <c r="K333" s="19"/>
      <c r="L333" s="19"/>
      <c r="M333" s="19"/>
      <c r="N333" s="19"/>
      <c r="O333" s="36"/>
      <c r="P333" s="2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79"/>
      <c r="AM333" s="45"/>
      <c r="AN333" s="8"/>
    </row>
    <row r="334" spans="2:40" x14ac:dyDescent="0.25">
      <c r="B334" s="147"/>
      <c r="C334" s="89"/>
      <c r="D334" s="89"/>
      <c r="E334" s="102"/>
      <c r="F334" s="90"/>
      <c r="G334" s="72"/>
      <c r="H334" s="9"/>
      <c r="I334" s="74">
        <f t="shared" si="4"/>
        <v>-129000</v>
      </c>
      <c r="J334" s="35"/>
      <c r="K334" s="19"/>
      <c r="L334" s="19"/>
      <c r="M334" s="19"/>
      <c r="N334" s="19"/>
      <c r="O334" s="36"/>
      <c r="P334" s="2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79"/>
      <c r="AM334" s="45"/>
      <c r="AN334" s="8"/>
    </row>
    <row r="335" spans="2:40" x14ac:dyDescent="0.25">
      <c r="B335" s="147"/>
      <c r="C335" s="89"/>
      <c r="D335" s="89"/>
      <c r="E335" s="102"/>
      <c r="F335" s="90"/>
      <c r="G335" s="72"/>
      <c r="H335" s="9"/>
      <c r="I335" s="74">
        <f t="shared" si="4"/>
        <v>-129000</v>
      </c>
      <c r="J335" s="35"/>
      <c r="K335" s="19"/>
      <c r="L335" s="19"/>
      <c r="M335" s="19"/>
      <c r="N335" s="19"/>
      <c r="O335" s="36"/>
      <c r="P335" s="2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79"/>
      <c r="AM335" s="45"/>
      <c r="AN335" s="8"/>
    </row>
    <row r="336" spans="2:40" x14ac:dyDescent="0.25">
      <c r="B336" s="147"/>
      <c r="C336" s="89"/>
      <c r="D336" s="89"/>
      <c r="E336" s="102"/>
      <c r="F336" s="90"/>
      <c r="G336" s="72"/>
      <c r="H336" s="9"/>
      <c r="I336" s="74">
        <f t="shared" si="4"/>
        <v>-129000</v>
      </c>
      <c r="J336" s="35"/>
      <c r="K336" s="19"/>
      <c r="L336" s="19"/>
      <c r="M336" s="19"/>
      <c r="N336" s="19"/>
      <c r="O336" s="36"/>
      <c r="P336" s="2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79"/>
      <c r="AM336" s="45"/>
      <c r="AN336" s="8"/>
    </row>
    <row r="337" spans="2:40" x14ac:dyDescent="0.25">
      <c r="B337" s="147"/>
      <c r="C337" s="89"/>
      <c r="D337" s="89"/>
      <c r="E337" s="102"/>
      <c r="F337" s="90"/>
      <c r="G337" s="72"/>
      <c r="H337" s="9"/>
      <c r="I337" s="74">
        <f t="shared" si="4"/>
        <v>-129000</v>
      </c>
      <c r="J337" s="35"/>
      <c r="K337" s="19"/>
      <c r="L337" s="19"/>
      <c r="M337" s="19"/>
      <c r="N337" s="19"/>
      <c r="O337" s="36"/>
      <c r="P337" s="2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79"/>
      <c r="AM337" s="45"/>
      <c r="AN337" s="8"/>
    </row>
    <row r="338" spans="2:40" x14ac:dyDescent="0.25">
      <c r="B338" s="147"/>
      <c r="C338" s="89"/>
      <c r="D338" s="89"/>
      <c r="E338" s="102"/>
      <c r="F338" s="90"/>
      <c r="G338" s="72"/>
      <c r="H338" s="9"/>
      <c r="I338" s="74">
        <f t="shared" ref="I338:I401" si="5">I337+G338-H338</f>
        <v>-129000</v>
      </c>
      <c r="J338" s="35"/>
      <c r="K338" s="19"/>
      <c r="L338" s="19"/>
      <c r="M338" s="19"/>
      <c r="N338" s="19"/>
      <c r="O338" s="36"/>
      <c r="P338" s="2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4"/>
      <c r="AB338" s="14"/>
      <c r="AC338" s="14"/>
      <c r="AD338" s="14"/>
      <c r="AE338" s="11"/>
      <c r="AF338" s="11"/>
      <c r="AG338" s="11"/>
      <c r="AH338" s="11"/>
      <c r="AI338" s="11"/>
      <c r="AJ338" s="11"/>
      <c r="AK338" s="11"/>
      <c r="AL338" s="79"/>
      <c r="AM338" s="45"/>
      <c r="AN338" s="8"/>
    </row>
    <row r="339" spans="2:40" x14ac:dyDescent="0.25">
      <c r="B339" s="147"/>
      <c r="C339" s="89"/>
      <c r="D339" s="89"/>
      <c r="E339" s="102"/>
      <c r="F339" s="90"/>
      <c r="G339" s="72"/>
      <c r="H339" s="9"/>
      <c r="I339" s="74">
        <f t="shared" si="5"/>
        <v>-129000</v>
      </c>
      <c r="J339" s="35"/>
      <c r="K339" s="19"/>
      <c r="L339" s="19"/>
      <c r="M339" s="19"/>
      <c r="N339" s="19"/>
      <c r="O339" s="36"/>
      <c r="P339" s="2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79"/>
      <c r="AM339" s="45"/>
      <c r="AN339" s="8"/>
    </row>
    <row r="340" spans="2:40" x14ac:dyDescent="0.25">
      <c r="B340" s="147"/>
      <c r="C340" s="89"/>
      <c r="D340" s="89"/>
      <c r="E340" s="102"/>
      <c r="F340" s="90"/>
      <c r="G340" s="72"/>
      <c r="H340" s="9"/>
      <c r="I340" s="74">
        <f t="shared" si="5"/>
        <v>-129000</v>
      </c>
      <c r="J340" s="35"/>
      <c r="K340" s="19"/>
      <c r="L340" s="19"/>
      <c r="M340" s="19"/>
      <c r="N340" s="19"/>
      <c r="O340" s="36"/>
      <c r="P340" s="2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79"/>
      <c r="AM340" s="45"/>
      <c r="AN340" s="8"/>
    </row>
    <row r="341" spans="2:40" x14ac:dyDescent="0.25">
      <c r="B341" s="147"/>
      <c r="C341" s="89"/>
      <c r="D341" s="89"/>
      <c r="E341" s="102"/>
      <c r="F341" s="90"/>
      <c r="G341" s="72"/>
      <c r="H341" s="9"/>
      <c r="I341" s="74">
        <f t="shared" si="5"/>
        <v>-129000</v>
      </c>
      <c r="J341" s="35"/>
      <c r="K341" s="19"/>
      <c r="L341" s="19"/>
      <c r="M341" s="19"/>
      <c r="N341" s="19"/>
      <c r="O341" s="36"/>
      <c r="P341" s="22"/>
      <c r="Q341" s="11"/>
      <c r="R341" s="11"/>
      <c r="S341" s="15"/>
      <c r="T341" s="15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79"/>
      <c r="AM341" s="45"/>
      <c r="AN341" s="8"/>
    </row>
    <row r="342" spans="2:40" x14ac:dyDescent="0.25">
      <c r="B342" s="147"/>
      <c r="C342" s="89"/>
      <c r="D342" s="89"/>
      <c r="E342" s="102"/>
      <c r="F342" s="90"/>
      <c r="G342" s="72"/>
      <c r="H342" s="9"/>
      <c r="I342" s="74">
        <f t="shared" si="5"/>
        <v>-129000</v>
      </c>
      <c r="J342" s="35"/>
      <c r="K342" s="19"/>
      <c r="L342" s="19"/>
      <c r="M342" s="19"/>
      <c r="N342" s="19"/>
      <c r="O342" s="36"/>
      <c r="P342" s="22"/>
      <c r="Q342" s="11"/>
      <c r="R342" s="11"/>
      <c r="S342" s="11"/>
      <c r="T342" s="11"/>
      <c r="U342" s="11"/>
      <c r="V342" s="11"/>
      <c r="W342" s="11"/>
      <c r="X342" s="11"/>
      <c r="Y342" s="11"/>
      <c r="Z342" s="14"/>
      <c r="AA342" s="14"/>
      <c r="AB342" s="14"/>
      <c r="AC342" s="14"/>
      <c r="AD342" s="14"/>
      <c r="AE342" s="11"/>
      <c r="AF342" s="11"/>
      <c r="AG342" s="11"/>
      <c r="AH342" s="11"/>
      <c r="AI342" s="11"/>
      <c r="AJ342" s="11"/>
      <c r="AK342" s="11"/>
      <c r="AL342" s="79"/>
      <c r="AM342" s="45"/>
      <c r="AN342" s="8"/>
    </row>
    <row r="343" spans="2:40" x14ac:dyDescent="0.25">
      <c r="B343" s="147"/>
      <c r="C343" s="89"/>
      <c r="D343" s="89"/>
      <c r="E343" s="102"/>
      <c r="F343" s="90"/>
      <c r="G343" s="72"/>
      <c r="H343" s="9"/>
      <c r="I343" s="74">
        <f t="shared" si="5"/>
        <v>-129000</v>
      </c>
      <c r="J343" s="35"/>
      <c r="K343" s="19"/>
      <c r="L343" s="19"/>
      <c r="M343" s="19"/>
      <c r="N343" s="19"/>
      <c r="O343" s="36"/>
      <c r="P343" s="22"/>
      <c r="Q343" s="11"/>
      <c r="R343" s="11"/>
      <c r="S343" s="11"/>
      <c r="T343" s="11"/>
      <c r="U343" s="14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79"/>
      <c r="AM343" s="45"/>
      <c r="AN343" s="8"/>
    </row>
    <row r="344" spans="2:40" x14ac:dyDescent="0.25">
      <c r="B344" s="147"/>
      <c r="C344" s="89"/>
      <c r="D344" s="89"/>
      <c r="E344" s="102"/>
      <c r="F344" s="90"/>
      <c r="G344" s="72"/>
      <c r="H344" s="9"/>
      <c r="I344" s="74">
        <f t="shared" si="5"/>
        <v>-129000</v>
      </c>
      <c r="J344" s="35"/>
      <c r="K344" s="19"/>
      <c r="L344" s="19"/>
      <c r="M344" s="19"/>
      <c r="N344" s="19"/>
      <c r="O344" s="36"/>
      <c r="P344" s="2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4"/>
      <c r="AB344" s="14"/>
      <c r="AC344" s="14"/>
      <c r="AD344" s="14"/>
      <c r="AE344" s="11"/>
      <c r="AF344" s="11"/>
      <c r="AG344" s="11"/>
      <c r="AH344" s="11"/>
      <c r="AI344" s="11"/>
      <c r="AJ344" s="11"/>
      <c r="AK344" s="11"/>
      <c r="AL344" s="79"/>
      <c r="AM344" s="45"/>
      <c r="AN344" s="8"/>
    </row>
    <row r="345" spans="2:40" x14ac:dyDescent="0.25">
      <c r="B345" s="147"/>
      <c r="C345" s="89"/>
      <c r="D345" s="89"/>
      <c r="E345" s="102"/>
      <c r="F345" s="90"/>
      <c r="G345" s="72"/>
      <c r="H345" s="9"/>
      <c r="I345" s="74">
        <f t="shared" si="5"/>
        <v>-129000</v>
      </c>
      <c r="J345" s="35"/>
      <c r="K345" s="19"/>
      <c r="L345" s="19"/>
      <c r="M345" s="19"/>
      <c r="N345" s="19"/>
      <c r="O345" s="36"/>
      <c r="P345" s="2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79"/>
      <c r="AM345" s="45"/>
      <c r="AN345" s="8"/>
    </row>
    <row r="346" spans="2:40" x14ac:dyDescent="0.25">
      <c r="B346" s="147"/>
      <c r="C346" s="89"/>
      <c r="D346" s="89"/>
      <c r="E346" s="102"/>
      <c r="F346" s="90"/>
      <c r="G346" s="72"/>
      <c r="H346" s="9"/>
      <c r="I346" s="74">
        <f t="shared" si="5"/>
        <v>-129000</v>
      </c>
      <c r="J346" s="35"/>
      <c r="K346" s="19"/>
      <c r="L346" s="19"/>
      <c r="M346" s="19"/>
      <c r="N346" s="19"/>
      <c r="O346" s="36"/>
      <c r="P346" s="22"/>
      <c r="Q346" s="14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4"/>
      <c r="AD346" s="11"/>
      <c r="AE346" s="11"/>
      <c r="AF346" s="11"/>
      <c r="AG346" s="11"/>
      <c r="AH346" s="11"/>
      <c r="AI346" s="11"/>
      <c r="AJ346" s="11"/>
      <c r="AK346" s="11"/>
      <c r="AL346" s="79"/>
      <c r="AM346" s="45"/>
      <c r="AN346" s="8"/>
    </row>
    <row r="347" spans="2:40" x14ac:dyDescent="0.25">
      <c r="B347" s="147"/>
      <c r="C347" s="89"/>
      <c r="D347" s="89"/>
      <c r="E347" s="102"/>
      <c r="F347" s="90"/>
      <c r="G347" s="72"/>
      <c r="H347" s="9"/>
      <c r="I347" s="74">
        <f t="shared" si="5"/>
        <v>-129000</v>
      </c>
      <c r="J347" s="35"/>
      <c r="K347" s="19"/>
      <c r="L347" s="19"/>
      <c r="M347" s="19"/>
      <c r="N347" s="19"/>
      <c r="O347" s="36"/>
      <c r="P347" s="22"/>
      <c r="Q347" s="14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4"/>
      <c r="AD347" s="11"/>
      <c r="AE347" s="11"/>
      <c r="AF347" s="11"/>
      <c r="AG347" s="11"/>
      <c r="AH347" s="11"/>
      <c r="AI347" s="11"/>
      <c r="AJ347" s="11"/>
      <c r="AK347" s="11"/>
      <c r="AL347" s="79"/>
      <c r="AM347" s="45"/>
      <c r="AN347" s="8"/>
    </row>
    <row r="348" spans="2:40" x14ac:dyDescent="0.25">
      <c r="B348" s="147"/>
      <c r="C348" s="89"/>
      <c r="D348" s="89"/>
      <c r="E348" s="102"/>
      <c r="F348" s="90"/>
      <c r="G348" s="72"/>
      <c r="H348" s="9"/>
      <c r="I348" s="74">
        <f t="shared" si="5"/>
        <v>-129000</v>
      </c>
      <c r="J348" s="35"/>
      <c r="K348" s="19"/>
      <c r="L348" s="19"/>
      <c r="M348" s="19"/>
      <c r="N348" s="19"/>
      <c r="O348" s="36"/>
      <c r="P348" s="22"/>
      <c r="Q348" s="14"/>
      <c r="R348" s="11"/>
      <c r="S348" s="11"/>
      <c r="T348" s="11"/>
      <c r="U348" s="11"/>
      <c r="V348" s="11"/>
      <c r="W348" s="11"/>
      <c r="X348" s="11"/>
      <c r="Y348" s="11"/>
      <c r="Z348" s="14"/>
      <c r="AA348" s="11"/>
      <c r="AB348" s="11"/>
      <c r="AC348" s="14"/>
      <c r="AD348" s="11"/>
      <c r="AE348" s="11"/>
      <c r="AF348" s="11"/>
      <c r="AG348" s="11"/>
      <c r="AH348" s="11"/>
      <c r="AI348" s="14"/>
      <c r="AJ348" s="14"/>
      <c r="AK348" s="14"/>
      <c r="AL348" s="80"/>
      <c r="AM348" s="45"/>
      <c r="AN348" s="8"/>
    </row>
    <row r="349" spans="2:40" x14ac:dyDescent="0.25">
      <c r="B349" s="147"/>
      <c r="C349" s="89"/>
      <c r="D349" s="89"/>
      <c r="E349" s="102"/>
      <c r="F349" s="90"/>
      <c r="G349" s="72"/>
      <c r="H349" s="9"/>
      <c r="I349" s="74">
        <f t="shared" si="5"/>
        <v>-129000</v>
      </c>
      <c r="J349" s="35"/>
      <c r="K349" s="19"/>
      <c r="L349" s="19"/>
      <c r="M349" s="19"/>
      <c r="N349" s="19"/>
      <c r="O349" s="36"/>
      <c r="P349" s="2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79"/>
      <c r="AM349" s="45"/>
      <c r="AN349" s="8"/>
    </row>
    <row r="350" spans="2:40" x14ac:dyDescent="0.25">
      <c r="B350" s="147"/>
      <c r="C350" s="89"/>
      <c r="D350" s="89"/>
      <c r="E350" s="102"/>
      <c r="F350" s="90"/>
      <c r="G350" s="72"/>
      <c r="H350" s="9"/>
      <c r="I350" s="74">
        <f t="shared" si="5"/>
        <v>-129000</v>
      </c>
      <c r="J350" s="35"/>
      <c r="K350" s="19"/>
      <c r="L350" s="19"/>
      <c r="M350" s="19"/>
      <c r="N350" s="19"/>
      <c r="O350" s="36"/>
      <c r="P350" s="2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4"/>
      <c r="AB350" s="14"/>
      <c r="AC350" s="14"/>
      <c r="AD350" s="14"/>
      <c r="AE350" s="11"/>
      <c r="AF350" s="11"/>
      <c r="AG350" s="11"/>
      <c r="AH350" s="11"/>
      <c r="AI350" s="11"/>
      <c r="AJ350" s="11"/>
      <c r="AK350" s="11"/>
      <c r="AL350" s="79"/>
      <c r="AM350" s="45"/>
      <c r="AN350" s="8"/>
    </row>
    <row r="351" spans="2:40" x14ac:dyDescent="0.25">
      <c r="B351" s="147"/>
      <c r="C351" s="89"/>
      <c r="D351" s="89"/>
      <c r="E351" s="102"/>
      <c r="F351" s="90"/>
      <c r="G351" s="72"/>
      <c r="H351" s="9"/>
      <c r="I351" s="74">
        <f t="shared" si="5"/>
        <v>-129000</v>
      </c>
      <c r="J351" s="35"/>
      <c r="K351" s="19"/>
      <c r="L351" s="19"/>
      <c r="M351" s="19"/>
      <c r="N351" s="19"/>
      <c r="O351" s="36"/>
      <c r="P351" s="2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79"/>
      <c r="AM351" s="45"/>
      <c r="AN351" s="8"/>
    </row>
    <row r="352" spans="2:40" x14ac:dyDescent="0.25">
      <c r="B352" s="147"/>
      <c r="C352" s="89"/>
      <c r="D352" s="89"/>
      <c r="E352" s="102"/>
      <c r="F352" s="90"/>
      <c r="G352" s="72"/>
      <c r="H352" s="9"/>
      <c r="I352" s="74">
        <f t="shared" si="5"/>
        <v>-129000</v>
      </c>
      <c r="J352" s="35"/>
      <c r="K352" s="19"/>
      <c r="L352" s="19"/>
      <c r="M352" s="19"/>
      <c r="N352" s="19"/>
      <c r="O352" s="36"/>
      <c r="P352" s="2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79"/>
      <c r="AM352" s="45"/>
      <c r="AN352" s="8"/>
    </row>
    <row r="353" spans="2:40" x14ac:dyDescent="0.25">
      <c r="B353" s="147"/>
      <c r="C353" s="89"/>
      <c r="D353" s="89"/>
      <c r="E353" s="102"/>
      <c r="F353" s="90"/>
      <c r="G353" s="72"/>
      <c r="H353" s="9"/>
      <c r="I353" s="74">
        <f t="shared" si="5"/>
        <v>-129000</v>
      </c>
      <c r="J353" s="35"/>
      <c r="K353" s="19"/>
      <c r="L353" s="19"/>
      <c r="M353" s="19"/>
      <c r="N353" s="19"/>
      <c r="O353" s="36"/>
      <c r="P353" s="2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79"/>
      <c r="AM353" s="45"/>
      <c r="AN353" s="8"/>
    </row>
    <row r="354" spans="2:40" x14ac:dyDescent="0.25">
      <c r="B354" s="147"/>
      <c r="C354" s="89"/>
      <c r="D354" s="89"/>
      <c r="E354" s="102"/>
      <c r="F354" s="90"/>
      <c r="G354" s="72"/>
      <c r="H354" s="9"/>
      <c r="I354" s="74">
        <f t="shared" si="5"/>
        <v>-129000</v>
      </c>
      <c r="J354" s="35"/>
      <c r="K354" s="19"/>
      <c r="L354" s="19"/>
      <c r="M354" s="19"/>
      <c r="N354" s="19"/>
      <c r="O354" s="36"/>
      <c r="P354" s="2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79"/>
      <c r="AM354" s="45"/>
      <c r="AN354" s="8"/>
    </row>
    <row r="355" spans="2:40" x14ac:dyDescent="0.25">
      <c r="B355" s="147"/>
      <c r="C355" s="89"/>
      <c r="D355" s="89"/>
      <c r="E355" s="102"/>
      <c r="F355" s="90"/>
      <c r="G355" s="72"/>
      <c r="H355" s="9"/>
      <c r="I355" s="74">
        <f t="shared" si="5"/>
        <v>-129000</v>
      </c>
      <c r="J355" s="35"/>
      <c r="K355" s="19"/>
      <c r="L355" s="19"/>
      <c r="M355" s="19"/>
      <c r="N355" s="19"/>
      <c r="O355" s="36"/>
      <c r="P355" s="2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79"/>
      <c r="AM355" s="45"/>
      <c r="AN355" s="8"/>
    </row>
    <row r="356" spans="2:40" x14ac:dyDescent="0.25">
      <c r="B356" s="147"/>
      <c r="C356" s="89"/>
      <c r="D356" s="89"/>
      <c r="E356" s="102"/>
      <c r="F356" s="90"/>
      <c r="G356" s="72"/>
      <c r="H356" s="9"/>
      <c r="I356" s="74">
        <f t="shared" si="5"/>
        <v>-129000</v>
      </c>
      <c r="J356" s="35"/>
      <c r="K356" s="19"/>
      <c r="L356" s="19"/>
      <c r="M356" s="19"/>
      <c r="N356" s="19"/>
      <c r="O356" s="36"/>
      <c r="P356" s="2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79"/>
      <c r="AM356" s="45"/>
      <c r="AN356" s="8"/>
    </row>
    <row r="357" spans="2:40" x14ac:dyDescent="0.25">
      <c r="B357" s="147"/>
      <c r="C357" s="89"/>
      <c r="D357" s="89"/>
      <c r="E357" s="102"/>
      <c r="F357" s="90"/>
      <c r="G357" s="72"/>
      <c r="H357" s="9"/>
      <c r="I357" s="74">
        <f t="shared" si="5"/>
        <v>-129000</v>
      </c>
      <c r="J357" s="35"/>
      <c r="K357" s="19"/>
      <c r="L357" s="19"/>
      <c r="M357" s="19"/>
      <c r="N357" s="19"/>
      <c r="O357" s="36"/>
      <c r="P357" s="2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79"/>
      <c r="AM357" s="45"/>
      <c r="AN357" s="8"/>
    </row>
    <row r="358" spans="2:40" x14ac:dyDescent="0.25">
      <c r="B358" s="147"/>
      <c r="C358" s="89"/>
      <c r="D358" s="89"/>
      <c r="E358" s="102"/>
      <c r="F358" s="90"/>
      <c r="G358" s="72"/>
      <c r="H358" s="9"/>
      <c r="I358" s="74">
        <f t="shared" si="5"/>
        <v>-129000</v>
      </c>
      <c r="J358" s="35"/>
      <c r="K358" s="19"/>
      <c r="L358" s="19"/>
      <c r="M358" s="19"/>
      <c r="N358" s="19"/>
      <c r="O358" s="36"/>
      <c r="P358" s="2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4"/>
      <c r="AB358" s="14"/>
      <c r="AC358" s="14"/>
      <c r="AD358" s="14"/>
      <c r="AE358" s="11"/>
      <c r="AF358" s="11"/>
      <c r="AG358" s="11"/>
      <c r="AH358" s="11"/>
      <c r="AI358" s="11"/>
      <c r="AJ358" s="11"/>
      <c r="AK358" s="11"/>
      <c r="AL358" s="79"/>
      <c r="AM358" s="45"/>
      <c r="AN358" s="8"/>
    </row>
    <row r="359" spans="2:40" x14ac:dyDescent="0.25">
      <c r="B359" s="147"/>
      <c r="C359" s="89"/>
      <c r="D359" s="89"/>
      <c r="E359" s="102"/>
      <c r="F359" s="90"/>
      <c r="G359" s="72"/>
      <c r="H359" s="9"/>
      <c r="I359" s="74">
        <f t="shared" si="5"/>
        <v>-129000</v>
      </c>
      <c r="J359" s="35"/>
      <c r="K359" s="19"/>
      <c r="L359" s="19"/>
      <c r="M359" s="19"/>
      <c r="N359" s="19"/>
      <c r="O359" s="36"/>
      <c r="P359" s="22"/>
      <c r="Q359" s="11"/>
      <c r="R359" s="11"/>
      <c r="S359" s="15"/>
      <c r="T359" s="15"/>
      <c r="U359" s="11"/>
      <c r="V359" s="11"/>
      <c r="W359" s="11"/>
      <c r="X359" s="11"/>
      <c r="Y359" s="11"/>
      <c r="Z359" s="14"/>
      <c r="AA359" s="14"/>
      <c r="AB359" s="14"/>
      <c r="AC359" s="14"/>
      <c r="AD359" s="14"/>
      <c r="AE359" s="11"/>
      <c r="AF359" s="11"/>
      <c r="AG359" s="11"/>
      <c r="AH359" s="11"/>
      <c r="AI359" s="11"/>
      <c r="AJ359" s="11"/>
      <c r="AK359" s="11"/>
      <c r="AL359" s="79"/>
      <c r="AM359" s="45"/>
      <c r="AN359" s="8"/>
    </row>
    <row r="360" spans="2:40" x14ac:dyDescent="0.25">
      <c r="B360" s="147"/>
      <c r="C360" s="89"/>
      <c r="D360" s="89"/>
      <c r="E360" s="102"/>
      <c r="F360" s="90"/>
      <c r="G360" s="72"/>
      <c r="H360" s="9"/>
      <c r="I360" s="74">
        <f t="shared" si="5"/>
        <v>-129000</v>
      </c>
      <c r="J360" s="35"/>
      <c r="K360" s="19"/>
      <c r="L360" s="19"/>
      <c r="M360" s="19"/>
      <c r="N360" s="19"/>
      <c r="O360" s="36"/>
      <c r="P360" s="26"/>
      <c r="Q360" s="11"/>
      <c r="R360" s="11"/>
      <c r="S360" s="15"/>
      <c r="T360" s="15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79"/>
      <c r="AM360" s="45"/>
      <c r="AN360" s="8"/>
    </row>
    <row r="361" spans="2:40" x14ac:dyDescent="0.25">
      <c r="B361" s="147"/>
      <c r="C361" s="89"/>
      <c r="D361" s="89"/>
      <c r="E361" s="102"/>
      <c r="F361" s="90"/>
      <c r="G361" s="72"/>
      <c r="H361" s="9"/>
      <c r="I361" s="74">
        <f t="shared" si="5"/>
        <v>-129000</v>
      </c>
      <c r="J361" s="35"/>
      <c r="K361" s="19"/>
      <c r="L361" s="19"/>
      <c r="M361" s="19"/>
      <c r="N361" s="19"/>
      <c r="O361" s="36"/>
      <c r="P361" s="26"/>
      <c r="Q361" s="11"/>
      <c r="R361" s="11"/>
      <c r="S361" s="15"/>
      <c r="T361" s="15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79"/>
      <c r="AM361" s="45"/>
      <c r="AN361" s="8"/>
    </row>
    <row r="362" spans="2:40" x14ac:dyDescent="0.25">
      <c r="B362" s="147"/>
      <c r="C362" s="89"/>
      <c r="D362" s="89"/>
      <c r="E362" s="102"/>
      <c r="F362" s="90"/>
      <c r="G362" s="72"/>
      <c r="H362" s="9"/>
      <c r="I362" s="74">
        <f t="shared" si="5"/>
        <v>-129000</v>
      </c>
      <c r="J362" s="35"/>
      <c r="K362" s="19"/>
      <c r="L362" s="19"/>
      <c r="M362" s="19"/>
      <c r="N362" s="19"/>
      <c r="O362" s="36"/>
      <c r="P362" s="26"/>
      <c r="Q362" s="11"/>
      <c r="R362" s="11"/>
      <c r="S362" s="15"/>
      <c r="T362" s="15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79"/>
      <c r="AM362" s="45"/>
      <c r="AN362" s="8"/>
    </row>
    <row r="363" spans="2:40" x14ac:dyDescent="0.25">
      <c r="B363" s="147"/>
      <c r="C363" s="89"/>
      <c r="D363" s="89"/>
      <c r="E363" s="102"/>
      <c r="F363" s="90"/>
      <c r="G363" s="72"/>
      <c r="H363" s="9"/>
      <c r="I363" s="74">
        <f t="shared" si="5"/>
        <v>-129000</v>
      </c>
      <c r="J363" s="35"/>
      <c r="K363" s="19"/>
      <c r="L363" s="19"/>
      <c r="M363" s="19"/>
      <c r="N363" s="19"/>
      <c r="O363" s="36"/>
      <c r="P363" s="22"/>
      <c r="Q363" s="11"/>
      <c r="R363" s="11"/>
      <c r="S363" s="15"/>
      <c r="T363" s="15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79"/>
      <c r="AM363" s="45"/>
      <c r="AN363" s="8"/>
    </row>
    <row r="364" spans="2:40" x14ac:dyDescent="0.25">
      <c r="B364" s="147"/>
      <c r="C364" s="89"/>
      <c r="D364" s="89"/>
      <c r="E364" s="102"/>
      <c r="F364" s="90"/>
      <c r="G364" s="72"/>
      <c r="H364" s="9"/>
      <c r="I364" s="74">
        <f t="shared" si="5"/>
        <v>-129000</v>
      </c>
      <c r="J364" s="35"/>
      <c r="K364" s="19"/>
      <c r="L364" s="19"/>
      <c r="M364" s="19"/>
      <c r="N364" s="19"/>
      <c r="O364" s="36"/>
      <c r="P364" s="2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79"/>
      <c r="AM364" s="45"/>
      <c r="AN364" s="8"/>
    </row>
    <row r="365" spans="2:40" x14ac:dyDescent="0.25">
      <c r="B365" s="147"/>
      <c r="C365" s="89"/>
      <c r="D365" s="89"/>
      <c r="E365" s="102"/>
      <c r="F365" s="90"/>
      <c r="G365" s="72"/>
      <c r="H365" s="9"/>
      <c r="I365" s="74">
        <f t="shared" si="5"/>
        <v>-129000</v>
      </c>
      <c r="J365" s="35"/>
      <c r="K365" s="19"/>
      <c r="L365" s="19"/>
      <c r="M365" s="19"/>
      <c r="N365" s="19"/>
      <c r="O365" s="36"/>
      <c r="P365" s="2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79"/>
      <c r="AM365" s="45"/>
      <c r="AN365" s="8"/>
    </row>
    <row r="366" spans="2:40" x14ac:dyDescent="0.25">
      <c r="B366" s="147"/>
      <c r="C366" s="89"/>
      <c r="D366" s="89"/>
      <c r="E366" s="102"/>
      <c r="F366" s="90"/>
      <c r="G366" s="72"/>
      <c r="H366" s="9"/>
      <c r="I366" s="74">
        <f t="shared" si="5"/>
        <v>-129000</v>
      </c>
      <c r="J366" s="35"/>
      <c r="K366" s="19"/>
      <c r="L366" s="19"/>
      <c r="M366" s="19"/>
      <c r="N366" s="19"/>
      <c r="O366" s="36"/>
      <c r="P366" s="2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79"/>
      <c r="AM366" s="45"/>
      <c r="AN366" s="8"/>
    </row>
    <row r="367" spans="2:40" x14ac:dyDescent="0.25">
      <c r="B367" s="147"/>
      <c r="C367" s="89"/>
      <c r="D367" s="89"/>
      <c r="E367" s="102"/>
      <c r="F367" s="90"/>
      <c r="G367" s="72"/>
      <c r="H367" s="9"/>
      <c r="I367" s="74">
        <f t="shared" si="5"/>
        <v>-129000</v>
      </c>
      <c r="J367" s="35"/>
      <c r="K367" s="19"/>
      <c r="L367" s="19"/>
      <c r="M367" s="19"/>
      <c r="N367" s="19"/>
      <c r="O367" s="36"/>
      <c r="P367" s="2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79"/>
      <c r="AM367" s="45"/>
      <c r="AN367" s="8"/>
    </row>
    <row r="368" spans="2:40" x14ac:dyDescent="0.25">
      <c r="B368" s="147"/>
      <c r="C368" s="89"/>
      <c r="D368" s="89"/>
      <c r="E368" s="102"/>
      <c r="F368" s="90"/>
      <c r="G368" s="72"/>
      <c r="H368" s="9"/>
      <c r="I368" s="74">
        <f t="shared" si="5"/>
        <v>-129000</v>
      </c>
      <c r="J368" s="35"/>
      <c r="K368" s="19"/>
      <c r="L368" s="19"/>
      <c r="M368" s="19"/>
      <c r="N368" s="19"/>
      <c r="O368" s="36"/>
      <c r="P368" s="2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79"/>
      <c r="AM368" s="45"/>
      <c r="AN368" s="8"/>
    </row>
    <row r="369" spans="2:40" x14ac:dyDescent="0.25">
      <c r="B369" s="147"/>
      <c r="C369" s="89"/>
      <c r="D369" s="89"/>
      <c r="E369" s="102"/>
      <c r="F369" s="90"/>
      <c r="G369" s="72"/>
      <c r="H369" s="9"/>
      <c r="I369" s="74">
        <f t="shared" si="5"/>
        <v>-129000</v>
      </c>
      <c r="J369" s="35"/>
      <c r="K369" s="19"/>
      <c r="L369" s="19"/>
      <c r="M369" s="19"/>
      <c r="N369" s="19"/>
      <c r="O369" s="36"/>
      <c r="P369" s="2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79"/>
      <c r="AM369" s="45"/>
      <c r="AN369" s="8"/>
    </row>
    <row r="370" spans="2:40" x14ac:dyDescent="0.25">
      <c r="B370" s="147"/>
      <c r="C370" s="89"/>
      <c r="D370" s="89"/>
      <c r="E370" s="102"/>
      <c r="F370" s="90"/>
      <c r="G370" s="72"/>
      <c r="H370" s="9"/>
      <c r="I370" s="74">
        <f t="shared" si="5"/>
        <v>-129000</v>
      </c>
      <c r="J370" s="35"/>
      <c r="K370" s="19"/>
      <c r="L370" s="19"/>
      <c r="M370" s="19"/>
      <c r="N370" s="19"/>
      <c r="O370" s="36"/>
      <c r="P370" s="2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79"/>
      <c r="AM370" s="45"/>
      <c r="AN370" s="8"/>
    </row>
    <row r="371" spans="2:40" x14ac:dyDescent="0.25">
      <c r="B371" s="147"/>
      <c r="C371" s="89"/>
      <c r="D371" s="89"/>
      <c r="E371" s="102"/>
      <c r="F371" s="90"/>
      <c r="G371" s="72"/>
      <c r="H371" s="9"/>
      <c r="I371" s="74">
        <f t="shared" si="5"/>
        <v>-129000</v>
      </c>
      <c r="J371" s="35"/>
      <c r="K371" s="19"/>
      <c r="L371" s="19"/>
      <c r="M371" s="19"/>
      <c r="N371" s="19"/>
      <c r="O371" s="36"/>
      <c r="P371" s="2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79"/>
      <c r="AM371" s="45"/>
      <c r="AN371" s="8"/>
    </row>
    <row r="372" spans="2:40" x14ac:dyDescent="0.25">
      <c r="B372" s="147"/>
      <c r="C372" s="89"/>
      <c r="D372" s="89"/>
      <c r="E372" s="102"/>
      <c r="F372" s="90"/>
      <c r="G372" s="72"/>
      <c r="H372" s="9"/>
      <c r="I372" s="74">
        <f t="shared" si="5"/>
        <v>-129000</v>
      </c>
      <c r="J372" s="35"/>
      <c r="K372" s="19"/>
      <c r="L372" s="19"/>
      <c r="M372" s="19"/>
      <c r="N372" s="19"/>
      <c r="O372" s="36"/>
      <c r="P372" s="22"/>
      <c r="Q372" s="14"/>
      <c r="R372" s="14"/>
      <c r="S372" s="14"/>
      <c r="T372" s="14"/>
      <c r="U372" s="11"/>
      <c r="V372" s="11"/>
      <c r="W372" s="11"/>
      <c r="X372" s="11"/>
      <c r="Y372" s="11"/>
      <c r="Z372" s="11"/>
      <c r="AA372" s="11"/>
      <c r="AB372" s="11"/>
      <c r="AC372" s="14"/>
      <c r="AD372" s="11"/>
      <c r="AE372" s="11"/>
      <c r="AF372" s="11"/>
      <c r="AG372" s="11"/>
      <c r="AH372" s="11"/>
      <c r="AI372" s="11"/>
      <c r="AJ372" s="11"/>
      <c r="AK372" s="11"/>
      <c r="AL372" s="79"/>
      <c r="AM372" s="45"/>
      <c r="AN372" s="8"/>
    </row>
    <row r="373" spans="2:40" x14ac:dyDescent="0.25">
      <c r="B373" s="147"/>
      <c r="C373" s="89"/>
      <c r="D373" s="89"/>
      <c r="E373" s="102"/>
      <c r="F373" s="90"/>
      <c r="G373" s="72"/>
      <c r="H373" s="9"/>
      <c r="I373" s="74">
        <f t="shared" si="5"/>
        <v>-129000</v>
      </c>
      <c r="J373" s="35"/>
      <c r="K373" s="19"/>
      <c r="L373" s="19"/>
      <c r="M373" s="19"/>
      <c r="N373" s="19"/>
      <c r="O373" s="36"/>
      <c r="P373" s="27"/>
      <c r="Q373" s="11"/>
      <c r="R373" s="14"/>
      <c r="S373" s="14"/>
      <c r="T373" s="14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79"/>
      <c r="AM373" s="45"/>
      <c r="AN373" s="8"/>
    </row>
    <row r="374" spans="2:40" x14ac:dyDescent="0.25">
      <c r="B374" s="147"/>
      <c r="C374" s="89"/>
      <c r="D374" s="89"/>
      <c r="E374" s="102"/>
      <c r="F374" s="90"/>
      <c r="G374" s="72"/>
      <c r="H374" s="9"/>
      <c r="I374" s="74">
        <f t="shared" si="5"/>
        <v>-129000</v>
      </c>
      <c r="J374" s="35"/>
      <c r="K374" s="19"/>
      <c r="L374" s="19"/>
      <c r="M374" s="19"/>
      <c r="N374" s="19"/>
      <c r="O374" s="36"/>
      <c r="P374" s="22"/>
      <c r="Q374" s="11"/>
      <c r="R374" s="14"/>
      <c r="S374" s="14"/>
      <c r="T374" s="14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79"/>
      <c r="AM374" s="45"/>
      <c r="AN374" s="8"/>
    </row>
    <row r="375" spans="2:40" x14ac:dyDescent="0.25">
      <c r="B375" s="147"/>
      <c r="C375" s="89"/>
      <c r="D375" s="89"/>
      <c r="E375" s="102"/>
      <c r="F375" s="90"/>
      <c r="G375" s="72"/>
      <c r="H375" s="9"/>
      <c r="I375" s="74">
        <f t="shared" si="5"/>
        <v>-129000</v>
      </c>
      <c r="J375" s="35"/>
      <c r="K375" s="19"/>
      <c r="L375" s="19"/>
      <c r="M375" s="19"/>
      <c r="N375" s="19"/>
      <c r="O375" s="36"/>
      <c r="P375" s="22"/>
      <c r="Q375" s="11"/>
      <c r="R375" s="14"/>
      <c r="S375" s="14"/>
      <c r="T375" s="14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79"/>
      <c r="AM375" s="45"/>
      <c r="AN375" s="8"/>
    </row>
    <row r="376" spans="2:40" x14ac:dyDescent="0.25">
      <c r="B376" s="147"/>
      <c r="C376" s="89"/>
      <c r="D376" s="89"/>
      <c r="E376" s="102"/>
      <c r="F376" s="90"/>
      <c r="G376" s="72"/>
      <c r="H376" s="9"/>
      <c r="I376" s="74">
        <f t="shared" si="5"/>
        <v>-129000</v>
      </c>
      <c r="J376" s="35"/>
      <c r="K376" s="19"/>
      <c r="L376" s="19"/>
      <c r="M376" s="19"/>
      <c r="N376" s="19"/>
      <c r="O376" s="36"/>
      <c r="P376" s="22"/>
      <c r="Q376" s="11"/>
      <c r="R376" s="14"/>
      <c r="S376" s="14"/>
      <c r="T376" s="14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79"/>
      <c r="AM376" s="45"/>
      <c r="AN376" s="8"/>
    </row>
    <row r="377" spans="2:40" x14ac:dyDescent="0.25">
      <c r="B377" s="147"/>
      <c r="C377" s="89"/>
      <c r="D377" s="89"/>
      <c r="E377" s="102"/>
      <c r="F377" s="90"/>
      <c r="G377" s="72"/>
      <c r="H377" s="9"/>
      <c r="I377" s="74">
        <f t="shared" si="5"/>
        <v>-129000</v>
      </c>
      <c r="J377" s="35"/>
      <c r="K377" s="19"/>
      <c r="L377" s="19"/>
      <c r="M377" s="19"/>
      <c r="N377" s="19"/>
      <c r="O377" s="36"/>
      <c r="P377" s="22"/>
      <c r="Q377" s="11"/>
      <c r="R377" s="14"/>
      <c r="S377" s="14"/>
      <c r="T377" s="14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79"/>
      <c r="AM377" s="45"/>
      <c r="AN377" s="8"/>
    </row>
    <row r="378" spans="2:40" x14ac:dyDescent="0.25">
      <c r="B378" s="147"/>
      <c r="C378" s="89"/>
      <c r="D378" s="89"/>
      <c r="E378" s="102"/>
      <c r="F378" s="90"/>
      <c r="G378" s="72"/>
      <c r="H378" s="9"/>
      <c r="I378" s="74">
        <f t="shared" si="5"/>
        <v>-129000</v>
      </c>
      <c r="J378" s="35"/>
      <c r="K378" s="19"/>
      <c r="L378" s="19"/>
      <c r="M378" s="19"/>
      <c r="N378" s="19"/>
      <c r="O378" s="36"/>
      <c r="P378" s="22"/>
      <c r="Q378" s="11"/>
      <c r="R378" s="14"/>
      <c r="S378" s="14"/>
      <c r="T378" s="14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79"/>
      <c r="AM378" s="45"/>
      <c r="AN378" s="8"/>
    </row>
    <row r="379" spans="2:40" x14ac:dyDescent="0.25">
      <c r="B379" s="147"/>
      <c r="C379" s="89"/>
      <c r="D379" s="89"/>
      <c r="E379" s="102"/>
      <c r="F379" s="90"/>
      <c r="G379" s="72"/>
      <c r="H379" s="9"/>
      <c r="I379" s="74">
        <f t="shared" si="5"/>
        <v>-129000</v>
      </c>
      <c r="J379" s="35"/>
      <c r="K379" s="19"/>
      <c r="L379" s="19"/>
      <c r="M379" s="19"/>
      <c r="N379" s="19"/>
      <c r="O379" s="36"/>
      <c r="P379" s="22"/>
      <c r="Q379" s="11"/>
      <c r="R379" s="11"/>
      <c r="S379" s="11"/>
      <c r="T379" s="11"/>
      <c r="U379" s="11"/>
      <c r="V379" s="11"/>
      <c r="W379" s="14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79"/>
      <c r="AM379" s="45"/>
      <c r="AN379" s="8"/>
    </row>
    <row r="380" spans="2:40" x14ac:dyDescent="0.25">
      <c r="B380" s="147"/>
      <c r="C380" s="89"/>
      <c r="D380" s="89"/>
      <c r="E380" s="102"/>
      <c r="F380" s="90"/>
      <c r="G380" s="72"/>
      <c r="H380" s="9"/>
      <c r="I380" s="74">
        <f t="shared" si="5"/>
        <v>-129000</v>
      </c>
      <c r="J380" s="35"/>
      <c r="K380" s="19"/>
      <c r="L380" s="19"/>
      <c r="M380" s="19"/>
      <c r="N380" s="19"/>
      <c r="O380" s="36"/>
      <c r="P380" s="22"/>
      <c r="Q380" s="11"/>
      <c r="R380" s="11"/>
      <c r="S380" s="11"/>
      <c r="T380" s="11"/>
      <c r="U380" s="11"/>
      <c r="V380" s="11"/>
      <c r="W380" s="14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79"/>
      <c r="AM380" s="45"/>
      <c r="AN380" s="8"/>
    </row>
    <row r="381" spans="2:40" x14ac:dyDescent="0.25">
      <c r="B381" s="147"/>
      <c r="C381" s="89"/>
      <c r="D381" s="89"/>
      <c r="E381" s="102"/>
      <c r="F381" s="90"/>
      <c r="G381" s="72"/>
      <c r="H381" s="9"/>
      <c r="I381" s="74">
        <f t="shared" si="5"/>
        <v>-129000</v>
      </c>
      <c r="J381" s="35"/>
      <c r="K381" s="19"/>
      <c r="L381" s="19"/>
      <c r="M381" s="19"/>
      <c r="N381" s="19"/>
      <c r="O381" s="36"/>
      <c r="P381" s="2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79"/>
      <c r="AM381" s="45"/>
      <c r="AN381" s="8"/>
    </row>
    <row r="382" spans="2:40" x14ac:dyDescent="0.25">
      <c r="B382" s="147"/>
      <c r="C382" s="89"/>
      <c r="D382" s="89"/>
      <c r="E382" s="102"/>
      <c r="F382" s="90"/>
      <c r="G382" s="72"/>
      <c r="H382" s="9"/>
      <c r="I382" s="74">
        <f t="shared" si="5"/>
        <v>-129000</v>
      </c>
      <c r="J382" s="35"/>
      <c r="K382" s="19"/>
      <c r="L382" s="19"/>
      <c r="M382" s="19"/>
      <c r="N382" s="19"/>
      <c r="O382" s="36"/>
      <c r="P382" s="2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79"/>
      <c r="AM382" s="45"/>
      <c r="AN382" s="8"/>
    </row>
    <row r="383" spans="2:40" x14ac:dyDescent="0.25">
      <c r="B383" s="147"/>
      <c r="C383" s="89"/>
      <c r="D383" s="89"/>
      <c r="E383" s="102"/>
      <c r="F383" s="90"/>
      <c r="G383" s="72"/>
      <c r="H383" s="9"/>
      <c r="I383" s="74">
        <f t="shared" si="5"/>
        <v>-129000</v>
      </c>
      <c r="J383" s="35"/>
      <c r="K383" s="19"/>
      <c r="L383" s="19"/>
      <c r="M383" s="19"/>
      <c r="N383" s="19"/>
      <c r="O383" s="36"/>
      <c r="P383" s="2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79"/>
      <c r="AM383" s="45"/>
      <c r="AN383" s="8"/>
    </row>
    <row r="384" spans="2:40" x14ac:dyDescent="0.25">
      <c r="B384" s="147"/>
      <c r="C384" s="89"/>
      <c r="D384" s="89"/>
      <c r="E384" s="102"/>
      <c r="F384" s="90"/>
      <c r="G384" s="72"/>
      <c r="H384" s="9"/>
      <c r="I384" s="74">
        <f t="shared" si="5"/>
        <v>-129000</v>
      </c>
      <c r="J384" s="35"/>
      <c r="K384" s="19"/>
      <c r="L384" s="19"/>
      <c r="M384" s="19"/>
      <c r="N384" s="19"/>
      <c r="O384" s="36"/>
      <c r="P384" s="2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79"/>
      <c r="AM384" s="45"/>
      <c r="AN384" s="8"/>
    </row>
    <row r="385" spans="2:40" x14ac:dyDescent="0.25">
      <c r="B385" s="147"/>
      <c r="C385" s="89"/>
      <c r="D385" s="89"/>
      <c r="E385" s="102"/>
      <c r="F385" s="90"/>
      <c r="G385" s="72"/>
      <c r="H385" s="9"/>
      <c r="I385" s="74">
        <f t="shared" si="5"/>
        <v>-129000</v>
      </c>
      <c r="J385" s="35"/>
      <c r="K385" s="19"/>
      <c r="L385" s="19"/>
      <c r="M385" s="19"/>
      <c r="N385" s="19"/>
      <c r="O385" s="36"/>
      <c r="P385" s="2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79"/>
      <c r="AM385" s="45"/>
      <c r="AN385" s="8"/>
    </row>
    <row r="386" spans="2:40" x14ac:dyDescent="0.25">
      <c r="B386" s="147"/>
      <c r="C386" s="89"/>
      <c r="D386" s="89"/>
      <c r="E386" s="102"/>
      <c r="F386" s="90"/>
      <c r="G386" s="72"/>
      <c r="H386" s="9"/>
      <c r="I386" s="74">
        <f t="shared" si="5"/>
        <v>-129000</v>
      </c>
      <c r="J386" s="35"/>
      <c r="K386" s="19"/>
      <c r="L386" s="19"/>
      <c r="M386" s="19"/>
      <c r="N386" s="19"/>
      <c r="O386" s="36"/>
      <c r="P386" s="28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79"/>
      <c r="AM386" s="45"/>
      <c r="AN386" s="8"/>
    </row>
    <row r="387" spans="2:40" x14ac:dyDescent="0.25">
      <c r="B387" s="147"/>
      <c r="C387" s="89"/>
      <c r="D387" s="89"/>
      <c r="E387" s="102"/>
      <c r="F387" s="90"/>
      <c r="G387" s="72"/>
      <c r="H387" s="9"/>
      <c r="I387" s="74">
        <f t="shared" si="5"/>
        <v>-129000</v>
      </c>
      <c r="J387" s="35"/>
      <c r="K387" s="19"/>
      <c r="L387" s="19"/>
      <c r="M387" s="19"/>
      <c r="N387" s="19"/>
      <c r="O387" s="36"/>
      <c r="P387" s="28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79"/>
      <c r="AM387" s="45"/>
      <c r="AN387" s="8"/>
    </row>
    <row r="388" spans="2:40" x14ac:dyDescent="0.25">
      <c r="B388" s="147"/>
      <c r="C388" s="89"/>
      <c r="D388" s="89"/>
      <c r="E388" s="102"/>
      <c r="F388" s="90"/>
      <c r="G388" s="72"/>
      <c r="H388" s="9"/>
      <c r="I388" s="74">
        <f t="shared" si="5"/>
        <v>-129000</v>
      </c>
      <c r="J388" s="35"/>
      <c r="K388" s="19"/>
      <c r="L388" s="19"/>
      <c r="M388" s="19"/>
      <c r="N388" s="19"/>
      <c r="O388" s="36"/>
      <c r="P388" s="28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4"/>
      <c r="AJ388" s="14"/>
      <c r="AK388" s="14"/>
      <c r="AL388" s="80"/>
      <c r="AM388" s="45"/>
      <c r="AN388" s="8"/>
    </row>
    <row r="389" spans="2:40" x14ac:dyDescent="0.25">
      <c r="B389" s="147"/>
      <c r="C389" s="89"/>
      <c r="D389" s="89"/>
      <c r="E389" s="102"/>
      <c r="F389" s="90"/>
      <c r="G389" s="72"/>
      <c r="H389" s="9"/>
      <c r="I389" s="74">
        <f t="shared" si="5"/>
        <v>-129000</v>
      </c>
      <c r="J389" s="35"/>
      <c r="K389" s="19"/>
      <c r="L389" s="19"/>
      <c r="M389" s="19"/>
      <c r="N389" s="19"/>
      <c r="O389" s="36"/>
      <c r="P389" s="29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5"/>
      <c r="AH389" s="11"/>
      <c r="AI389" s="14"/>
      <c r="AJ389" s="14"/>
      <c r="AK389" s="14"/>
      <c r="AL389" s="80"/>
      <c r="AM389" s="45"/>
      <c r="AN389" s="8"/>
    </row>
    <row r="390" spans="2:40" x14ac:dyDescent="0.25">
      <c r="B390" s="147"/>
      <c r="C390" s="89"/>
      <c r="D390" s="89"/>
      <c r="E390" s="102"/>
      <c r="F390" s="90"/>
      <c r="G390" s="72"/>
      <c r="H390" s="9"/>
      <c r="I390" s="74">
        <f t="shared" si="5"/>
        <v>-129000</v>
      </c>
      <c r="J390" s="35"/>
      <c r="K390" s="19"/>
      <c r="L390" s="19"/>
      <c r="M390" s="19"/>
      <c r="N390" s="19"/>
      <c r="O390" s="36"/>
      <c r="P390" s="29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5"/>
      <c r="AH390" s="11"/>
      <c r="AI390" s="14"/>
      <c r="AJ390" s="14"/>
      <c r="AK390" s="14"/>
      <c r="AL390" s="80"/>
      <c r="AM390" s="45"/>
      <c r="AN390" s="8"/>
    </row>
    <row r="391" spans="2:40" x14ac:dyDescent="0.25">
      <c r="B391" s="147"/>
      <c r="C391" s="89"/>
      <c r="D391" s="89"/>
      <c r="E391" s="102"/>
      <c r="F391" s="90"/>
      <c r="G391" s="72"/>
      <c r="H391" s="9"/>
      <c r="I391" s="74">
        <f t="shared" si="5"/>
        <v>-129000</v>
      </c>
      <c r="J391" s="35"/>
      <c r="K391" s="19"/>
      <c r="L391" s="19"/>
      <c r="M391" s="19"/>
      <c r="N391" s="19"/>
      <c r="O391" s="36"/>
      <c r="P391" s="29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5"/>
      <c r="AH391" s="11"/>
      <c r="AI391" s="11"/>
      <c r="AJ391" s="11"/>
      <c r="AK391" s="11"/>
      <c r="AL391" s="79"/>
      <c r="AM391" s="45"/>
      <c r="AN391" s="8"/>
    </row>
    <row r="392" spans="2:40" x14ac:dyDescent="0.25">
      <c r="B392" s="147"/>
      <c r="C392" s="89"/>
      <c r="D392" s="89"/>
      <c r="E392" s="102"/>
      <c r="F392" s="90"/>
      <c r="G392" s="72"/>
      <c r="H392" s="9"/>
      <c r="I392" s="74">
        <f t="shared" si="5"/>
        <v>-129000</v>
      </c>
      <c r="J392" s="35"/>
      <c r="K392" s="19"/>
      <c r="L392" s="19"/>
      <c r="M392" s="19"/>
      <c r="N392" s="19"/>
      <c r="O392" s="36"/>
      <c r="P392" s="29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5"/>
      <c r="AH392" s="11"/>
      <c r="AI392" s="11"/>
      <c r="AJ392" s="11"/>
      <c r="AK392" s="11"/>
      <c r="AL392" s="79"/>
      <c r="AM392" s="45"/>
      <c r="AN392" s="8"/>
    </row>
    <row r="393" spans="2:40" x14ac:dyDescent="0.25">
      <c r="B393" s="147"/>
      <c r="C393" s="89"/>
      <c r="D393" s="89"/>
      <c r="E393" s="102"/>
      <c r="F393" s="90"/>
      <c r="G393" s="72"/>
      <c r="H393" s="9"/>
      <c r="I393" s="74">
        <f t="shared" si="5"/>
        <v>-129000</v>
      </c>
      <c r="J393" s="35"/>
      <c r="K393" s="19"/>
      <c r="L393" s="19"/>
      <c r="M393" s="19"/>
      <c r="N393" s="19"/>
      <c r="O393" s="36"/>
      <c r="P393" s="2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79"/>
      <c r="AM393" s="45"/>
      <c r="AN393" s="8"/>
    </row>
    <row r="394" spans="2:40" x14ac:dyDescent="0.25">
      <c r="B394" s="147"/>
      <c r="C394" s="89"/>
      <c r="D394" s="89"/>
      <c r="E394" s="102"/>
      <c r="F394" s="90"/>
      <c r="G394" s="72"/>
      <c r="H394" s="9"/>
      <c r="I394" s="74">
        <f t="shared" si="5"/>
        <v>-129000</v>
      </c>
      <c r="J394" s="35"/>
      <c r="K394" s="19"/>
      <c r="L394" s="19"/>
      <c r="M394" s="19"/>
      <c r="N394" s="19"/>
      <c r="O394" s="36"/>
      <c r="P394" s="2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79"/>
      <c r="AM394" s="45"/>
      <c r="AN394" s="8"/>
    </row>
    <row r="395" spans="2:40" x14ac:dyDescent="0.25">
      <c r="B395" s="147"/>
      <c r="C395" s="89"/>
      <c r="D395" s="89"/>
      <c r="E395" s="102"/>
      <c r="F395" s="90"/>
      <c r="G395" s="72"/>
      <c r="H395" s="9"/>
      <c r="I395" s="74">
        <f t="shared" si="5"/>
        <v>-129000</v>
      </c>
      <c r="J395" s="35"/>
      <c r="K395" s="19"/>
      <c r="L395" s="19"/>
      <c r="M395" s="19"/>
      <c r="N395" s="19"/>
      <c r="O395" s="36"/>
      <c r="P395" s="2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4"/>
      <c r="AI395" s="11"/>
      <c r="AJ395" s="11"/>
      <c r="AK395" s="11"/>
      <c r="AL395" s="79"/>
      <c r="AM395" s="45"/>
      <c r="AN395" s="8"/>
    </row>
    <row r="396" spans="2:40" x14ac:dyDescent="0.25">
      <c r="B396" s="147"/>
      <c r="C396" s="89"/>
      <c r="D396" s="89"/>
      <c r="E396" s="102"/>
      <c r="F396" s="90"/>
      <c r="G396" s="72"/>
      <c r="H396" s="9"/>
      <c r="I396" s="74">
        <f t="shared" si="5"/>
        <v>-129000</v>
      </c>
      <c r="J396" s="35"/>
      <c r="K396" s="19"/>
      <c r="L396" s="19"/>
      <c r="M396" s="19"/>
      <c r="N396" s="19"/>
      <c r="O396" s="36"/>
      <c r="P396" s="2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4"/>
      <c r="AI396" s="11"/>
      <c r="AJ396" s="11"/>
      <c r="AK396" s="11"/>
      <c r="AL396" s="79"/>
      <c r="AM396" s="45"/>
      <c r="AN396" s="8"/>
    </row>
    <row r="397" spans="2:40" x14ac:dyDescent="0.25">
      <c r="B397" s="147"/>
      <c r="C397" s="89"/>
      <c r="D397" s="89"/>
      <c r="E397" s="102"/>
      <c r="F397" s="90"/>
      <c r="G397" s="72"/>
      <c r="H397" s="9"/>
      <c r="I397" s="74">
        <f t="shared" si="5"/>
        <v>-129000</v>
      </c>
      <c r="J397" s="35"/>
      <c r="K397" s="19"/>
      <c r="L397" s="19"/>
      <c r="M397" s="19"/>
      <c r="N397" s="19"/>
      <c r="O397" s="36"/>
      <c r="P397" s="22"/>
      <c r="Q397" s="14"/>
      <c r="R397" s="14"/>
      <c r="S397" s="14"/>
      <c r="T397" s="14"/>
      <c r="U397" s="11"/>
      <c r="V397" s="11"/>
      <c r="W397" s="11"/>
      <c r="X397" s="11"/>
      <c r="Y397" s="11"/>
      <c r="Z397" s="11"/>
      <c r="AA397" s="11"/>
      <c r="AB397" s="11"/>
      <c r="AC397" s="14"/>
      <c r="AD397" s="11"/>
      <c r="AE397" s="11"/>
      <c r="AF397" s="11"/>
      <c r="AG397" s="11"/>
      <c r="AH397" s="14"/>
      <c r="AI397" s="11"/>
      <c r="AJ397" s="11"/>
      <c r="AK397" s="11"/>
      <c r="AL397" s="79"/>
      <c r="AM397" s="45"/>
      <c r="AN397" s="8"/>
    </row>
    <row r="398" spans="2:40" x14ac:dyDescent="0.25">
      <c r="B398" s="147"/>
      <c r="C398" s="89"/>
      <c r="D398" s="89"/>
      <c r="E398" s="102"/>
      <c r="F398" s="90"/>
      <c r="G398" s="72"/>
      <c r="H398" s="9"/>
      <c r="I398" s="74">
        <f t="shared" si="5"/>
        <v>-129000</v>
      </c>
      <c r="J398" s="35"/>
      <c r="K398" s="19"/>
      <c r="L398" s="19"/>
      <c r="M398" s="19"/>
      <c r="N398" s="19"/>
      <c r="O398" s="36"/>
      <c r="P398" s="22"/>
      <c r="Q398" s="11"/>
      <c r="R398" s="14"/>
      <c r="S398" s="14"/>
      <c r="T398" s="14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79"/>
      <c r="AM398" s="45"/>
      <c r="AN398" s="8"/>
    </row>
    <row r="399" spans="2:40" x14ac:dyDescent="0.25">
      <c r="B399" s="147"/>
      <c r="C399" s="89"/>
      <c r="D399" s="89"/>
      <c r="E399" s="102"/>
      <c r="F399" s="90"/>
      <c r="G399" s="72"/>
      <c r="H399" s="9"/>
      <c r="I399" s="74">
        <f t="shared" si="5"/>
        <v>-129000</v>
      </c>
      <c r="J399" s="35"/>
      <c r="K399" s="19"/>
      <c r="L399" s="19"/>
      <c r="M399" s="19"/>
      <c r="N399" s="19"/>
      <c r="O399" s="36"/>
      <c r="P399" s="2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79"/>
      <c r="AM399" s="45"/>
      <c r="AN399" s="8"/>
    </row>
    <row r="400" spans="2:40" x14ac:dyDescent="0.25">
      <c r="B400" s="147"/>
      <c r="C400" s="89"/>
      <c r="D400" s="89"/>
      <c r="E400" s="102"/>
      <c r="F400" s="90"/>
      <c r="G400" s="72"/>
      <c r="H400" s="9"/>
      <c r="I400" s="74">
        <f t="shared" si="5"/>
        <v>-129000</v>
      </c>
      <c r="J400" s="35"/>
      <c r="K400" s="19"/>
      <c r="L400" s="19"/>
      <c r="M400" s="19"/>
      <c r="N400" s="19"/>
      <c r="O400" s="36"/>
      <c r="P400" s="2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79"/>
      <c r="AM400" s="45"/>
      <c r="AN400" s="8"/>
    </row>
    <row r="401" spans="2:40" x14ac:dyDescent="0.25">
      <c r="B401" s="147"/>
      <c r="C401" s="89"/>
      <c r="D401" s="89"/>
      <c r="E401" s="102"/>
      <c r="F401" s="90"/>
      <c r="G401" s="72"/>
      <c r="H401" s="9"/>
      <c r="I401" s="74">
        <f t="shared" si="5"/>
        <v>-129000</v>
      </c>
      <c r="J401" s="35"/>
      <c r="K401" s="19"/>
      <c r="L401" s="19"/>
      <c r="M401" s="19"/>
      <c r="N401" s="19"/>
      <c r="O401" s="36"/>
      <c r="P401" s="22"/>
      <c r="Q401" s="11"/>
      <c r="R401" s="11"/>
      <c r="S401" s="11"/>
      <c r="T401" s="11"/>
      <c r="U401" s="11"/>
      <c r="V401" s="11"/>
      <c r="W401" s="14"/>
      <c r="X401" s="14"/>
      <c r="Y401" s="15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79"/>
      <c r="AM401" s="45"/>
      <c r="AN401" s="8"/>
    </row>
    <row r="402" spans="2:40" x14ac:dyDescent="0.25">
      <c r="B402" s="147"/>
      <c r="C402" s="89"/>
      <c r="D402" s="89"/>
      <c r="E402" s="102"/>
      <c r="F402" s="90"/>
      <c r="G402" s="72"/>
      <c r="H402" s="9"/>
      <c r="I402" s="74">
        <f t="shared" ref="I402:I465" si="6">I401+G402-H402</f>
        <v>-129000</v>
      </c>
      <c r="J402" s="35"/>
      <c r="K402" s="19"/>
      <c r="L402" s="19"/>
      <c r="M402" s="19"/>
      <c r="N402" s="19"/>
      <c r="O402" s="36"/>
      <c r="P402" s="22"/>
      <c r="Q402" s="11"/>
      <c r="R402" s="11"/>
      <c r="S402" s="11"/>
      <c r="T402" s="11"/>
      <c r="U402" s="11"/>
      <c r="V402" s="11"/>
      <c r="W402" s="14"/>
      <c r="X402" s="14"/>
      <c r="Y402" s="15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79"/>
      <c r="AM402" s="45"/>
      <c r="AN402" s="8"/>
    </row>
    <row r="403" spans="2:40" x14ac:dyDescent="0.25">
      <c r="B403" s="147"/>
      <c r="C403" s="89"/>
      <c r="D403" s="89"/>
      <c r="E403" s="102"/>
      <c r="F403" s="90"/>
      <c r="G403" s="72"/>
      <c r="H403" s="9"/>
      <c r="I403" s="74">
        <f t="shared" si="6"/>
        <v>-129000</v>
      </c>
      <c r="J403" s="35"/>
      <c r="K403" s="19"/>
      <c r="L403" s="19"/>
      <c r="M403" s="19"/>
      <c r="N403" s="19"/>
      <c r="O403" s="36"/>
      <c r="P403" s="2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79"/>
      <c r="AM403" s="45"/>
      <c r="AN403" s="8"/>
    </row>
    <row r="404" spans="2:40" x14ac:dyDescent="0.25">
      <c r="B404" s="147"/>
      <c r="C404" s="89"/>
      <c r="D404" s="89"/>
      <c r="E404" s="102"/>
      <c r="F404" s="90"/>
      <c r="G404" s="72"/>
      <c r="H404" s="9"/>
      <c r="I404" s="74">
        <f t="shared" si="6"/>
        <v>-129000</v>
      </c>
      <c r="J404" s="35"/>
      <c r="K404" s="19"/>
      <c r="L404" s="19"/>
      <c r="M404" s="19"/>
      <c r="N404" s="19"/>
      <c r="O404" s="36"/>
      <c r="P404" s="2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79"/>
      <c r="AM404" s="45"/>
      <c r="AN404" s="8"/>
    </row>
    <row r="405" spans="2:40" x14ac:dyDescent="0.25">
      <c r="B405" s="147"/>
      <c r="C405" s="89"/>
      <c r="D405" s="89"/>
      <c r="E405" s="102"/>
      <c r="F405" s="90"/>
      <c r="G405" s="72"/>
      <c r="H405" s="9"/>
      <c r="I405" s="74">
        <f t="shared" si="6"/>
        <v>-129000</v>
      </c>
      <c r="J405" s="35"/>
      <c r="K405" s="19"/>
      <c r="L405" s="19"/>
      <c r="M405" s="19"/>
      <c r="N405" s="19"/>
      <c r="O405" s="36"/>
      <c r="P405" s="2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79"/>
      <c r="AM405" s="45"/>
      <c r="AN405" s="8"/>
    </row>
    <row r="406" spans="2:40" x14ac:dyDescent="0.25">
      <c r="B406" s="147"/>
      <c r="C406" s="89"/>
      <c r="D406" s="89"/>
      <c r="E406" s="102"/>
      <c r="F406" s="90"/>
      <c r="G406" s="72"/>
      <c r="H406" s="9"/>
      <c r="I406" s="74">
        <f t="shared" si="6"/>
        <v>-129000</v>
      </c>
      <c r="J406" s="35"/>
      <c r="K406" s="19"/>
      <c r="L406" s="19"/>
      <c r="M406" s="19"/>
      <c r="N406" s="19"/>
      <c r="O406" s="36"/>
      <c r="P406" s="2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79"/>
      <c r="AM406" s="45"/>
      <c r="AN406" s="8"/>
    </row>
    <row r="407" spans="2:40" x14ac:dyDescent="0.25">
      <c r="B407" s="147"/>
      <c r="C407" s="89"/>
      <c r="D407" s="89"/>
      <c r="E407" s="102"/>
      <c r="F407" s="90"/>
      <c r="G407" s="72"/>
      <c r="H407" s="9"/>
      <c r="I407" s="74">
        <f t="shared" si="6"/>
        <v>-129000</v>
      </c>
      <c r="J407" s="35"/>
      <c r="K407" s="19"/>
      <c r="L407" s="19"/>
      <c r="M407" s="19"/>
      <c r="N407" s="19"/>
      <c r="O407" s="36"/>
      <c r="P407" s="22"/>
      <c r="Q407" s="11"/>
      <c r="R407" s="14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79"/>
      <c r="AM407" s="45"/>
      <c r="AN407" s="8"/>
    </row>
    <row r="408" spans="2:40" x14ac:dyDescent="0.25">
      <c r="B408" s="147"/>
      <c r="C408" s="89"/>
      <c r="D408" s="89"/>
      <c r="E408" s="102"/>
      <c r="F408" s="90"/>
      <c r="G408" s="72"/>
      <c r="H408" s="9"/>
      <c r="I408" s="74">
        <f t="shared" si="6"/>
        <v>-129000</v>
      </c>
      <c r="J408" s="35"/>
      <c r="K408" s="19"/>
      <c r="L408" s="19"/>
      <c r="M408" s="19"/>
      <c r="N408" s="19"/>
      <c r="O408" s="36"/>
      <c r="P408" s="22"/>
      <c r="Q408" s="11"/>
      <c r="R408" s="11"/>
      <c r="S408" s="11"/>
      <c r="T408" s="11"/>
      <c r="U408" s="11"/>
      <c r="V408" s="11"/>
      <c r="W408" s="14"/>
      <c r="X408" s="14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79"/>
      <c r="AM408" s="45"/>
      <c r="AN408" s="8"/>
    </row>
    <row r="409" spans="2:40" x14ac:dyDescent="0.25">
      <c r="B409" s="147"/>
      <c r="C409" s="89"/>
      <c r="D409" s="89"/>
      <c r="E409" s="102"/>
      <c r="F409" s="90"/>
      <c r="G409" s="72"/>
      <c r="H409" s="9"/>
      <c r="I409" s="74">
        <f t="shared" si="6"/>
        <v>-129000</v>
      </c>
      <c r="J409" s="35"/>
      <c r="K409" s="19"/>
      <c r="L409" s="19"/>
      <c r="M409" s="19"/>
      <c r="N409" s="19"/>
      <c r="O409" s="36"/>
      <c r="P409" s="30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79"/>
      <c r="AM409" s="45"/>
      <c r="AN409" s="8"/>
    </row>
    <row r="410" spans="2:40" x14ac:dyDescent="0.25">
      <c r="B410" s="147"/>
      <c r="C410" s="89"/>
      <c r="D410" s="89"/>
      <c r="E410" s="102"/>
      <c r="F410" s="90"/>
      <c r="G410" s="72"/>
      <c r="H410" s="9"/>
      <c r="I410" s="74">
        <f t="shared" si="6"/>
        <v>-129000</v>
      </c>
      <c r="J410" s="35"/>
      <c r="K410" s="19"/>
      <c r="L410" s="19"/>
      <c r="M410" s="19"/>
      <c r="N410" s="19"/>
      <c r="O410" s="36"/>
      <c r="P410" s="2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79"/>
      <c r="AM410" s="45"/>
      <c r="AN410" s="8"/>
    </row>
    <row r="411" spans="2:40" x14ac:dyDescent="0.25">
      <c r="B411" s="147"/>
      <c r="C411" s="89"/>
      <c r="D411" s="89"/>
      <c r="E411" s="102"/>
      <c r="F411" s="90"/>
      <c r="G411" s="72"/>
      <c r="H411" s="9"/>
      <c r="I411" s="74">
        <f t="shared" si="6"/>
        <v>-129000</v>
      </c>
      <c r="J411" s="35"/>
      <c r="K411" s="19"/>
      <c r="L411" s="19"/>
      <c r="M411" s="19"/>
      <c r="N411" s="19"/>
      <c r="O411" s="36"/>
      <c r="P411" s="22"/>
      <c r="Q411" s="11"/>
      <c r="R411" s="11"/>
      <c r="S411" s="11"/>
      <c r="T411" s="11"/>
      <c r="U411" s="14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79"/>
      <c r="AM411" s="45"/>
      <c r="AN411" s="8"/>
    </row>
    <row r="412" spans="2:40" x14ac:dyDescent="0.25">
      <c r="B412" s="147"/>
      <c r="C412" s="89"/>
      <c r="D412" s="89"/>
      <c r="E412" s="102"/>
      <c r="F412" s="90"/>
      <c r="G412" s="72"/>
      <c r="H412" s="9"/>
      <c r="I412" s="74">
        <f t="shared" si="6"/>
        <v>-129000</v>
      </c>
      <c r="J412" s="35"/>
      <c r="K412" s="19"/>
      <c r="L412" s="19"/>
      <c r="M412" s="19"/>
      <c r="N412" s="19"/>
      <c r="O412" s="36"/>
      <c r="P412" s="3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79"/>
      <c r="AM412" s="45"/>
      <c r="AN412" s="8"/>
    </row>
    <row r="413" spans="2:40" x14ac:dyDescent="0.25">
      <c r="B413" s="147"/>
      <c r="C413" s="89"/>
      <c r="D413" s="89"/>
      <c r="E413" s="102"/>
      <c r="F413" s="90"/>
      <c r="G413" s="72"/>
      <c r="H413" s="9"/>
      <c r="I413" s="74">
        <f t="shared" si="6"/>
        <v>-129000</v>
      </c>
      <c r="J413" s="35"/>
      <c r="K413" s="19"/>
      <c r="L413" s="19"/>
      <c r="M413" s="19"/>
      <c r="N413" s="19"/>
      <c r="O413" s="36"/>
      <c r="P413" s="3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79"/>
      <c r="AM413" s="45"/>
      <c r="AN413" s="8"/>
    </row>
    <row r="414" spans="2:40" x14ac:dyDescent="0.25">
      <c r="B414" s="147"/>
      <c r="C414" s="89"/>
      <c r="D414" s="89"/>
      <c r="E414" s="102"/>
      <c r="F414" s="90"/>
      <c r="G414" s="72"/>
      <c r="H414" s="9"/>
      <c r="I414" s="74">
        <f t="shared" si="6"/>
        <v>-129000</v>
      </c>
      <c r="J414" s="35"/>
      <c r="K414" s="19"/>
      <c r="L414" s="19"/>
      <c r="M414" s="19"/>
      <c r="N414" s="19"/>
      <c r="O414" s="36"/>
      <c r="P414" s="3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79"/>
      <c r="AM414" s="45"/>
      <c r="AN414" s="8"/>
    </row>
    <row r="415" spans="2:40" x14ac:dyDescent="0.25">
      <c r="B415" s="147"/>
      <c r="C415" s="89"/>
      <c r="D415" s="89"/>
      <c r="E415" s="102"/>
      <c r="F415" s="90"/>
      <c r="G415" s="72"/>
      <c r="H415" s="9"/>
      <c r="I415" s="74">
        <f t="shared" si="6"/>
        <v>-129000</v>
      </c>
      <c r="J415" s="35"/>
      <c r="K415" s="19"/>
      <c r="L415" s="19"/>
      <c r="M415" s="19"/>
      <c r="N415" s="19"/>
      <c r="O415" s="36"/>
      <c r="P415" s="3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79"/>
      <c r="AM415" s="45"/>
      <c r="AN415" s="8"/>
    </row>
    <row r="416" spans="2:40" x14ac:dyDescent="0.25">
      <c r="B416" s="147"/>
      <c r="C416" s="89"/>
      <c r="D416" s="89"/>
      <c r="E416" s="102"/>
      <c r="F416" s="90"/>
      <c r="G416" s="72"/>
      <c r="H416" s="9"/>
      <c r="I416" s="74">
        <f t="shared" si="6"/>
        <v>-129000</v>
      </c>
      <c r="J416" s="35"/>
      <c r="K416" s="19"/>
      <c r="L416" s="19"/>
      <c r="M416" s="19"/>
      <c r="N416" s="19"/>
      <c r="O416" s="36"/>
      <c r="P416" s="22"/>
      <c r="Q416" s="11"/>
      <c r="R416" s="11"/>
      <c r="S416" s="11"/>
      <c r="T416" s="11"/>
      <c r="U416" s="11"/>
      <c r="V416" s="11"/>
      <c r="W416" s="14"/>
      <c r="X416" s="14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79"/>
      <c r="AM416" s="45"/>
      <c r="AN416" s="8"/>
    </row>
    <row r="417" spans="2:40" x14ac:dyDescent="0.25">
      <c r="B417" s="147"/>
      <c r="C417" s="89"/>
      <c r="D417" s="89"/>
      <c r="E417" s="102"/>
      <c r="F417" s="90"/>
      <c r="G417" s="72"/>
      <c r="H417" s="9"/>
      <c r="I417" s="74">
        <f t="shared" si="6"/>
        <v>-129000</v>
      </c>
      <c r="J417" s="35"/>
      <c r="K417" s="19"/>
      <c r="L417" s="19"/>
      <c r="M417" s="19"/>
      <c r="N417" s="19"/>
      <c r="O417" s="36"/>
      <c r="P417" s="2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79"/>
      <c r="AM417" s="45"/>
      <c r="AN417" s="8"/>
    </row>
    <row r="418" spans="2:40" x14ac:dyDescent="0.25">
      <c r="B418" s="147"/>
      <c r="C418" s="89"/>
      <c r="D418" s="89"/>
      <c r="E418" s="102"/>
      <c r="F418" s="90"/>
      <c r="G418" s="72"/>
      <c r="H418" s="9"/>
      <c r="I418" s="74">
        <f t="shared" si="6"/>
        <v>-129000</v>
      </c>
      <c r="J418" s="35"/>
      <c r="K418" s="19"/>
      <c r="L418" s="19"/>
      <c r="M418" s="19"/>
      <c r="N418" s="19"/>
      <c r="O418" s="36"/>
      <c r="P418" s="22"/>
      <c r="Q418" s="14"/>
      <c r="R418" s="14"/>
      <c r="S418" s="11"/>
      <c r="T418" s="11"/>
      <c r="U418" s="11"/>
      <c r="V418" s="11"/>
      <c r="W418" s="11"/>
      <c r="X418" s="11"/>
      <c r="Y418" s="11"/>
      <c r="Z418" s="11"/>
      <c r="AA418" s="15"/>
      <c r="AB418" s="15"/>
      <c r="AC418" s="15"/>
      <c r="AD418" s="15"/>
      <c r="AE418" s="11"/>
      <c r="AF418" s="11"/>
      <c r="AG418" s="11"/>
      <c r="AH418" s="11"/>
      <c r="AI418" s="11"/>
      <c r="AJ418" s="11"/>
      <c r="AK418" s="11"/>
      <c r="AL418" s="79"/>
      <c r="AM418" s="45"/>
      <c r="AN418" s="8"/>
    </row>
    <row r="419" spans="2:40" x14ac:dyDescent="0.25">
      <c r="B419" s="147"/>
      <c r="C419" s="89"/>
      <c r="D419" s="89"/>
      <c r="E419" s="102"/>
      <c r="F419" s="90"/>
      <c r="G419" s="72"/>
      <c r="H419" s="9"/>
      <c r="I419" s="74">
        <f t="shared" si="6"/>
        <v>-129000</v>
      </c>
      <c r="J419" s="35"/>
      <c r="K419" s="19"/>
      <c r="L419" s="19"/>
      <c r="M419" s="19"/>
      <c r="N419" s="19"/>
      <c r="O419" s="36"/>
      <c r="P419" s="2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5"/>
      <c r="AB419" s="15"/>
      <c r="AC419" s="15"/>
      <c r="AD419" s="15"/>
      <c r="AE419" s="11"/>
      <c r="AF419" s="11"/>
      <c r="AG419" s="11"/>
      <c r="AH419" s="11"/>
      <c r="AI419" s="11"/>
      <c r="AJ419" s="11"/>
      <c r="AK419" s="11"/>
      <c r="AL419" s="79"/>
      <c r="AM419" s="45"/>
      <c r="AN419" s="8"/>
    </row>
    <row r="420" spans="2:40" x14ac:dyDescent="0.25">
      <c r="B420" s="147"/>
      <c r="C420" s="89"/>
      <c r="D420" s="89"/>
      <c r="E420" s="102"/>
      <c r="F420" s="90"/>
      <c r="G420" s="72"/>
      <c r="H420" s="9"/>
      <c r="I420" s="74">
        <f t="shared" si="6"/>
        <v>-129000</v>
      </c>
      <c r="J420" s="35"/>
      <c r="K420" s="19"/>
      <c r="L420" s="19"/>
      <c r="M420" s="19"/>
      <c r="N420" s="19"/>
      <c r="O420" s="36"/>
      <c r="P420" s="2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5"/>
      <c r="AB420" s="15"/>
      <c r="AC420" s="15"/>
      <c r="AD420" s="15"/>
      <c r="AE420" s="11"/>
      <c r="AF420" s="11"/>
      <c r="AG420" s="11"/>
      <c r="AH420" s="11"/>
      <c r="AI420" s="11"/>
      <c r="AJ420" s="11"/>
      <c r="AK420" s="11"/>
      <c r="AL420" s="79"/>
      <c r="AM420" s="45"/>
      <c r="AN420" s="8"/>
    </row>
    <row r="421" spans="2:40" x14ac:dyDescent="0.25">
      <c r="B421" s="147"/>
      <c r="C421" s="89"/>
      <c r="D421" s="89"/>
      <c r="E421" s="102"/>
      <c r="F421" s="90"/>
      <c r="G421" s="72"/>
      <c r="H421" s="9"/>
      <c r="I421" s="74">
        <f t="shared" si="6"/>
        <v>-129000</v>
      </c>
      <c r="J421" s="35"/>
      <c r="K421" s="19"/>
      <c r="L421" s="19"/>
      <c r="M421" s="19"/>
      <c r="N421" s="19"/>
      <c r="O421" s="36"/>
      <c r="P421" s="2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5"/>
      <c r="AB421" s="15"/>
      <c r="AC421" s="15"/>
      <c r="AD421" s="15"/>
      <c r="AE421" s="11"/>
      <c r="AF421" s="11"/>
      <c r="AG421" s="11"/>
      <c r="AH421" s="11"/>
      <c r="AI421" s="11"/>
      <c r="AJ421" s="11"/>
      <c r="AK421" s="11"/>
      <c r="AL421" s="79"/>
      <c r="AM421" s="45"/>
      <c r="AN421" s="8"/>
    </row>
    <row r="422" spans="2:40" x14ac:dyDescent="0.25">
      <c r="B422" s="147"/>
      <c r="C422" s="89"/>
      <c r="D422" s="89"/>
      <c r="E422" s="102"/>
      <c r="F422" s="90"/>
      <c r="G422" s="72"/>
      <c r="H422" s="9"/>
      <c r="I422" s="74">
        <f t="shared" si="6"/>
        <v>-129000</v>
      </c>
      <c r="J422" s="35"/>
      <c r="K422" s="19"/>
      <c r="L422" s="19"/>
      <c r="M422" s="19"/>
      <c r="N422" s="19"/>
      <c r="O422" s="36"/>
      <c r="P422" s="2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5"/>
      <c r="AB422" s="15"/>
      <c r="AC422" s="15"/>
      <c r="AD422" s="15"/>
      <c r="AE422" s="11"/>
      <c r="AF422" s="11"/>
      <c r="AG422" s="11"/>
      <c r="AH422" s="11"/>
      <c r="AI422" s="11"/>
      <c r="AJ422" s="11"/>
      <c r="AK422" s="11"/>
      <c r="AL422" s="79"/>
      <c r="AM422" s="45"/>
      <c r="AN422" s="8"/>
    </row>
    <row r="423" spans="2:40" x14ac:dyDescent="0.25">
      <c r="B423" s="147"/>
      <c r="C423" s="89"/>
      <c r="D423" s="89"/>
      <c r="E423" s="102"/>
      <c r="F423" s="90"/>
      <c r="G423" s="72"/>
      <c r="H423" s="9"/>
      <c r="I423" s="74">
        <f t="shared" si="6"/>
        <v>-129000</v>
      </c>
      <c r="J423" s="35"/>
      <c r="K423" s="19"/>
      <c r="L423" s="19"/>
      <c r="M423" s="19"/>
      <c r="N423" s="19"/>
      <c r="O423" s="36"/>
      <c r="P423" s="2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5"/>
      <c r="AB423" s="15"/>
      <c r="AC423" s="15"/>
      <c r="AD423" s="15"/>
      <c r="AE423" s="11"/>
      <c r="AF423" s="11"/>
      <c r="AG423" s="11"/>
      <c r="AH423" s="11"/>
      <c r="AI423" s="11"/>
      <c r="AJ423" s="11"/>
      <c r="AK423" s="11"/>
      <c r="AL423" s="79"/>
      <c r="AM423" s="45"/>
      <c r="AN423" s="8"/>
    </row>
    <row r="424" spans="2:40" x14ac:dyDescent="0.25">
      <c r="B424" s="147"/>
      <c r="C424" s="89"/>
      <c r="D424" s="89"/>
      <c r="E424" s="102"/>
      <c r="F424" s="90"/>
      <c r="G424" s="72"/>
      <c r="H424" s="9"/>
      <c r="I424" s="74">
        <f t="shared" si="6"/>
        <v>-129000</v>
      </c>
      <c r="J424" s="35"/>
      <c r="K424" s="19"/>
      <c r="L424" s="19"/>
      <c r="M424" s="19"/>
      <c r="N424" s="19"/>
      <c r="O424" s="36"/>
      <c r="P424" s="22"/>
      <c r="Q424" s="11"/>
      <c r="R424" s="11"/>
      <c r="S424" s="11"/>
      <c r="T424" s="11"/>
      <c r="U424" s="14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79"/>
      <c r="AM424" s="45"/>
      <c r="AN424" s="8"/>
    </row>
    <row r="425" spans="2:40" x14ac:dyDescent="0.25">
      <c r="B425" s="147"/>
      <c r="C425" s="89"/>
      <c r="D425" s="89"/>
      <c r="E425" s="102"/>
      <c r="F425" s="90"/>
      <c r="G425" s="72"/>
      <c r="H425" s="9"/>
      <c r="I425" s="74">
        <f t="shared" si="6"/>
        <v>-129000</v>
      </c>
      <c r="J425" s="35"/>
      <c r="K425" s="19"/>
      <c r="L425" s="19"/>
      <c r="M425" s="19"/>
      <c r="N425" s="19"/>
      <c r="O425" s="36"/>
      <c r="P425" s="2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79"/>
      <c r="AM425" s="45"/>
      <c r="AN425" s="8"/>
    </row>
    <row r="426" spans="2:40" x14ac:dyDescent="0.25">
      <c r="B426" s="147"/>
      <c r="C426" s="89"/>
      <c r="D426" s="89"/>
      <c r="E426" s="102"/>
      <c r="F426" s="90"/>
      <c r="G426" s="72"/>
      <c r="H426" s="9"/>
      <c r="I426" s="74">
        <f t="shared" si="6"/>
        <v>-129000</v>
      </c>
      <c r="J426" s="35"/>
      <c r="K426" s="19"/>
      <c r="L426" s="19"/>
      <c r="M426" s="19"/>
      <c r="N426" s="19"/>
      <c r="O426" s="36"/>
      <c r="P426" s="2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79"/>
      <c r="AM426" s="45"/>
      <c r="AN426" s="8"/>
    </row>
    <row r="427" spans="2:40" x14ac:dyDescent="0.25">
      <c r="B427" s="147"/>
      <c r="C427" s="89"/>
      <c r="D427" s="89"/>
      <c r="E427" s="102"/>
      <c r="F427" s="90"/>
      <c r="G427" s="72"/>
      <c r="H427" s="9"/>
      <c r="I427" s="74">
        <f t="shared" si="6"/>
        <v>-129000</v>
      </c>
      <c r="J427" s="35"/>
      <c r="K427" s="19"/>
      <c r="L427" s="19"/>
      <c r="M427" s="19"/>
      <c r="N427" s="19"/>
      <c r="O427" s="36"/>
      <c r="P427" s="2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79"/>
      <c r="AM427" s="45"/>
      <c r="AN427" s="8"/>
    </row>
    <row r="428" spans="2:40" x14ac:dyDescent="0.25">
      <c r="B428" s="147"/>
      <c r="C428" s="89"/>
      <c r="D428" s="89"/>
      <c r="E428" s="102"/>
      <c r="F428" s="90"/>
      <c r="G428" s="72"/>
      <c r="H428" s="9"/>
      <c r="I428" s="74">
        <f t="shared" si="6"/>
        <v>-129000</v>
      </c>
      <c r="J428" s="35"/>
      <c r="K428" s="19"/>
      <c r="L428" s="19"/>
      <c r="M428" s="19"/>
      <c r="N428" s="19"/>
      <c r="O428" s="36"/>
      <c r="P428" s="2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79"/>
      <c r="AM428" s="45"/>
      <c r="AN428" s="8"/>
    </row>
    <row r="429" spans="2:40" x14ac:dyDescent="0.25">
      <c r="B429" s="147"/>
      <c r="C429" s="89"/>
      <c r="D429" s="89"/>
      <c r="E429" s="102"/>
      <c r="F429" s="90"/>
      <c r="G429" s="72"/>
      <c r="H429" s="9"/>
      <c r="I429" s="74">
        <f t="shared" si="6"/>
        <v>-129000</v>
      </c>
      <c r="J429" s="35"/>
      <c r="K429" s="19"/>
      <c r="L429" s="19"/>
      <c r="M429" s="19"/>
      <c r="N429" s="19"/>
      <c r="O429" s="36"/>
      <c r="P429" s="2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79"/>
      <c r="AM429" s="45"/>
      <c r="AN429" s="8"/>
    </row>
    <row r="430" spans="2:40" x14ac:dyDescent="0.25">
      <c r="B430" s="147"/>
      <c r="C430" s="89"/>
      <c r="D430" s="89"/>
      <c r="E430" s="102"/>
      <c r="F430" s="90"/>
      <c r="G430" s="72"/>
      <c r="H430" s="9"/>
      <c r="I430" s="74">
        <f t="shared" si="6"/>
        <v>-129000</v>
      </c>
      <c r="J430" s="35"/>
      <c r="K430" s="19"/>
      <c r="L430" s="19"/>
      <c r="M430" s="19"/>
      <c r="N430" s="19"/>
      <c r="O430" s="36"/>
      <c r="P430" s="2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79"/>
      <c r="AM430" s="45"/>
      <c r="AN430" s="8"/>
    </row>
    <row r="431" spans="2:40" x14ac:dyDescent="0.25">
      <c r="B431" s="147"/>
      <c r="C431" s="89"/>
      <c r="D431" s="89"/>
      <c r="E431" s="102"/>
      <c r="F431" s="90"/>
      <c r="G431" s="72"/>
      <c r="H431" s="9"/>
      <c r="I431" s="74">
        <f t="shared" si="6"/>
        <v>-129000</v>
      </c>
      <c r="J431" s="35"/>
      <c r="K431" s="19"/>
      <c r="L431" s="19"/>
      <c r="M431" s="19"/>
      <c r="N431" s="19"/>
      <c r="O431" s="36"/>
      <c r="P431" s="2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79"/>
      <c r="AM431" s="45"/>
      <c r="AN431" s="8"/>
    </row>
    <row r="432" spans="2:40" x14ac:dyDescent="0.25">
      <c r="B432" s="147"/>
      <c r="C432" s="89"/>
      <c r="D432" s="89"/>
      <c r="E432" s="102"/>
      <c r="F432" s="90"/>
      <c r="G432" s="72"/>
      <c r="H432" s="9"/>
      <c r="I432" s="74">
        <f t="shared" si="6"/>
        <v>-129000</v>
      </c>
      <c r="J432" s="35"/>
      <c r="K432" s="19"/>
      <c r="L432" s="19"/>
      <c r="M432" s="19"/>
      <c r="N432" s="19"/>
      <c r="O432" s="36"/>
      <c r="P432" s="2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79"/>
      <c r="AM432" s="45"/>
      <c r="AN432" s="8"/>
    </row>
    <row r="433" spans="2:40" x14ac:dyDescent="0.25">
      <c r="B433" s="147"/>
      <c r="C433" s="89"/>
      <c r="D433" s="89"/>
      <c r="E433" s="102"/>
      <c r="F433" s="90"/>
      <c r="G433" s="72"/>
      <c r="H433" s="9"/>
      <c r="I433" s="74">
        <f t="shared" si="6"/>
        <v>-129000</v>
      </c>
      <c r="J433" s="35"/>
      <c r="K433" s="19"/>
      <c r="L433" s="19"/>
      <c r="M433" s="19"/>
      <c r="N433" s="19"/>
      <c r="O433" s="36"/>
      <c r="P433" s="22"/>
      <c r="Q433" s="11"/>
      <c r="R433" s="14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79"/>
      <c r="AM433" s="45"/>
      <c r="AN433" s="8"/>
    </row>
    <row r="434" spans="2:40" x14ac:dyDescent="0.25">
      <c r="B434" s="147"/>
      <c r="C434" s="89"/>
      <c r="D434" s="89"/>
      <c r="E434" s="102"/>
      <c r="F434" s="90"/>
      <c r="G434" s="72"/>
      <c r="H434" s="9"/>
      <c r="I434" s="74">
        <f t="shared" si="6"/>
        <v>-129000</v>
      </c>
      <c r="J434" s="35"/>
      <c r="K434" s="19"/>
      <c r="L434" s="19"/>
      <c r="M434" s="19"/>
      <c r="N434" s="19"/>
      <c r="O434" s="36"/>
      <c r="P434" s="22"/>
      <c r="Q434" s="14"/>
      <c r="R434" s="14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79"/>
      <c r="AM434" s="45"/>
      <c r="AN434" s="8"/>
    </row>
    <row r="435" spans="2:40" x14ac:dyDescent="0.25">
      <c r="B435" s="147"/>
      <c r="C435" s="89"/>
      <c r="D435" s="89"/>
      <c r="E435" s="102"/>
      <c r="F435" s="90"/>
      <c r="G435" s="72"/>
      <c r="H435" s="9"/>
      <c r="I435" s="74">
        <f t="shared" si="6"/>
        <v>-129000</v>
      </c>
      <c r="J435" s="35"/>
      <c r="K435" s="19"/>
      <c r="L435" s="19"/>
      <c r="M435" s="19"/>
      <c r="N435" s="19"/>
      <c r="O435" s="36"/>
      <c r="P435" s="2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79"/>
      <c r="AM435" s="45"/>
      <c r="AN435" s="8"/>
    </row>
    <row r="436" spans="2:40" x14ac:dyDescent="0.25">
      <c r="B436" s="147"/>
      <c r="C436" s="89"/>
      <c r="D436" s="89"/>
      <c r="E436" s="102"/>
      <c r="F436" s="90"/>
      <c r="G436" s="72"/>
      <c r="H436" s="9"/>
      <c r="I436" s="74">
        <f t="shared" si="6"/>
        <v>-129000</v>
      </c>
      <c r="J436" s="35"/>
      <c r="K436" s="19"/>
      <c r="L436" s="19"/>
      <c r="M436" s="19"/>
      <c r="N436" s="19"/>
      <c r="O436" s="36"/>
      <c r="P436" s="22"/>
      <c r="Q436" s="11"/>
      <c r="R436" s="11"/>
      <c r="S436" s="11"/>
      <c r="T436" s="11"/>
      <c r="U436" s="11"/>
      <c r="V436" s="11"/>
      <c r="W436" s="14"/>
      <c r="X436" s="14"/>
      <c r="Y436" s="15"/>
      <c r="Z436" s="11"/>
      <c r="AA436" s="11"/>
      <c r="AB436" s="11"/>
      <c r="AC436" s="11"/>
      <c r="AD436" s="11"/>
      <c r="AE436" s="11"/>
      <c r="AF436" s="11"/>
      <c r="AG436" s="15"/>
      <c r="AH436" s="11"/>
      <c r="AI436" s="11"/>
      <c r="AJ436" s="11"/>
      <c r="AK436" s="11"/>
      <c r="AL436" s="79"/>
      <c r="AM436" s="45"/>
      <c r="AN436" s="8"/>
    </row>
    <row r="437" spans="2:40" x14ac:dyDescent="0.25">
      <c r="B437" s="147"/>
      <c r="C437" s="89"/>
      <c r="D437" s="89"/>
      <c r="E437" s="102"/>
      <c r="F437" s="90"/>
      <c r="G437" s="72"/>
      <c r="H437" s="9"/>
      <c r="I437" s="74">
        <f t="shared" si="6"/>
        <v>-129000</v>
      </c>
      <c r="J437" s="35"/>
      <c r="K437" s="19"/>
      <c r="L437" s="19"/>
      <c r="M437" s="19"/>
      <c r="N437" s="19"/>
      <c r="O437" s="36"/>
      <c r="P437" s="3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5"/>
      <c r="AH437" s="11"/>
      <c r="AI437" s="11"/>
      <c r="AJ437" s="11"/>
      <c r="AK437" s="11"/>
      <c r="AL437" s="79"/>
      <c r="AM437" s="45"/>
      <c r="AN437" s="8"/>
    </row>
    <row r="438" spans="2:40" x14ac:dyDescent="0.25">
      <c r="B438" s="147"/>
      <c r="C438" s="89"/>
      <c r="D438" s="89"/>
      <c r="E438" s="102"/>
      <c r="F438" s="90"/>
      <c r="G438" s="72"/>
      <c r="H438" s="9"/>
      <c r="I438" s="74">
        <f t="shared" si="6"/>
        <v>-129000</v>
      </c>
      <c r="J438" s="35"/>
      <c r="K438" s="19"/>
      <c r="L438" s="19"/>
      <c r="M438" s="19"/>
      <c r="N438" s="19"/>
      <c r="O438" s="36"/>
      <c r="P438" s="3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5"/>
      <c r="AH438" s="11"/>
      <c r="AI438" s="11"/>
      <c r="AJ438" s="11"/>
      <c r="AK438" s="11"/>
      <c r="AL438" s="79"/>
      <c r="AM438" s="45"/>
      <c r="AN438" s="8"/>
    </row>
    <row r="439" spans="2:40" x14ac:dyDescent="0.25">
      <c r="B439" s="147"/>
      <c r="C439" s="89"/>
      <c r="D439" s="89"/>
      <c r="E439" s="102"/>
      <c r="F439" s="90"/>
      <c r="G439" s="72"/>
      <c r="H439" s="9"/>
      <c r="I439" s="74">
        <f t="shared" si="6"/>
        <v>-129000</v>
      </c>
      <c r="J439" s="35"/>
      <c r="K439" s="19"/>
      <c r="L439" s="19"/>
      <c r="M439" s="19"/>
      <c r="N439" s="19"/>
      <c r="O439" s="36"/>
      <c r="P439" s="22"/>
      <c r="Q439" s="11"/>
      <c r="R439" s="14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5"/>
      <c r="AH439" s="11"/>
      <c r="AI439" s="11"/>
      <c r="AJ439" s="11"/>
      <c r="AK439" s="11"/>
      <c r="AL439" s="79"/>
      <c r="AM439" s="45"/>
      <c r="AN439" s="8"/>
    </row>
    <row r="440" spans="2:40" x14ac:dyDescent="0.25">
      <c r="B440" s="147"/>
      <c r="C440" s="89"/>
      <c r="D440" s="89"/>
      <c r="E440" s="102"/>
      <c r="F440" s="90"/>
      <c r="G440" s="72"/>
      <c r="H440" s="9"/>
      <c r="I440" s="74">
        <f t="shared" si="6"/>
        <v>-129000</v>
      </c>
      <c r="J440" s="35"/>
      <c r="K440" s="19"/>
      <c r="L440" s="19"/>
      <c r="M440" s="19"/>
      <c r="N440" s="19"/>
      <c r="O440" s="36"/>
      <c r="P440" s="22"/>
      <c r="Q440" s="11"/>
      <c r="R440" s="14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79"/>
      <c r="AM440" s="45"/>
      <c r="AN440" s="8"/>
    </row>
    <row r="441" spans="2:40" x14ac:dyDescent="0.25">
      <c r="B441" s="147"/>
      <c r="C441" s="89"/>
      <c r="D441" s="89"/>
      <c r="E441" s="102"/>
      <c r="F441" s="90"/>
      <c r="G441" s="72"/>
      <c r="H441" s="9"/>
      <c r="I441" s="74">
        <f t="shared" si="6"/>
        <v>-129000</v>
      </c>
      <c r="J441" s="35"/>
      <c r="K441" s="19"/>
      <c r="L441" s="19"/>
      <c r="M441" s="19"/>
      <c r="N441" s="19"/>
      <c r="O441" s="36"/>
      <c r="P441" s="22"/>
      <c r="Q441" s="11"/>
      <c r="R441" s="14"/>
      <c r="S441" s="11"/>
      <c r="T441" s="11"/>
      <c r="U441" s="11"/>
      <c r="V441" s="11"/>
      <c r="W441" s="11"/>
      <c r="X441" s="11"/>
      <c r="Y441" s="11"/>
      <c r="Z441" s="11"/>
      <c r="AA441" s="14"/>
      <c r="AB441" s="14"/>
      <c r="AC441" s="14"/>
      <c r="AD441" s="14"/>
      <c r="AE441" s="11"/>
      <c r="AF441" s="11"/>
      <c r="AG441" s="11"/>
      <c r="AH441" s="11"/>
      <c r="AI441" s="11"/>
      <c r="AJ441" s="11"/>
      <c r="AK441" s="11"/>
      <c r="AL441" s="79"/>
      <c r="AM441" s="45"/>
      <c r="AN441" s="8"/>
    </row>
    <row r="442" spans="2:40" x14ac:dyDescent="0.25">
      <c r="B442" s="147"/>
      <c r="C442" s="89"/>
      <c r="D442" s="89"/>
      <c r="E442" s="102"/>
      <c r="F442" s="90"/>
      <c r="G442" s="72"/>
      <c r="H442" s="9"/>
      <c r="I442" s="74">
        <f t="shared" si="6"/>
        <v>-129000</v>
      </c>
      <c r="J442" s="35"/>
      <c r="K442" s="19"/>
      <c r="L442" s="19"/>
      <c r="M442" s="19"/>
      <c r="N442" s="19"/>
      <c r="O442" s="36"/>
      <c r="P442" s="2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79"/>
      <c r="AM442" s="45"/>
      <c r="AN442" s="8"/>
    </row>
    <row r="443" spans="2:40" x14ac:dyDescent="0.25">
      <c r="B443" s="147"/>
      <c r="C443" s="89"/>
      <c r="D443" s="89"/>
      <c r="E443" s="102"/>
      <c r="F443" s="90"/>
      <c r="G443" s="72"/>
      <c r="H443" s="9"/>
      <c r="I443" s="74">
        <f t="shared" si="6"/>
        <v>-129000</v>
      </c>
      <c r="J443" s="35"/>
      <c r="K443" s="19"/>
      <c r="L443" s="19"/>
      <c r="M443" s="19"/>
      <c r="N443" s="19"/>
      <c r="O443" s="36"/>
      <c r="P443" s="2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79"/>
      <c r="AM443" s="45"/>
      <c r="AN443" s="8"/>
    </row>
    <row r="444" spans="2:40" x14ac:dyDescent="0.25">
      <c r="B444" s="147"/>
      <c r="C444" s="89"/>
      <c r="D444" s="89"/>
      <c r="E444" s="102"/>
      <c r="F444" s="90"/>
      <c r="G444" s="72"/>
      <c r="H444" s="9"/>
      <c r="I444" s="74">
        <f t="shared" si="6"/>
        <v>-129000</v>
      </c>
      <c r="J444" s="35"/>
      <c r="K444" s="19"/>
      <c r="L444" s="19"/>
      <c r="M444" s="19"/>
      <c r="N444" s="19"/>
      <c r="O444" s="36"/>
      <c r="P444" s="22"/>
      <c r="Q444" s="14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79"/>
      <c r="AM444" s="45"/>
      <c r="AN444" s="8"/>
    </row>
    <row r="445" spans="2:40" x14ac:dyDescent="0.25">
      <c r="B445" s="147"/>
      <c r="C445" s="89"/>
      <c r="D445" s="89"/>
      <c r="E445" s="102"/>
      <c r="F445" s="90"/>
      <c r="G445" s="72"/>
      <c r="H445" s="9"/>
      <c r="I445" s="74">
        <f t="shared" si="6"/>
        <v>-129000</v>
      </c>
      <c r="J445" s="35"/>
      <c r="K445" s="19"/>
      <c r="L445" s="19"/>
      <c r="M445" s="19"/>
      <c r="N445" s="19"/>
      <c r="O445" s="36"/>
      <c r="P445" s="22"/>
      <c r="Q445" s="14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79"/>
      <c r="AM445" s="45"/>
      <c r="AN445" s="8"/>
    </row>
    <row r="446" spans="2:40" x14ac:dyDescent="0.25">
      <c r="B446" s="147"/>
      <c r="C446" s="89"/>
      <c r="D446" s="89"/>
      <c r="E446" s="102"/>
      <c r="F446" s="90"/>
      <c r="G446" s="72"/>
      <c r="H446" s="9"/>
      <c r="I446" s="74">
        <f t="shared" si="6"/>
        <v>-129000</v>
      </c>
      <c r="J446" s="35"/>
      <c r="K446" s="19"/>
      <c r="L446" s="19"/>
      <c r="M446" s="19"/>
      <c r="N446" s="19"/>
      <c r="O446" s="36"/>
      <c r="P446" s="2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79"/>
      <c r="AM446" s="45"/>
      <c r="AN446" s="8"/>
    </row>
    <row r="447" spans="2:40" x14ac:dyDescent="0.25">
      <c r="B447" s="147"/>
      <c r="C447" s="89"/>
      <c r="D447" s="89"/>
      <c r="E447" s="102"/>
      <c r="F447" s="90"/>
      <c r="G447" s="72"/>
      <c r="H447" s="9"/>
      <c r="I447" s="74">
        <f t="shared" si="6"/>
        <v>-129000</v>
      </c>
      <c r="J447" s="35"/>
      <c r="K447" s="19"/>
      <c r="L447" s="19"/>
      <c r="M447" s="19"/>
      <c r="N447" s="19"/>
      <c r="O447" s="36"/>
      <c r="P447" s="2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79"/>
      <c r="AM447" s="45"/>
      <c r="AN447" s="8"/>
    </row>
    <row r="448" spans="2:40" x14ac:dyDescent="0.25">
      <c r="B448" s="147"/>
      <c r="C448" s="89"/>
      <c r="D448" s="89"/>
      <c r="E448" s="102"/>
      <c r="F448" s="90"/>
      <c r="G448" s="72"/>
      <c r="H448" s="9"/>
      <c r="I448" s="74">
        <f t="shared" si="6"/>
        <v>-129000</v>
      </c>
      <c r="J448" s="35"/>
      <c r="K448" s="19"/>
      <c r="L448" s="19"/>
      <c r="M448" s="19"/>
      <c r="N448" s="19"/>
      <c r="O448" s="36"/>
      <c r="P448" s="2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79"/>
      <c r="AM448" s="45"/>
      <c r="AN448" s="8"/>
    </row>
    <row r="449" spans="2:40" x14ac:dyDescent="0.25">
      <c r="B449" s="147"/>
      <c r="C449" s="89"/>
      <c r="D449" s="89"/>
      <c r="E449" s="102"/>
      <c r="F449" s="90"/>
      <c r="G449" s="72"/>
      <c r="H449" s="9"/>
      <c r="I449" s="74">
        <f t="shared" si="6"/>
        <v>-129000</v>
      </c>
      <c r="J449" s="35"/>
      <c r="K449" s="19"/>
      <c r="L449" s="19"/>
      <c r="M449" s="19"/>
      <c r="N449" s="19"/>
      <c r="O449" s="36"/>
      <c r="P449" s="2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79"/>
      <c r="AM449" s="45"/>
      <c r="AN449" s="8"/>
    </row>
    <row r="450" spans="2:40" x14ac:dyDescent="0.25">
      <c r="B450" s="147"/>
      <c r="C450" s="89"/>
      <c r="D450" s="89"/>
      <c r="E450" s="102"/>
      <c r="F450" s="90"/>
      <c r="G450" s="72"/>
      <c r="H450" s="9"/>
      <c r="I450" s="74">
        <f t="shared" si="6"/>
        <v>-129000</v>
      </c>
      <c r="J450" s="35"/>
      <c r="K450" s="19"/>
      <c r="L450" s="19"/>
      <c r="M450" s="19"/>
      <c r="N450" s="19"/>
      <c r="O450" s="36"/>
      <c r="P450" s="2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79"/>
      <c r="AM450" s="45"/>
      <c r="AN450" s="8"/>
    </row>
    <row r="451" spans="2:40" x14ac:dyDescent="0.25">
      <c r="B451" s="147"/>
      <c r="C451" s="89"/>
      <c r="D451" s="89"/>
      <c r="E451" s="102"/>
      <c r="F451" s="90"/>
      <c r="G451" s="72"/>
      <c r="H451" s="9"/>
      <c r="I451" s="74">
        <f t="shared" si="6"/>
        <v>-129000</v>
      </c>
      <c r="J451" s="35"/>
      <c r="K451" s="19"/>
      <c r="L451" s="19"/>
      <c r="M451" s="19"/>
      <c r="N451" s="19"/>
      <c r="O451" s="36"/>
      <c r="P451" s="2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79"/>
      <c r="AM451" s="45"/>
      <c r="AN451" s="8"/>
    </row>
    <row r="452" spans="2:40" x14ac:dyDescent="0.25">
      <c r="B452" s="147"/>
      <c r="C452" s="89"/>
      <c r="D452" s="89"/>
      <c r="E452" s="102"/>
      <c r="F452" s="90"/>
      <c r="G452" s="72"/>
      <c r="H452" s="9"/>
      <c r="I452" s="74">
        <f t="shared" si="6"/>
        <v>-129000</v>
      </c>
      <c r="J452" s="35"/>
      <c r="K452" s="19"/>
      <c r="L452" s="19"/>
      <c r="M452" s="19"/>
      <c r="N452" s="19"/>
      <c r="O452" s="36"/>
      <c r="P452" s="22"/>
      <c r="Q452" s="11"/>
      <c r="R452" s="14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79"/>
      <c r="AM452" s="45"/>
      <c r="AN452" s="8"/>
    </row>
    <row r="453" spans="2:40" x14ac:dyDescent="0.25">
      <c r="B453" s="147"/>
      <c r="C453" s="89"/>
      <c r="D453" s="89"/>
      <c r="E453" s="102"/>
      <c r="F453" s="90"/>
      <c r="G453" s="72"/>
      <c r="H453" s="9"/>
      <c r="I453" s="74">
        <f t="shared" si="6"/>
        <v>-129000</v>
      </c>
      <c r="J453" s="35"/>
      <c r="K453" s="19"/>
      <c r="L453" s="19"/>
      <c r="M453" s="19"/>
      <c r="N453" s="19"/>
      <c r="O453" s="36"/>
      <c r="P453" s="22"/>
      <c r="Q453" s="11"/>
      <c r="R453" s="11"/>
      <c r="S453" s="11"/>
      <c r="T453" s="11"/>
      <c r="U453" s="14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79"/>
      <c r="AM453" s="45"/>
      <c r="AN453" s="8"/>
    </row>
    <row r="454" spans="2:40" x14ac:dyDescent="0.25">
      <c r="B454" s="147"/>
      <c r="C454" s="89"/>
      <c r="D454" s="89"/>
      <c r="E454" s="102"/>
      <c r="F454" s="90"/>
      <c r="G454" s="72"/>
      <c r="H454" s="9"/>
      <c r="I454" s="74">
        <f t="shared" si="6"/>
        <v>-129000</v>
      </c>
      <c r="J454" s="35"/>
      <c r="K454" s="19"/>
      <c r="L454" s="19"/>
      <c r="M454" s="19"/>
      <c r="N454" s="19"/>
      <c r="O454" s="36"/>
      <c r="P454" s="22"/>
      <c r="Q454" s="11"/>
      <c r="R454" s="11"/>
      <c r="S454" s="11"/>
      <c r="T454" s="11"/>
      <c r="U454" s="14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5"/>
      <c r="AJ454" s="15"/>
      <c r="AK454" s="15"/>
      <c r="AL454" s="82"/>
      <c r="AM454" s="45"/>
      <c r="AN454" s="8"/>
    </row>
    <row r="455" spans="2:40" x14ac:dyDescent="0.25">
      <c r="B455" s="147"/>
      <c r="C455" s="89"/>
      <c r="D455" s="89"/>
      <c r="E455" s="102"/>
      <c r="F455" s="90"/>
      <c r="G455" s="72"/>
      <c r="H455" s="9"/>
      <c r="I455" s="74">
        <f t="shared" si="6"/>
        <v>-129000</v>
      </c>
      <c r="J455" s="35"/>
      <c r="K455" s="19"/>
      <c r="L455" s="19"/>
      <c r="M455" s="19"/>
      <c r="N455" s="19"/>
      <c r="O455" s="36"/>
      <c r="P455" s="2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79"/>
      <c r="AM455" s="45"/>
      <c r="AN455" s="8"/>
    </row>
    <row r="456" spans="2:40" x14ac:dyDescent="0.25">
      <c r="B456" s="147"/>
      <c r="C456" s="89"/>
      <c r="D456" s="89"/>
      <c r="E456" s="102"/>
      <c r="F456" s="90"/>
      <c r="G456" s="72"/>
      <c r="H456" s="9"/>
      <c r="I456" s="74">
        <f t="shared" si="6"/>
        <v>-129000</v>
      </c>
      <c r="J456" s="35"/>
      <c r="K456" s="19"/>
      <c r="L456" s="19"/>
      <c r="M456" s="19"/>
      <c r="N456" s="19"/>
      <c r="O456" s="36"/>
      <c r="P456" s="2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79"/>
      <c r="AM456" s="45"/>
      <c r="AN456" s="8"/>
    </row>
    <row r="457" spans="2:40" x14ac:dyDescent="0.25">
      <c r="B457" s="147"/>
      <c r="C457" s="89"/>
      <c r="D457" s="89"/>
      <c r="E457" s="102"/>
      <c r="F457" s="90"/>
      <c r="G457" s="72"/>
      <c r="H457" s="9"/>
      <c r="I457" s="74">
        <f t="shared" si="6"/>
        <v>-129000</v>
      </c>
      <c r="J457" s="35"/>
      <c r="K457" s="19"/>
      <c r="L457" s="19"/>
      <c r="M457" s="19"/>
      <c r="N457" s="19"/>
      <c r="O457" s="36"/>
      <c r="P457" s="2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5"/>
      <c r="AJ457" s="15"/>
      <c r="AK457" s="15"/>
      <c r="AL457" s="82"/>
      <c r="AM457" s="45"/>
      <c r="AN457" s="8"/>
    </row>
    <row r="458" spans="2:40" x14ac:dyDescent="0.25">
      <c r="B458" s="147"/>
      <c r="C458" s="89"/>
      <c r="D458" s="89"/>
      <c r="E458" s="102"/>
      <c r="F458" s="90"/>
      <c r="G458" s="72"/>
      <c r="H458" s="9"/>
      <c r="I458" s="74">
        <f t="shared" si="6"/>
        <v>-129000</v>
      </c>
      <c r="J458" s="35"/>
      <c r="K458" s="19"/>
      <c r="L458" s="19"/>
      <c r="M458" s="19"/>
      <c r="N458" s="19"/>
      <c r="O458" s="36"/>
      <c r="P458" s="22"/>
      <c r="Q458" s="15"/>
      <c r="R458" s="11"/>
      <c r="S458" s="11"/>
      <c r="T458" s="11"/>
      <c r="U458" s="11"/>
      <c r="V458" s="11"/>
      <c r="W458" s="14"/>
      <c r="X458" s="14"/>
      <c r="Y458" s="15"/>
      <c r="Z458" s="11"/>
      <c r="AA458" s="11"/>
      <c r="AB458" s="11"/>
      <c r="AC458" s="11"/>
      <c r="AD458" s="11"/>
      <c r="AE458" s="11"/>
      <c r="AF458" s="11"/>
      <c r="AG458" s="11"/>
      <c r="AH458" s="11"/>
      <c r="AI458" s="14"/>
      <c r="AJ458" s="14"/>
      <c r="AK458" s="14"/>
      <c r="AL458" s="80"/>
      <c r="AM458" s="45"/>
      <c r="AN458" s="8"/>
    </row>
    <row r="459" spans="2:40" x14ac:dyDescent="0.25">
      <c r="B459" s="147"/>
      <c r="C459" s="89"/>
      <c r="D459" s="89"/>
      <c r="E459" s="102"/>
      <c r="F459" s="90"/>
      <c r="G459" s="72"/>
      <c r="H459" s="9"/>
      <c r="I459" s="74">
        <f t="shared" si="6"/>
        <v>-129000</v>
      </c>
      <c r="J459" s="35"/>
      <c r="K459" s="19"/>
      <c r="L459" s="19"/>
      <c r="M459" s="19"/>
      <c r="N459" s="19"/>
      <c r="O459" s="36"/>
      <c r="P459" s="22"/>
      <c r="Q459" s="11"/>
      <c r="R459" s="14"/>
      <c r="S459" s="11"/>
      <c r="T459" s="11"/>
      <c r="U459" s="11"/>
      <c r="V459" s="11"/>
      <c r="W459" s="11"/>
      <c r="X459" s="11"/>
      <c r="Y459" s="15"/>
      <c r="Z459" s="11"/>
      <c r="AA459" s="14"/>
      <c r="AB459" s="14"/>
      <c r="AC459" s="14"/>
      <c r="AD459" s="14"/>
      <c r="AE459" s="11"/>
      <c r="AF459" s="11"/>
      <c r="AG459" s="11"/>
      <c r="AH459" s="11"/>
      <c r="AI459" s="14"/>
      <c r="AJ459" s="14"/>
      <c r="AK459" s="14"/>
      <c r="AL459" s="80"/>
      <c r="AM459" s="45"/>
      <c r="AN459" s="8"/>
    </row>
    <row r="460" spans="2:40" x14ac:dyDescent="0.25">
      <c r="B460" s="147"/>
      <c r="C460" s="89"/>
      <c r="D460" s="89"/>
      <c r="E460" s="102"/>
      <c r="F460" s="90"/>
      <c r="G460" s="72"/>
      <c r="H460" s="9"/>
      <c r="I460" s="74">
        <f t="shared" si="6"/>
        <v>-129000</v>
      </c>
      <c r="J460" s="35"/>
      <c r="K460" s="19"/>
      <c r="L460" s="19"/>
      <c r="M460" s="19"/>
      <c r="N460" s="19"/>
      <c r="O460" s="36"/>
      <c r="P460" s="22"/>
      <c r="Q460" s="14"/>
      <c r="R460" s="14"/>
      <c r="S460" s="11"/>
      <c r="T460" s="11"/>
      <c r="U460" s="11"/>
      <c r="V460" s="11"/>
      <c r="W460" s="11"/>
      <c r="X460" s="11"/>
      <c r="Y460" s="11"/>
      <c r="Z460" s="11"/>
      <c r="AA460" s="14"/>
      <c r="AB460" s="14"/>
      <c r="AC460" s="14"/>
      <c r="AD460" s="14"/>
      <c r="AE460" s="11"/>
      <c r="AF460" s="11"/>
      <c r="AG460" s="11"/>
      <c r="AH460" s="11"/>
      <c r="AI460" s="14"/>
      <c r="AJ460" s="14"/>
      <c r="AK460" s="14"/>
      <c r="AL460" s="80"/>
      <c r="AM460" s="45"/>
      <c r="AN460" s="8"/>
    </row>
    <row r="461" spans="2:40" x14ac:dyDescent="0.25">
      <c r="B461" s="147"/>
      <c r="C461" s="89"/>
      <c r="D461" s="89"/>
      <c r="E461" s="102"/>
      <c r="F461" s="90"/>
      <c r="G461" s="72"/>
      <c r="H461" s="9"/>
      <c r="I461" s="74">
        <f t="shared" si="6"/>
        <v>-129000</v>
      </c>
      <c r="J461" s="35"/>
      <c r="K461" s="19"/>
      <c r="L461" s="19"/>
      <c r="M461" s="19"/>
      <c r="N461" s="19"/>
      <c r="O461" s="36"/>
      <c r="P461" s="2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4"/>
      <c r="AJ461" s="14"/>
      <c r="AK461" s="14"/>
      <c r="AL461" s="80"/>
      <c r="AM461" s="45"/>
      <c r="AN461" s="8"/>
    </row>
    <row r="462" spans="2:40" x14ac:dyDescent="0.25">
      <c r="B462" s="147"/>
      <c r="C462" s="89"/>
      <c r="D462" s="89"/>
      <c r="E462" s="102"/>
      <c r="F462" s="90"/>
      <c r="G462" s="72"/>
      <c r="H462" s="9"/>
      <c r="I462" s="74">
        <f t="shared" si="6"/>
        <v>-129000</v>
      </c>
      <c r="J462" s="35"/>
      <c r="K462" s="19"/>
      <c r="L462" s="19"/>
      <c r="M462" s="19"/>
      <c r="N462" s="19"/>
      <c r="O462" s="36"/>
      <c r="P462" s="2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5"/>
      <c r="AJ462" s="15"/>
      <c r="AK462" s="15"/>
      <c r="AL462" s="82"/>
      <c r="AM462" s="45"/>
      <c r="AN462" s="8"/>
    </row>
    <row r="463" spans="2:40" x14ac:dyDescent="0.25">
      <c r="B463" s="147"/>
      <c r="C463" s="89"/>
      <c r="D463" s="89"/>
      <c r="E463" s="102"/>
      <c r="F463" s="90"/>
      <c r="G463" s="72"/>
      <c r="H463" s="9"/>
      <c r="I463" s="74">
        <f t="shared" si="6"/>
        <v>-129000</v>
      </c>
      <c r="J463" s="35"/>
      <c r="K463" s="19"/>
      <c r="L463" s="19"/>
      <c r="M463" s="19"/>
      <c r="N463" s="19"/>
      <c r="O463" s="36"/>
      <c r="P463" s="22"/>
      <c r="Q463" s="14"/>
      <c r="R463" s="14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5"/>
      <c r="AD463" s="11"/>
      <c r="AE463" s="11"/>
      <c r="AF463" s="11"/>
      <c r="AG463" s="11"/>
      <c r="AH463" s="11"/>
      <c r="AI463" s="11"/>
      <c r="AJ463" s="11"/>
      <c r="AK463" s="11"/>
      <c r="AL463" s="79"/>
      <c r="AM463" s="45"/>
      <c r="AN463" s="8"/>
    </row>
    <row r="464" spans="2:40" x14ac:dyDescent="0.25">
      <c r="B464" s="147"/>
      <c r="C464" s="89"/>
      <c r="D464" s="89"/>
      <c r="E464" s="102"/>
      <c r="F464" s="90"/>
      <c r="G464" s="72"/>
      <c r="H464" s="9"/>
      <c r="I464" s="74">
        <f t="shared" si="6"/>
        <v>-129000</v>
      </c>
      <c r="J464" s="35"/>
      <c r="K464" s="19"/>
      <c r="L464" s="19"/>
      <c r="M464" s="19"/>
      <c r="N464" s="19"/>
      <c r="O464" s="36"/>
      <c r="P464" s="22"/>
      <c r="Q464" s="14"/>
      <c r="R464" s="14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5"/>
      <c r="AD464" s="11"/>
      <c r="AE464" s="11"/>
      <c r="AF464" s="11"/>
      <c r="AG464" s="11"/>
      <c r="AH464" s="11"/>
      <c r="AI464" s="11"/>
      <c r="AJ464" s="11"/>
      <c r="AK464" s="11"/>
      <c r="AL464" s="79"/>
      <c r="AM464" s="45"/>
      <c r="AN464" s="8"/>
    </row>
    <row r="465" spans="2:40" x14ac:dyDescent="0.25">
      <c r="B465" s="147"/>
      <c r="C465" s="89"/>
      <c r="D465" s="89"/>
      <c r="E465" s="102"/>
      <c r="F465" s="90"/>
      <c r="G465" s="72"/>
      <c r="H465" s="9"/>
      <c r="I465" s="74">
        <f t="shared" si="6"/>
        <v>-129000</v>
      </c>
      <c r="J465" s="35"/>
      <c r="K465" s="19"/>
      <c r="L465" s="19"/>
      <c r="M465" s="19"/>
      <c r="N465" s="19"/>
      <c r="O465" s="36"/>
      <c r="P465" s="2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5"/>
      <c r="AI465" s="15"/>
      <c r="AJ465" s="15"/>
      <c r="AK465" s="15"/>
      <c r="AL465" s="82"/>
      <c r="AM465" s="45"/>
      <c r="AN465" s="8"/>
    </row>
    <row r="466" spans="2:40" x14ac:dyDescent="0.25">
      <c r="B466" s="147"/>
      <c r="C466" s="89"/>
      <c r="D466" s="89"/>
      <c r="E466" s="102"/>
      <c r="F466" s="90"/>
      <c r="G466" s="72"/>
      <c r="H466" s="9"/>
      <c r="I466" s="74">
        <f t="shared" ref="I466:I529" si="7">I465+G466-H466</f>
        <v>-129000</v>
      </c>
      <c r="J466" s="35"/>
      <c r="K466" s="19"/>
      <c r="L466" s="19"/>
      <c r="M466" s="19"/>
      <c r="N466" s="19"/>
      <c r="O466" s="36"/>
      <c r="P466" s="2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4"/>
      <c r="AI466" s="11"/>
      <c r="AJ466" s="11"/>
      <c r="AK466" s="11"/>
      <c r="AL466" s="79"/>
      <c r="AM466" s="45"/>
      <c r="AN466" s="8"/>
    </row>
    <row r="467" spans="2:40" x14ac:dyDescent="0.25">
      <c r="B467" s="147"/>
      <c r="C467" s="89"/>
      <c r="D467" s="89"/>
      <c r="E467" s="102"/>
      <c r="F467" s="90"/>
      <c r="G467" s="72"/>
      <c r="H467" s="9"/>
      <c r="I467" s="74">
        <f t="shared" si="7"/>
        <v>-129000</v>
      </c>
      <c r="J467" s="35"/>
      <c r="K467" s="19"/>
      <c r="L467" s="19"/>
      <c r="M467" s="19"/>
      <c r="N467" s="19"/>
      <c r="O467" s="36"/>
      <c r="P467" s="2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4"/>
      <c r="AI467" s="11"/>
      <c r="AJ467" s="11"/>
      <c r="AK467" s="11"/>
      <c r="AL467" s="79"/>
      <c r="AM467" s="45"/>
      <c r="AN467" s="8"/>
    </row>
    <row r="468" spans="2:40" x14ac:dyDescent="0.25">
      <c r="B468" s="147"/>
      <c r="C468" s="89"/>
      <c r="D468" s="89"/>
      <c r="E468" s="102"/>
      <c r="F468" s="90"/>
      <c r="G468" s="72"/>
      <c r="H468" s="9"/>
      <c r="I468" s="74">
        <f t="shared" si="7"/>
        <v>-129000</v>
      </c>
      <c r="J468" s="35"/>
      <c r="K468" s="19"/>
      <c r="L468" s="19"/>
      <c r="M468" s="19"/>
      <c r="N468" s="19"/>
      <c r="O468" s="36"/>
      <c r="P468" s="2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4"/>
      <c r="AI468" s="11"/>
      <c r="AJ468" s="11"/>
      <c r="AK468" s="11"/>
      <c r="AL468" s="79"/>
      <c r="AM468" s="45"/>
      <c r="AN468" s="8"/>
    </row>
    <row r="469" spans="2:40" x14ac:dyDescent="0.25">
      <c r="B469" s="147"/>
      <c r="C469" s="89"/>
      <c r="D469" s="89"/>
      <c r="E469" s="102"/>
      <c r="F469" s="90"/>
      <c r="G469" s="72"/>
      <c r="H469" s="9"/>
      <c r="I469" s="74">
        <f t="shared" si="7"/>
        <v>-129000</v>
      </c>
      <c r="J469" s="35"/>
      <c r="K469" s="19"/>
      <c r="L469" s="19"/>
      <c r="M469" s="19"/>
      <c r="N469" s="19"/>
      <c r="O469" s="36"/>
      <c r="P469" s="2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79"/>
      <c r="AM469" s="45"/>
      <c r="AN469" s="8"/>
    </row>
    <row r="470" spans="2:40" x14ac:dyDescent="0.25">
      <c r="B470" s="147"/>
      <c r="C470" s="89"/>
      <c r="D470" s="89"/>
      <c r="E470" s="102"/>
      <c r="F470" s="90"/>
      <c r="G470" s="72"/>
      <c r="H470" s="9"/>
      <c r="I470" s="74">
        <f t="shared" si="7"/>
        <v>-129000</v>
      </c>
      <c r="J470" s="35"/>
      <c r="K470" s="19"/>
      <c r="L470" s="19"/>
      <c r="M470" s="19"/>
      <c r="N470" s="19"/>
      <c r="O470" s="36"/>
      <c r="P470" s="2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79"/>
      <c r="AM470" s="45"/>
      <c r="AN470" s="8"/>
    </row>
    <row r="471" spans="2:40" x14ac:dyDescent="0.25">
      <c r="B471" s="147"/>
      <c r="C471" s="89"/>
      <c r="D471" s="89"/>
      <c r="E471" s="102"/>
      <c r="F471" s="90"/>
      <c r="G471" s="72"/>
      <c r="H471" s="9"/>
      <c r="I471" s="74">
        <f t="shared" si="7"/>
        <v>-129000</v>
      </c>
      <c r="J471" s="35"/>
      <c r="K471" s="19"/>
      <c r="L471" s="19"/>
      <c r="M471" s="19"/>
      <c r="N471" s="19"/>
      <c r="O471" s="36"/>
      <c r="P471" s="2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79"/>
      <c r="AM471" s="45"/>
      <c r="AN471" s="8"/>
    </row>
    <row r="472" spans="2:40" x14ac:dyDescent="0.25">
      <c r="B472" s="147"/>
      <c r="C472" s="89"/>
      <c r="D472" s="89"/>
      <c r="E472" s="102"/>
      <c r="F472" s="90"/>
      <c r="G472" s="72"/>
      <c r="H472" s="9"/>
      <c r="I472" s="74">
        <f t="shared" si="7"/>
        <v>-129000</v>
      </c>
      <c r="J472" s="35"/>
      <c r="K472" s="19"/>
      <c r="L472" s="19"/>
      <c r="M472" s="19"/>
      <c r="N472" s="19"/>
      <c r="O472" s="36"/>
      <c r="P472" s="2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79"/>
      <c r="AM472" s="45"/>
      <c r="AN472" s="8"/>
    </row>
    <row r="473" spans="2:40" x14ac:dyDescent="0.25">
      <c r="B473" s="147"/>
      <c r="C473" s="89"/>
      <c r="D473" s="89"/>
      <c r="E473" s="102"/>
      <c r="F473" s="90"/>
      <c r="G473" s="72"/>
      <c r="H473" s="9"/>
      <c r="I473" s="74">
        <f t="shared" si="7"/>
        <v>-129000</v>
      </c>
      <c r="J473" s="35"/>
      <c r="K473" s="19"/>
      <c r="L473" s="19"/>
      <c r="M473" s="19"/>
      <c r="N473" s="19"/>
      <c r="O473" s="36"/>
      <c r="P473" s="2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79"/>
      <c r="AM473" s="45"/>
      <c r="AN473" s="8"/>
    </row>
    <row r="474" spans="2:40" x14ac:dyDescent="0.25">
      <c r="B474" s="147"/>
      <c r="C474" s="89"/>
      <c r="D474" s="89"/>
      <c r="E474" s="102"/>
      <c r="F474" s="90"/>
      <c r="G474" s="72"/>
      <c r="H474" s="9"/>
      <c r="I474" s="74">
        <f t="shared" si="7"/>
        <v>-129000</v>
      </c>
      <c r="J474" s="35"/>
      <c r="K474" s="19"/>
      <c r="L474" s="19"/>
      <c r="M474" s="19"/>
      <c r="N474" s="19"/>
      <c r="O474" s="36"/>
      <c r="P474" s="2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79"/>
      <c r="AM474" s="45"/>
      <c r="AN474" s="8"/>
    </row>
    <row r="475" spans="2:40" x14ac:dyDescent="0.25">
      <c r="B475" s="147"/>
      <c r="C475" s="89"/>
      <c r="D475" s="89"/>
      <c r="E475" s="102"/>
      <c r="F475" s="90"/>
      <c r="G475" s="72"/>
      <c r="H475" s="9"/>
      <c r="I475" s="74">
        <f t="shared" si="7"/>
        <v>-129000</v>
      </c>
      <c r="J475" s="35"/>
      <c r="K475" s="19"/>
      <c r="L475" s="19"/>
      <c r="M475" s="19"/>
      <c r="N475" s="19"/>
      <c r="O475" s="36"/>
      <c r="P475" s="2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5"/>
      <c r="AH475" s="11"/>
      <c r="AI475" s="11"/>
      <c r="AJ475" s="11"/>
      <c r="AK475" s="11"/>
      <c r="AL475" s="79"/>
      <c r="AM475" s="45"/>
      <c r="AN475" s="8"/>
    </row>
    <row r="476" spans="2:40" x14ac:dyDescent="0.25">
      <c r="B476" s="147"/>
      <c r="C476" s="89"/>
      <c r="D476" s="89"/>
      <c r="E476" s="102"/>
      <c r="F476" s="90"/>
      <c r="G476" s="72"/>
      <c r="H476" s="9"/>
      <c r="I476" s="74">
        <f t="shared" si="7"/>
        <v>-129000</v>
      </c>
      <c r="J476" s="35"/>
      <c r="K476" s="19"/>
      <c r="L476" s="19"/>
      <c r="M476" s="19"/>
      <c r="N476" s="19"/>
      <c r="O476" s="36"/>
      <c r="P476" s="2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5"/>
      <c r="AH476" s="11"/>
      <c r="AI476" s="11"/>
      <c r="AJ476" s="11"/>
      <c r="AK476" s="11"/>
      <c r="AL476" s="79"/>
      <c r="AM476" s="45"/>
      <c r="AN476" s="8"/>
    </row>
    <row r="477" spans="2:40" x14ac:dyDescent="0.25">
      <c r="B477" s="147"/>
      <c r="C477" s="89"/>
      <c r="D477" s="89"/>
      <c r="E477" s="102"/>
      <c r="F477" s="90"/>
      <c r="G477" s="72"/>
      <c r="H477" s="9"/>
      <c r="I477" s="74">
        <f t="shared" si="7"/>
        <v>-129000</v>
      </c>
      <c r="J477" s="35"/>
      <c r="K477" s="19"/>
      <c r="L477" s="19"/>
      <c r="M477" s="19"/>
      <c r="N477" s="19"/>
      <c r="O477" s="36"/>
      <c r="P477" s="2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79"/>
      <c r="AM477" s="45"/>
      <c r="AN477" s="8"/>
    </row>
    <row r="478" spans="2:40" x14ac:dyDescent="0.25">
      <c r="B478" s="147"/>
      <c r="C478" s="89"/>
      <c r="D478" s="89"/>
      <c r="E478" s="102"/>
      <c r="F478" s="90"/>
      <c r="G478" s="72"/>
      <c r="H478" s="9"/>
      <c r="I478" s="74">
        <f t="shared" si="7"/>
        <v>-129000</v>
      </c>
      <c r="J478" s="35"/>
      <c r="K478" s="19"/>
      <c r="L478" s="19"/>
      <c r="M478" s="19"/>
      <c r="N478" s="19"/>
      <c r="O478" s="36"/>
      <c r="P478" s="2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79"/>
      <c r="AM478" s="45"/>
      <c r="AN478" s="8"/>
    </row>
    <row r="479" spans="2:40" x14ac:dyDescent="0.25">
      <c r="B479" s="147"/>
      <c r="C479" s="89"/>
      <c r="D479" s="89"/>
      <c r="E479" s="102"/>
      <c r="F479" s="90"/>
      <c r="G479" s="72"/>
      <c r="H479" s="9"/>
      <c r="I479" s="74">
        <f t="shared" si="7"/>
        <v>-129000</v>
      </c>
      <c r="J479" s="35"/>
      <c r="K479" s="19"/>
      <c r="L479" s="19"/>
      <c r="M479" s="19"/>
      <c r="N479" s="19"/>
      <c r="O479" s="36"/>
      <c r="P479" s="2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79"/>
      <c r="AM479" s="45"/>
      <c r="AN479" s="8"/>
    </row>
    <row r="480" spans="2:40" x14ac:dyDescent="0.25">
      <c r="B480" s="147"/>
      <c r="C480" s="89"/>
      <c r="D480" s="89"/>
      <c r="E480" s="102"/>
      <c r="F480" s="90"/>
      <c r="G480" s="72"/>
      <c r="H480" s="9"/>
      <c r="I480" s="74">
        <f t="shared" si="7"/>
        <v>-129000</v>
      </c>
      <c r="J480" s="35"/>
      <c r="K480" s="19"/>
      <c r="L480" s="19"/>
      <c r="M480" s="19"/>
      <c r="N480" s="19"/>
      <c r="O480" s="36"/>
      <c r="P480" s="2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79"/>
      <c r="AM480" s="45"/>
      <c r="AN480" s="8"/>
    </row>
    <row r="481" spans="2:40" x14ac:dyDescent="0.25">
      <c r="B481" s="147"/>
      <c r="C481" s="89"/>
      <c r="D481" s="89"/>
      <c r="E481" s="102"/>
      <c r="F481" s="90"/>
      <c r="G481" s="72"/>
      <c r="H481" s="9"/>
      <c r="I481" s="74">
        <f t="shared" si="7"/>
        <v>-129000</v>
      </c>
      <c r="J481" s="35"/>
      <c r="K481" s="19"/>
      <c r="L481" s="19"/>
      <c r="M481" s="19"/>
      <c r="N481" s="19"/>
      <c r="O481" s="36"/>
      <c r="P481" s="2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79"/>
      <c r="AM481" s="45"/>
      <c r="AN481" s="8"/>
    </row>
    <row r="482" spans="2:40" x14ac:dyDescent="0.25">
      <c r="B482" s="147"/>
      <c r="C482" s="89"/>
      <c r="D482" s="89"/>
      <c r="E482" s="102"/>
      <c r="F482" s="90"/>
      <c r="G482" s="72"/>
      <c r="H482" s="9"/>
      <c r="I482" s="74">
        <f t="shared" si="7"/>
        <v>-129000</v>
      </c>
      <c r="J482" s="35"/>
      <c r="K482" s="19"/>
      <c r="L482" s="19"/>
      <c r="M482" s="19"/>
      <c r="N482" s="19"/>
      <c r="O482" s="36"/>
      <c r="P482" s="2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5"/>
      <c r="AH482" s="11"/>
      <c r="AI482" s="11"/>
      <c r="AJ482" s="11"/>
      <c r="AK482" s="11"/>
      <c r="AL482" s="79"/>
      <c r="AM482" s="45"/>
      <c r="AN482" s="8"/>
    </row>
    <row r="483" spans="2:40" x14ac:dyDescent="0.25">
      <c r="B483" s="147"/>
      <c r="C483" s="89"/>
      <c r="D483" s="89"/>
      <c r="E483" s="102"/>
      <c r="F483" s="90"/>
      <c r="G483" s="72"/>
      <c r="H483" s="9"/>
      <c r="I483" s="74">
        <f t="shared" si="7"/>
        <v>-129000</v>
      </c>
      <c r="J483" s="35"/>
      <c r="K483" s="19"/>
      <c r="L483" s="19"/>
      <c r="M483" s="19"/>
      <c r="N483" s="19"/>
      <c r="O483" s="36"/>
      <c r="P483" s="2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5"/>
      <c r="AH483" s="11"/>
      <c r="AI483" s="11"/>
      <c r="AJ483" s="11"/>
      <c r="AK483" s="11"/>
      <c r="AL483" s="79"/>
      <c r="AM483" s="45"/>
      <c r="AN483" s="8"/>
    </row>
    <row r="484" spans="2:40" x14ac:dyDescent="0.25">
      <c r="B484" s="147"/>
      <c r="C484" s="89"/>
      <c r="D484" s="89"/>
      <c r="E484" s="102"/>
      <c r="F484" s="90"/>
      <c r="G484" s="72"/>
      <c r="H484" s="9"/>
      <c r="I484" s="74">
        <f t="shared" si="7"/>
        <v>-129000</v>
      </c>
      <c r="J484" s="35"/>
      <c r="K484" s="19"/>
      <c r="L484" s="19"/>
      <c r="M484" s="19"/>
      <c r="N484" s="19"/>
      <c r="O484" s="36"/>
      <c r="P484" s="2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5"/>
      <c r="AH484" s="11"/>
      <c r="AI484" s="11"/>
      <c r="AJ484" s="11"/>
      <c r="AK484" s="11"/>
      <c r="AL484" s="79"/>
      <c r="AM484" s="45"/>
      <c r="AN484" s="8"/>
    </row>
    <row r="485" spans="2:40" x14ac:dyDescent="0.25">
      <c r="B485" s="147"/>
      <c r="C485" s="89"/>
      <c r="D485" s="89"/>
      <c r="E485" s="102"/>
      <c r="F485" s="90"/>
      <c r="G485" s="72"/>
      <c r="H485" s="9"/>
      <c r="I485" s="74">
        <f t="shared" si="7"/>
        <v>-129000</v>
      </c>
      <c r="J485" s="35"/>
      <c r="K485" s="19"/>
      <c r="L485" s="19"/>
      <c r="M485" s="19"/>
      <c r="N485" s="19"/>
      <c r="O485" s="36"/>
      <c r="P485" s="2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5"/>
      <c r="AH485" s="11"/>
      <c r="AI485" s="11"/>
      <c r="AJ485" s="11"/>
      <c r="AK485" s="11"/>
      <c r="AL485" s="79"/>
      <c r="AM485" s="45"/>
      <c r="AN485" s="8"/>
    </row>
    <row r="486" spans="2:40" x14ac:dyDescent="0.25">
      <c r="B486" s="147"/>
      <c r="C486" s="89"/>
      <c r="D486" s="89"/>
      <c r="E486" s="102"/>
      <c r="F486" s="90"/>
      <c r="G486" s="72"/>
      <c r="H486" s="9"/>
      <c r="I486" s="74">
        <f t="shared" si="7"/>
        <v>-129000</v>
      </c>
      <c r="J486" s="35"/>
      <c r="K486" s="19"/>
      <c r="L486" s="19"/>
      <c r="M486" s="19"/>
      <c r="N486" s="19"/>
      <c r="O486" s="36"/>
      <c r="P486" s="2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79"/>
      <c r="AM486" s="45"/>
      <c r="AN486" s="8"/>
    </row>
    <row r="487" spans="2:40" x14ac:dyDescent="0.25">
      <c r="B487" s="147"/>
      <c r="C487" s="89"/>
      <c r="D487" s="89"/>
      <c r="E487" s="102"/>
      <c r="F487" s="90"/>
      <c r="G487" s="72"/>
      <c r="H487" s="9"/>
      <c r="I487" s="74">
        <f t="shared" si="7"/>
        <v>-129000</v>
      </c>
      <c r="J487" s="35"/>
      <c r="K487" s="19"/>
      <c r="L487" s="19"/>
      <c r="M487" s="19"/>
      <c r="N487" s="19"/>
      <c r="O487" s="36"/>
      <c r="P487" s="2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79"/>
      <c r="AM487" s="45"/>
      <c r="AN487" s="8"/>
    </row>
    <row r="488" spans="2:40" x14ac:dyDescent="0.25">
      <c r="B488" s="147"/>
      <c r="C488" s="89"/>
      <c r="D488" s="89"/>
      <c r="E488" s="102"/>
      <c r="F488" s="90"/>
      <c r="G488" s="72"/>
      <c r="H488" s="9"/>
      <c r="I488" s="74">
        <f t="shared" si="7"/>
        <v>-129000</v>
      </c>
      <c r="J488" s="35"/>
      <c r="K488" s="19"/>
      <c r="L488" s="19"/>
      <c r="M488" s="19"/>
      <c r="N488" s="19"/>
      <c r="O488" s="36"/>
      <c r="P488" s="2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79"/>
      <c r="AM488" s="45"/>
      <c r="AN488" s="8"/>
    </row>
    <row r="489" spans="2:40" x14ac:dyDescent="0.25">
      <c r="B489" s="147"/>
      <c r="C489" s="89"/>
      <c r="D489" s="89"/>
      <c r="E489" s="102"/>
      <c r="F489" s="90"/>
      <c r="G489" s="72"/>
      <c r="H489" s="9"/>
      <c r="I489" s="74">
        <f t="shared" si="7"/>
        <v>-129000</v>
      </c>
      <c r="J489" s="35"/>
      <c r="K489" s="19"/>
      <c r="L489" s="19"/>
      <c r="M489" s="19"/>
      <c r="N489" s="19"/>
      <c r="O489" s="36"/>
      <c r="P489" s="22"/>
      <c r="Q489" s="11"/>
      <c r="R489" s="14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79"/>
      <c r="AM489" s="45"/>
      <c r="AN489" s="8"/>
    </row>
    <row r="490" spans="2:40" x14ac:dyDescent="0.25">
      <c r="B490" s="147"/>
      <c r="C490" s="89"/>
      <c r="D490" s="89"/>
      <c r="E490" s="102"/>
      <c r="F490" s="90"/>
      <c r="G490" s="72"/>
      <c r="H490" s="9"/>
      <c r="I490" s="74">
        <f t="shared" si="7"/>
        <v>-129000</v>
      </c>
      <c r="J490" s="35"/>
      <c r="K490" s="19"/>
      <c r="L490" s="19"/>
      <c r="M490" s="19"/>
      <c r="N490" s="19"/>
      <c r="O490" s="36"/>
      <c r="P490" s="22"/>
      <c r="Q490" s="11"/>
      <c r="R490" s="14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79"/>
      <c r="AM490" s="45"/>
      <c r="AN490" s="8"/>
    </row>
    <row r="491" spans="2:40" x14ac:dyDescent="0.25">
      <c r="B491" s="147"/>
      <c r="C491" s="89"/>
      <c r="D491" s="89"/>
      <c r="E491" s="102"/>
      <c r="F491" s="90"/>
      <c r="G491" s="72"/>
      <c r="H491" s="9"/>
      <c r="I491" s="74">
        <f t="shared" si="7"/>
        <v>-129000</v>
      </c>
      <c r="J491" s="35"/>
      <c r="K491" s="19"/>
      <c r="L491" s="19"/>
      <c r="M491" s="19"/>
      <c r="N491" s="19"/>
      <c r="O491" s="36"/>
      <c r="P491" s="22"/>
      <c r="Q491" s="11"/>
      <c r="R491" s="11"/>
      <c r="S491" s="11"/>
      <c r="T491" s="11"/>
      <c r="U491" s="11"/>
      <c r="V491" s="11"/>
      <c r="W491" s="14"/>
      <c r="X491" s="14"/>
      <c r="Y491" s="15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79"/>
      <c r="AM491" s="45"/>
      <c r="AN491" s="8"/>
    </row>
    <row r="492" spans="2:40" x14ac:dyDescent="0.25">
      <c r="B492" s="147"/>
      <c r="C492" s="89"/>
      <c r="D492" s="89"/>
      <c r="E492" s="102"/>
      <c r="F492" s="90"/>
      <c r="G492" s="72"/>
      <c r="H492" s="9"/>
      <c r="I492" s="74">
        <f t="shared" si="7"/>
        <v>-129000</v>
      </c>
      <c r="J492" s="35"/>
      <c r="K492" s="19"/>
      <c r="L492" s="19"/>
      <c r="M492" s="19"/>
      <c r="N492" s="19"/>
      <c r="O492" s="36"/>
      <c r="P492" s="2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79"/>
      <c r="AM492" s="45"/>
      <c r="AN492" s="8"/>
    </row>
    <row r="493" spans="2:40" x14ac:dyDescent="0.25">
      <c r="B493" s="147"/>
      <c r="C493" s="89"/>
      <c r="D493" s="89"/>
      <c r="E493" s="102"/>
      <c r="F493" s="90"/>
      <c r="G493" s="72"/>
      <c r="H493" s="9"/>
      <c r="I493" s="74">
        <f t="shared" si="7"/>
        <v>-129000</v>
      </c>
      <c r="J493" s="35"/>
      <c r="K493" s="19"/>
      <c r="L493" s="19"/>
      <c r="M493" s="19"/>
      <c r="N493" s="19"/>
      <c r="O493" s="36"/>
      <c r="P493" s="2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79"/>
      <c r="AM493" s="45"/>
      <c r="AN493" s="8"/>
    </row>
    <row r="494" spans="2:40" x14ac:dyDescent="0.25">
      <c r="B494" s="147"/>
      <c r="C494" s="89"/>
      <c r="D494" s="91"/>
      <c r="E494" s="103"/>
      <c r="F494" s="92"/>
      <c r="G494" s="75"/>
      <c r="H494" s="9"/>
      <c r="I494" s="74">
        <f t="shared" si="7"/>
        <v>-129000</v>
      </c>
      <c r="J494" s="35"/>
      <c r="K494" s="19"/>
      <c r="L494" s="19"/>
      <c r="M494" s="19"/>
      <c r="N494" s="19"/>
      <c r="O494" s="36"/>
      <c r="P494" s="2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79"/>
      <c r="AM494" s="46"/>
      <c r="AN494" s="8"/>
    </row>
    <row r="495" spans="2:40" x14ac:dyDescent="0.25">
      <c r="B495" s="147"/>
      <c r="C495" s="89"/>
      <c r="D495" s="89"/>
      <c r="E495" s="102"/>
      <c r="F495" s="90"/>
      <c r="G495" s="72"/>
      <c r="H495" s="9"/>
      <c r="I495" s="74">
        <f t="shared" si="7"/>
        <v>-129000</v>
      </c>
      <c r="J495" s="35"/>
      <c r="K495" s="19"/>
      <c r="L495" s="19"/>
      <c r="M495" s="19"/>
      <c r="N495" s="19"/>
      <c r="O495" s="36"/>
      <c r="P495" s="2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79"/>
      <c r="AM495" s="45"/>
      <c r="AN495" s="8"/>
    </row>
    <row r="496" spans="2:40" x14ac:dyDescent="0.25">
      <c r="B496" s="147"/>
      <c r="C496" s="89"/>
      <c r="D496" s="89"/>
      <c r="E496" s="102"/>
      <c r="F496" s="90"/>
      <c r="G496" s="72"/>
      <c r="H496" s="9"/>
      <c r="I496" s="74">
        <f t="shared" si="7"/>
        <v>-129000</v>
      </c>
      <c r="J496" s="35"/>
      <c r="K496" s="19"/>
      <c r="L496" s="19"/>
      <c r="M496" s="19"/>
      <c r="N496" s="19"/>
      <c r="O496" s="36"/>
      <c r="P496" s="2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79"/>
      <c r="AM496" s="45"/>
      <c r="AN496" s="8"/>
    </row>
    <row r="497" spans="2:40" x14ac:dyDescent="0.25">
      <c r="B497" s="147"/>
      <c r="C497" s="89"/>
      <c r="D497" s="89"/>
      <c r="E497" s="102"/>
      <c r="F497" s="90"/>
      <c r="G497" s="72"/>
      <c r="H497" s="9"/>
      <c r="I497" s="74">
        <f t="shared" si="7"/>
        <v>-129000</v>
      </c>
      <c r="J497" s="35"/>
      <c r="K497" s="19"/>
      <c r="L497" s="19"/>
      <c r="M497" s="19"/>
      <c r="N497" s="19"/>
      <c r="O497" s="36"/>
      <c r="P497" s="2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79"/>
      <c r="AM497" s="45"/>
      <c r="AN497" s="8"/>
    </row>
    <row r="498" spans="2:40" x14ac:dyDescent="0.25">
      <c r="B498" s="147"/>
      <c r="C498" s="89"/>
      <c r="D498" s="89"/>
      <c r="E498" s="102"/>
      <c r="F498" s="90"/>
      <c r="G498" s="72"/>
      <c r="H498" s="9"/>
      <c r="I498" s="74">
        <f t="shared" si="7"/>
        <v>-129000</v>
      </c>
      <c r="J498" s="35"/>
      <c r="K498" s="19"/>
      <c r="L498" s="19"/>
      <c r="M498" s="19"/>
      <c r="N498" s="19"/>
      <c r="O498" s="36"/>
      <c r="P498" s="2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79"/>
      <c r="AM498" s="45"/>
      <c r="AN498" s="8"/>
    </row>
    <row r="499" spans="2:40" x14ac:dyDescent="0.25">
      <c r="B499" s="147"/>
      <c r="C499" s="89"/>
      <c r="D499" s="89"/>
      <c r="E499" s="102"/>
      <c r="F499" s="90"/>
      <c r="G499" s="72"/>
      <c r="H499" s="9"/>
      <c r="I499" s="74">
        <f t="shared" si="7"/>
        <v>-129000</v>
      </c>
      <c r="J499" s="35"/>
      <c r="K499" s="19"/>
      <c r="L499" s="19"/>
      <c r="M499" s="19"/>
      <c r="N499" s="19"/>
      <c r="O499" s="36"/>
      <c r="P499" s="2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79"/>
      <c r="AM499" s="45"/>
      <c r="AN499" s="8"/>
    </row>
    <row r="500" spans="2:40" x14ac:dyDescent="0.25">
      <c r="B500" s="147"/>
      <c r="C500" s="89"/>
      <c r="D500" s="89"/>
      <c r="E500" s="102"/>
      <c r="F500" s="90"/>
      <c r="G500" s="72"/>
      <c r="H500" s="9"/>
      <c r="I500" s="74">
        <f t="shared" si="7"/>
        <v>-129000</v>
      </c>
      <c r="J500" s="35"/>
      <c r="K500" s="19"/>
      <c r="L500" s="19"/>
      <c r="M500" s="19"/>
      <c r="N500" s="19"/>
      <c r="O500" s="36"/>
      <c r="P500" s="2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79"/>
      <c r="AM500" s="45"/>
      <c r="AN500" s="8"/>
    </row>
    <row r="501" spans="2:40" x14ac:dyDescent="0.25">
      <c r="B501" s="147"/>
      <c r="C501" s="89"/>
      <c r="D501" s="89"/>
      <c r="E501" s="102"/>
      <c r="F501" s="90"/>
      <c r="G501" s="72"/>
      <c r="H501" s="9"/>
      <c r="I501" s="74">
        <f t="shared" si="7"/>
        <v>-129000</v>
      </c>
      <c r="J501" s="35"/>
      <c r="K501" s="19"/>
      <c r="L501" s="19"/>
      <c r="M501" s="19"/>
      <c r="N501" s="19"/>
      <c r="O501" s="36"/>
      <c r="P501" s="2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79"/>
      <c r="AM501" s="45"/>
      <c r="AN501" s="8"/>
    </row>
    <row r="502" spans="2:40" x14ac:dyDescent="0.25">
      <c r="B502" s="147"/>
      <c r="C502" s="89"/>
      <c r="D502" s="89"/>
      <c r="E502" s="102"/>
      <c r="F502" s="90"/>
      <c r="G502" s="72"/>
      <c r="H502" s="9"/>
      <c r="I502" s="74">
        <f t="shared" si="7"/>
        <v>-129000</v>
      </c>
      <c r="J502" s="35"/>
      <c r="K502" s="19"/>
      <c r="L502" s="19"/>
      <c r="M502" s="19"/>
      <c r="N502" s="19"/>
      <c r="O502" s="36"/>
      <c r="P502" s="2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79"/>
      <c r="AM502" s="45"/>
      <c r="AN502" s="8"/>
    </row>
    <row r="503" spans="2:40" x14ac:dyDescent="0.25">
      <c r="B503" s="147"/>
      <c r="C503" s="89"/>
      <c r="D503" s="89"/>
      <c r="E503" s="102"/>
      <c r="F503" s="90"/>
      <c r="G503" s="72"/>
      <c r="H503" s="9"/>
      <c r="I503" s="74">
        <f t="shared" si="7"/>
        <v>-129000</v>
      </c>
      <c r="J503" s="35"/>
      <c r="K503" s="19"/>
      <c r="L503" s="19"/>
      <c r="M503" s="19"/>
      <c r="N503" s="19"/>
      <c r="O503" s="36"/>
      <c r="P503" s="2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79"/>
      <c r="AM503" s="45"/>
      <c r="AN503" s="8"/>
    </row>
    <row r="504" spans="2:40" x14ac:dyDescent="0.25">
      <c r="B504" s="147"/>
      <c r="C504" s="89"/>
      <c r="D504" s="91"/>
      <c r="E504" s="103"/>
      <c r="F504" s="92"/>
      <c r="G504" s="75"/>
      <c r="H504" s="9"/>
      <c r="I504" s="74">
        <f t="shared" si="7"/>
        <v>-129000</v>
      </c>
      <c r="J504" s="35"/>
      <c r="K504" s="19"/>
      <c r="L504" s="19"/>
      <c r="M504" s="19"/>
      <c r="N504" s="19"/>
      <c r="O504" s="36"/>
      <c r="P504" s="2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79"/>
      <c r="AM504" s="47"/>
      <c r="AN504" s="8"/>
    </row>
    <row r="505" spans="2:40" x14ac:dyDescent="0.25">
      <c r="B505" s="147"/>
      <c r="C505" s="89"/>
      <c r="D505" s="89"/>
      <c r="E505" s="102"/>
      <c r="F505" s="90"/>
      <c r="G505" s="72"/>
      <c r="H505" s="9"/>
      <c r="I505" s="74">
        <f t="shared" si="7"/>
        <v>-129000</v>
      </c>
      <c r="J505" s="35"/>
      <c r="K505" s="19"/>
      <c r="L505" s="19"/>
      <c r="M505" s="19"/>
      <c r="N505" s="19"/>
      <c r="O505" s="36"/>
      <c r="P505" s="2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79"/>
      <c r="AM505" s="45"/>
      <c r="AN505" s="8"/>
    </row>
    <row r="506" spans="2:40" x14ac:dyDescent="0.25">
      <c r="B506" s="147"/>
      <c r="C506" s="89"/>
      <c r="D506" s="89"/>
      <c r="E506" s="102"/>
      <c r="F506" s="90"/>
      <c r="G506" s="72"/>
      <c r="H506" s="9"/>
      <c r="I506" s="74">
        <f t="shared" si="7"/>
        <v>-129000</v>
      </c>
      <c r="J506" s="35"/>
      <c r="K506" s="19"/>
      <c r="L506" s="19"/>
      <c r="M506" s="19"/>
      <c r="N506" s="19"/>
      <c r="O506" s="36"/>
      <c r="P506" s="22"/>
      <c r="Q506" s="14"/>
      <c r="R506" s="14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4"/>
      <c r="AD506" s="11"/>
      <c r="AE506" s="11"/>
      <c r="AF506" s="11"/>
      <c r="AG506" s="11"/>
      <c r="AH506" s="11"/>
      <c r="AI506" s="11"/>
      <c r="AJ506" s="11"/>
      <c r="AK506" s="11"/>
      <c r="AL506" s="79"/>
      <c r="AM506" s="45"/>
      <c r="AN506" s="8"/>
    </row>
    <row r="507" spans="2:40" x14ac:dyDescent="0.25">
      <c r="B507" s="147"/>
      <c r="C507" s="89"/>
      <c r="D507" s="89"/>
      <c r="E507" s="102"/>
      <c r="F507" s="90"/>
      <c r="G507" s="72"/>
      <c r="H507" s="9"/>
      <c r="I507" s="74">
        <f t="shared" si="7"/>
        <v>-129000</v>
      </c>
      <c r="J507" s="35"/>
      <c r="K507" s="19"/>
      <c r="L507" s="19"/>
      <c r="M507" s="19"/>
      <c r="N507" s="19"/>
      <c r="O507" s="36"/>
      <c r="P507" s="22"/>
      <c r="Q507" s="11"/>
      <c r="R507" s="14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79"/>
      <c r="AM507" s="45"/>
      <c r="AN507" s="8"/>
    </row>
    <row r="508" spans="2:40" x14ac:dyDescent="0.25">
      <c r="B508" s="147"/>
      <c r="C508" s="89"/>
      <c r="D508" s="89"/>
      <c r="E508" s="102"/>
      <c r="F508" s="90"/>
      <c r="G508" s="72"/>
      <c r="H508" s="9"/>
      <c r="I508" s="74">
        <f t="shared" si="7"/>
        <v>-129000</v>
      </c>
      <c r="J508" s="35"/>
      <c r="K508" s="19"/>
      <c r="L508" s="19"/>
      <c r="M508" s="19"/>
      <c r="N508" s="19"/>
      <c r="O508" s="36"/>
      <c r="P508" s="2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79"/>
      <c r="AM508" s="45"/>
      <c r="AN508" s="8"/>
    </row>
    <row r="509" spans="2:40" x14ac:dyDescent="0.25">
      <c r="B509" s="147"/>
      <c r="C509" s="89"/>
      <c r="D509" s="89"/>
      <c r="E509" s="102"/>
      <c r="F509" s="90"/>
      <c r="G509" s="72"/>
      <c r="H509" s="9"/>
      <c r="I509" s="74">
        <f t="shared" si="7"/>
        <v>-129000</v>
      </c>
      <c r="J509" s="35"/>
      <c r="K509" s="19"/>
      <c r="L509" s="19"/>
      <c r="M509" s="19"/>
      <c r="N509" s="19"/>
      <c r="O509" s="36"/>
      <c r="P509" s="22"/>
      <c r="Q509" s="11"/>
      <c r="R509" s="11"/>
      <c r="S509" s="11"/>
      <c r="T509" s="11"/>
      <c r="U509" s="14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4"/>
      <c r="AJ509" s="14"/>
      <c r="AK509" s="14"/>
      <c r="AL509" s="80"/>
      <c r="AM509" s="45"/>
      <c r="AN509" s="8"/>
    </row>
    <row r="510" spans="2:40" x14ac:dyDescent="0.25">
      <c r="B510" s="147"/>
      <c r="C510" s="89"/>
      <c r="D510" s="89"/>
      <c r="E510" s="102"/>
      <c r="F510" s="90"/>
      <c r="G510" s="72"/>
      <c r="H510" s="9"/>
      <c r="I510" s="74">
        <f t="shared" si="7"/>
        <v>-129000</v>
      </c>
      <c r="J510" s="35"/>
      <c r="K510" s="19"/>
      <c r="L510" s="19"/>
      <c r="M510" s="19"/>
      <c r="N510" s="19"/>
      <c r="O510" s="36"/>
      <c r="P510" s="33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4"/>
      <c r="AJ510" s="14"/>
      <c r="AK510" s="14"/>
      <c r="AL510" s="80"/>
      <c r="AM510" s="45"/>
      <c r="AN510" s="8"/>
    </row>
    <row r="511" spans="2:40" x14ac:dyDescent="0.25">
      <c r="B511" s="147"/>
      <c r="C511" s="89"/>
      <c r="D511" s="89"/>
      <c r="E511" s="102"/>
      <c r="F511" s="90"/>
      <c r="G511" s="72"/>
      <c r="H511" s="9"/>
      <c r="I511" s="74">
        <f t="shared" si="7"/>
        <v>-129000</v>
      </c>
      <c r="J511" s="35"/>
      <c r="K511" s="19"/>
      <c r="L511" s="19"/>
      <c r="M511" s="19"/>
      <c r="N511" s="19"/>
      <c r="O511" s="36"/>
      <c r="P511" s="2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4"/>
      <c r="AJ511" s="14"/>
      <c r="AK511" s="14"/>
      <c r="AL511" s="80"/>
      <c r="AM511" s="45"/>
      <c r="AN511" s="8"/>
    </row>
    <row r="512" spans="2:40" x14ac:dyDescent="0.25">
      <c r="B512" s="147"/>
      <c r="C512" s="89"/>
      <c r="D512" s="89"/>
      <c r="E512" s="102"/>
      <c r="F512" s="90"/>
      <c r="G512" s="72"/>
      <c r="H512" s="9"/>
      <c r="I512" s="74">
        <f t="shared" si="7"/>
        <v>-129000</v>
      </c>
      <c r="J512" s="35"/>
      <c r="K512" s="19"/>
      <c r="L512" s="19"/>
      <c r="M512" s="19"/>
      <c r="N512" s="19"/>
      <c r="O512" s="36"/>
      <c r="P512" s="2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4"/>
      <c r="AJ512" s="14"/>
      <c r="AK512" s="14"/>
      <c r="AL512" s="80"/>
      <c r="AM512" s="45"/>
      <c r="AN512" s="8"/>
    </row>
    <row r="513" spans="2:40" x14ac:dyDescent="0.25">
      <c r="B513" s="147"/>
      <c r="C513" s="89"/>
      <c r="D513" s="89"/>
      <c r="E513" s="102"/>
      <c r="F513" s="90"/>
      <c r="G513" s="72"/>
      <c r="H513" s="9"/>
      <c r="I513" s="74">
        <f t="shared" si="7"/>
        <v>-129000</v>
      </c>
      <c r="J513" s="35"/>
      <c r="K513" s="19"/>
      <c r="L513" s="19"/>
      <c r="M513" s="19"/>
      <c r="N513" s="19"/>
      <c r="O513" s="36"/>
      <c r="P513" s="2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4"/>
      <c r="AJ513" s="14"/>
      <c r="AK513" s="14"/>
      <c r="AL513" s="80"/>
      <c r="AM513" s="45"/>
      <c r="AN513" s="8"/>
    </row>
    <row r="514" spans="2:40" x14ac:dyDescent="0.25">
      <c r="B514" s="147"/>
      <c r="C514" s="89"/>
      <c r="D514" s="89"/>
      <c r="E514" s="102"/>
      <c r="F514" s="90"/>
      <c r="G514" s="72"/>
      <c r="H514" s="9"/>
      <c r="I514" s="74">
        <f t="shared" si="7"/>
        <v>-129000</v>
      </c>
      <c r="J514" s="35"/>
      <c r="K514" s="19"/>
      <c r="L514" s="19"/>
      <c r="M514" s="19"/>
      <c r="N514" s="19"/>
      <c r="O514" s="36"/>
      <c r="P514" s="22"/>
      <c r="Q514" s="11"/>
      <c r="R514" s="11"/>
      <c r="S514" s="11"/>
      <c r="T514" s="11"/>
      <c r="U514" s="11"/>
      <c r="V514" s="11"/>
      <c r="W514" s="11"/>
      <c r="X514" s="14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4"/>
      <c r="AJ514" s="14"/>
      <c r="AK514" s="14"/>
      <c r="AL514" s="80"/>
      <c r="AM514" s="45"/>
      <c r="AN514" s="8"/>
    </row>
    <row r="515" spans="2:40" x14ac:dyDescent="0.25">
      <c r="B515" s="147"/>
      <c r="C515" s="89"/>
      <c r="D515" s="89"/>
      <c r="E515" s="102"/>
      <c r="F515" s="90"/>
      <c r="G515" s="72"/>
      <c r="H515" s="9"/>
      <c r="I515" s="74">
        <f t="shared" si="7"/>
        <v>-129000</v>
      </c>
      <c r="J515" s="35"/>
      <c r="K515" s="19"/>
      <c r="L515" s="19"/>
      <c r="M515" s="19"/>
      <c r="N515" s="19"/>
      <c r="O515" s="36"/>
      <c r="P515" s="2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4"/>
      <c r="AJ515" s="14"/>
      <c r="AK515" s="14"/>
      <c r="AL515" s="80"/>
      <c r="AM515" s="45"/>
      <c r="AN515" s="8"/>
    </row>
    <row r="516" spans="2:40" x14ac:dyDescent="0.25">
      <c r="B516" s="147"/>
      <c r="C516" s="89"/>
      <c r="D516" s="89"/>
      <c r="E516" s="102"/>
      <c r="F516" s="90"/>
      <c r="G516" s="72"/>
      <c r="H516" s="9"/>
      <c r="I516" s="74">
        <f t="shared" si="7"/>
        <v>-129000</v>
      </c>
      <c r="J516" s="35"/>
      <c r="K516" s="19"/>
      <c r="L516" s="19"/>
      <c r="M516" s="19"/>
      <c r="N516" s="19"/>
      <c r="O516" s="36"/>
      <c r="P516" s="2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4"/>
      <c r="AI516" s="11"/>
      <c r="AJ516" s="11"/>
      <c r="AK516" s="11"/>
      <c r="AL516" s="79"/>
      <c r="AM516" s="45"/>
      <c r="AN516" s="8"/>
    </row>
    <row r="517" spans="2:40" x14ac:dyDescent="0.25">
      <c r="B517" s="147"/>
      <c r="C517" s="89"/>
      <c r="D517" s="89"/>
      <c r="E517" s="102"/>
      <c r="F517" s="90"/>
      <c r="G517" s="72"/>
      <c r="H517" s="9"/>
      <c r="I517" s="74">
        <f t="shared" si="7"/>
        <v>-129000</v>
      </c>
      <c r="J517" s="35"/>
      <c r="K517" s="19"/>
      <c r="L517" s="19"/>
      <c r="M517" s="19"/>
      <c r="N517" s="19"/>
      <c r="O517" s="36"/>
      <c r="P517" s="2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4"/>
      <c r="AI517" s="11"/>
      <c r="AJ517" s="11"/>
      <c r="AK517" s="11"/>
      <c r="AL517" s="79"/>
      <c r="AM517" s="45"/>
      <c r="AN517" s="8"/>
    </row>
    <row r="518" spans="2:40" x14ac:dyDescent="0.25">
      <c r="B518" s="147"/>
      <c r="C518" s="89"/>
      <c r="D518" s="89"/>
      <c r="E518" s="102"/>
      <c r="F518" s="90"/>
      <c r="G518" s="72"/>
      <c r="H518" s="9"/>
      <c r="I518" s="74">
        <f t="shared" si="7"/>
        <v>-129000</v>
      </c>
      <c r="J518" s="35"/>
      <c r="K518" s="19"/>
      <c r="L518" s="19"/>
      <c r="M518" s="19"/>
      <c r="N518" s="19"/>
      <c r="O518" s="36"/>
      <c r="P518" s="2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4"/>
      <c r="AI518" s="11"/>
      <c r="AJ518" s="11"/>
      <c r="AK518" s="11"/>
      <c r="AL518" s="79"/>
      <c r="AM518" s="45"/>
      <c r="AN518" s="8"/>
    </row>
    <row r="519" spans="2:40" x14ac:dyDescent="0.25">
      <c r="B519" s="147"/>
      <c r="C519" s="89"/>
      <c r="D519" s="89"/>
      <c r="E519" s="102"/>
      <c r="F519" s="90"/>
      <c r="G519" s="72"/>
      <c r="H519" s="9"/>
      <c r="I519" s="74">
        <f t="shared" si="7"/>
        <v>-129000</v>
      </c>
      <c r="J519" s="35"/>
      <c r="K519" s="19"/>
      <c r="L519" s="19"/>
      <c r="M519" s="19"/>
      <c r="N519" s="19"/>
      <c r="O519" s="36"/>
      <c r="P519" s="2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4"/>
      <c r="AI519" s="11"/>
      <c r="AJ519" s="11"/>
      <c r="AK519" s="11"/>
      <c r="AL519" s="79"/>
      <c r="AM519" s="45"/>
      <c r="AN519" s="8"/>
    </row>
    <row r="520" spans="2:40" x14ac:dyDescent="0.25">
      <c r="B520" s="147"/>
      <c r="C520" s="89"/>
      <c r="D520" s="89"/>
      <c r="E520" s="102"/>
      <c r="F520" s="90"/>
      <c r="G520" s="72"/>
      <c r="H520" s="9"/>
      <c r="I520" s="74">
        <f t="shared" si="7"/>
        <v>-129000</v>
      </c>
      <c r="J520" s="35"/>
      <c r="K520" s="19"/>
      <c r="L520" s="19"/>
      <c r="M520" s="19"/>
      <c r="N520" s="19"/>
      <c r="O520" s="36"/>
      <c r="P520" s="2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4"/>
      <c r="AI520" s="11"/>
      <c r="AJ520" s="11"/>
      <c r="AK520" s="11"/>
      <c r="AL520" s="79"/>
      <c r="AM520" s="45"/>
      <c r="AN520" s="8"/>
    </row>
    <row r="521" spans="2:40" x14ac:dyDescent="0.25">
      <c r="B521" s="147"/>
      <c r="C521" s="89"/>
      <c r="D521" s="89"/>
      <c r="E521" s="102"/>
      <c r="F521" s="90"/>
      <c r="G521" s="72"/>
      <c r="H521" s="9"/>
      <c r="I521" s="74">
        <f t="shared" si="7"/>
        <v>-129000</v>
      </c>
      <c r="J521" s="35"/>
      <c r="K521" s="19"/>
      <c r="L521" s="19"/>
      <c r="M521" s="19"/>
      <c r="N521" s="19"/>
      <c r="O521" s="36"/>
      <c r="P521" s="2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4"/>
      <c r="AI521" s="11"/>
      <c r="AJ521" s="11"/>
      <c r="AK521" s="11"/>
      <c r="AL521" s="79"/>
      <c r="AM521" s="45"/>
      <c r="AN521" s="8"/>
    </row>
    <row r="522" spans="2:40" x14ac:dyDescent="0.25">
      <c r="B522" s="147"/>
      <c r="C522" s="89"/>
      <c r="D522" s="89"/>
      <c r="E522" s="102"/>
      <c r="F522" s="90"/>
      <c r="G522" s="72"/>
      <c r="H522" s="9"/>
      <c r="I522" s="74">
        <f t="shared" si="7"/>
        <v>-129000</v>
      </c>
      <c r="J522" s="35"/>
      <c r="K522" s="19"/>
      <c r="L522" s="19"/>
      <c r="M522" s="19"/>
      <c r="N522" s="19"/>
      <c r="O522" s="36"/>
      <c r="P522" s="2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4"/>
      <c r="AI522" s="11"/>
      <c r="AJ522" s="11"/>
      <c r="AK522" s="11"/>
      <c r="AL522" s="79"/>
      <c r="AM522" s="45"/>
      <c r="AN522" s="8"/>
    </row>
    <row r="523" spans="2:40" x14ac:dyDescent="0.25">
      <c r="B523" s="147"/>
      <c r="C523" s="89"/>
      <c r="D523" s="89"/>
      <c r="E523" s="102"/>
      <c r="F523" s="90"/>
      <c r="G523" s="72"/>
      <c r="H523" s="9"/>
      <c r="I523" s="74">
        <f t="shared" si="7"/>
        <v>-129000</v>
      </c>
      <c r="J523" s="35"/>
      <c r="K523" s="19"/>
      <c r="L523" s="19"/>
      <c r="M523" s="19"/>
      <c r="N523" s="19"/>
      <c r="O523" s="36"/>
      <c r="P523" s="34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79"/>
      <c r="AM523" s="45"/>
      <c r="AN523" s="8"/>
    </row>
    <row r="524" spans="2:40" x14ac:dyDescent="0.25">
      <c r="B524" s="147"/>
      <c r="C524" s="89"/>
      <c r="D524" s="89"/>
      <c r="E524" s="102"/>
      <c r="F524" s="90"/>
      <c r="G524" s="72"/>
      <c r="H524" s="9"/>
      <c r="I524" s="74">
        <f t="shared" si="7"/>
        <v>-129000</v>
      </c>
      <c r="J524" s="35"/>
      <c r="K524" s="19"/>
      <c r="L524" s="19"/>
      <c r="M524" s="19"/>
      <c r="N524" s="19"/>
      <c r="O524" s="36"/>
      <c r="P524" s="2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79"/>
      <c r="AM524" s="45"/>
      <c r="AN524" s="8"/>
    </row>
    <row r="525" spans="2:40" x14ac:dyDescent="0.25">
      <c r="B525" s="147"/>
      <c r="C525" s="89"/>
      <c r="D525" s="89"/>
      <c r="E525" s="102"/>
      <c r="F525" s="90"/>
      <c r="G525" s="72"/>
      <c r="H525" s="9"/>
      <c r="I525" s="74">
        <f t="shared" si="7"/>
        <v>-129000</v>
      </c>
      <c r="J525" s="35"/>
      <c r="K525" s="19"/>
      <c r="L525" s="19"/>
      <c r="M525" s="19"/>
      <c r="N525" s="19"/>
      <c r="O525" s="36"/>
      <c r="P525" s="2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79"/>
      <c r="AM525" s="45"/>
      <c r="AN525" s="8"/>
    </row>
    <row r="526" spans="2:40" x14ac:dyDescent="0.25">
      <c r="B526" s="147"/>
      <c r="C526" s="89"/>
      <c r="D526" s="89"/>
      <c r="E526" s="102"/>
      <c r="F526" s="90"/>
      <c r="G526" s="72"/>
      <c r="H526" s="9"/>
      <c r="I526" s="74">
        <f t="shared" si="7"/>
        <v>-129000</v>
      </c>
      <c r="J526" s="35"/>
      <c r="K526" s="19"/>
      <c r="L526" s="19"/>
      <c r="M526" s="19"/>
      <c r="N526" s="19"/>
      <c r="O526" s="36"/>
      <c r="P526" s="2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79"/>
      <c r="AM526" s="45"/>
      <c r="AN526" s="8"/>
    </row>
    <row r="527" spans="2:40" x14ac:dyDescent="0.25">
      <c r="B527" s="147"/>
      <c r="C527" s="89"/>
      <c r="D527" s="89"/>
      <c r="E527" s="102"/>
      <c r="F527" s="90"/>
      <c r="G527" s="72"/>
      <c r="H527" s="9"/>
      <c r="I527" s="74">
        <f t="shared" si="7"/>
        <v>-129000</v>
      </c>
      <c r="J527" s="35"/>
      <c r="K527" s="19"/>
      <c r="L527" s="19"/>
      <c r="M527" s="19"/>
      <c r="N527" s="19"/>
      <c r="O527" s="36"/>
      <c r="P527" s="2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79"/>
      <c r="AM527" s="45"/>
      <c r="AN527" s="8"/>
    </row>
    <row r="528" spans="2:40" x14ac:dyDescent="0.25">
      <c r="B528" s="147"/>
      <c r="C528" s="89"/>
      <c r="D528" s="89"/>
      <c r="E528" s="102"/>
      <c r="F528" s="90"/>
      <c r="G528" s="72"/>
      <c r="H528" s="9"/>
      <c r="I528" s="74">
        <f t="shared" si="7"/>
        <v>-129000</v>
      </c>
      <c r="J528" s="35"/>
      <c r="K528" s="19"/>
      <c r="L528" s="19"/>
      <c r="M528" s="19"/>
      <c r="N528" s="19"/>
      <c r="O528" s="36"/>
      <c r="P528" s="2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79"/>
      <c r="AM528" s="45"/>
      <c r="AN528" s="8"/>
    </row>
    <row r="529" spans="2:40" x14ac:dyDescent="0.25">
      <c r="B529" s="147"/>
      <c r="C529" s="89"/>
      <c r="D529" s="89"/>
      <c r="E529" s="102"/>
      <c r="F529" s="90"/>
      <c r="G529" s="72"/>
      <c r="H529" s="9"/>
      <c r="I529" s="74">
        <f t="shared" si="7"/>
        <v>-129000</v>
      </c>
      <c r="J529" s="35"/>
      <c r="K529" s="19"/>
      <c r="L529" s="19"/>
      <c r="M529" s="19"/>
      <c r="N529" s="19"/>
      <c r="O529" s="36"/>
      <c r="P529" s="2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79"/>
      <c r="AM529" s="45"/>
      <c r="AN529" s="8"/>
    </row>
    <row r="530" spans="2:40" x14ac:dyDescent="0.25">
      <c r="B530" s="147"/>
      <c r="C530" s="89"/>
      <c r="D530" s="89"/>
      <c r="E530" s="102"/>
      <c r="F530" s="90"/>
      <c r="G530" s="72"/>
      <c r="H530" s="9"/>
      <c r="I530" s="74">
        <f t="shared" ref="I530:I588" si="8">I529+G530-H530</f>
        <v>-129000</v>
      </c>
      <c r="J530" s="35"/>
      <c r="K530" s="19"/>
      <c r="L530" s="19"/>
      <c r="M530" s="19"/>
      <c r="N530" s="19"/>
      <c r="O530" s="36"/>
      <c r="P530" s="2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79"/>
      <c r="AM530" s="45"/>
      <c r="AN530" s="8"/>
    </row>
    <row r="531" spans="2:40" x14ac:dyDescent="0.25">
      <c r="B531" s="147"/>
      <c r="C531" s="89"/>
      <c r="D531" s="89"/>
      <c r="E531" s="102"/>
      <c r="F531" s="90"/>
      <c r="G531" s="72"/>
      <c r="H531" s="9"/>
      <c r="I531" s="74">
        <f t="shared" si="8"/>
        <v>-129000</v>
      </c>
      <c r="J531" s="35"/>
      <c r="K531" s="19"/>
      <c r="L531" s="19"/>
      <c r="M531" s="19"/>
      <c r="N531" s="19"/>
      <c r="O531" s="36"/>
      <c r="P531" s="2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79"/>
      <c r="AM531" s="45"/>
      <c r="AN531" s="8"/>
    </row>
    <row r="532" spans="2:40" x14ac:dyDescent="0.25">
      <c r="B532" s="147"/>
      <c r="C532" s="89"/>
      <c r="D532" s="89"/>
      <c r="E532" s="102"/>
      <c r="F532" s="90"/>
      <c r="G532" s="72"/>
      <c r="H532" s="9"/>
      <c r="I532" s="74">
        <f t="shared" si="8"/>
        <v>-129000</v>
      </c>
      <c r="J532" s="35"/>
      <c r="K532" s="19"/>
      <c r="L532" s="19"/>
      <c r="M532" s="19"/>
      <c r="N532" s="19"/>
      <c r="O532" s="36"/>
      <c r="P532" s="2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79"/>
      <c r="AM532" s="45"/>
      <c r="AN532" s="8"/>
    </row>
    <row r="533" spans="2:40" x14ac:dyDescent="0.25">
      <c r="B533" s="147"/>
      <c r="C533" s="89"/>
      <c r="D533" s="89"/>
      <c r="E533" s="102"/>
      <c r="F533" s="90"/>
      <c r="G533" s="72"/>
      <c r="H533" s="9"/>
      <c r="I533" s="74">
        <f t="shared" si="8"/>
        <v>-129000</v>
      </c>
      <c r="J533" s="35"/>
      <c r="K533" s="19"/>
      <c r="L533" s="19"/>
      <c r="M533" s="19"/>
      <c r="N533" s="19"/>
      <c r="O533" s="36"/>
      <c r="P533" s="2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79"/>
      <c r="AM533" s="45"/>
      <c r="AN533" s="8"/>
    </row>
    <row r="534" spans="2:40" x14ac:dyDescent="0.25">
      <c r="B534" s="147"/>
      <c r="C534" s="89"/>
      <c r="D534" s="89"/>
      <c r="E534" s="102"/>
      <c r="F534" s="90"/>
      <c r="G534" s="72"/>
      <c r="H534" s="9"/>
      <c r="I534" s="74">
        <f t="shared" si="8"/>
        <v>-129000</v>
      </c>
      <c r="J534" s="35"/>
      <c r="K534" s="19"/>
      <c r="L534" s="19"/>
      <c r="M534" s="19"/>
      <c r="N534" s="19"/>
      <c r="O534" s="36"/>
      <c r="P534" s="2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79"/>
      <c r="AM534" s="45"/>
      <c r="AN534" s="8"/>
    </row>
    <row r="535" spans="2:40" x14ac:dyDescent="0.25">
      <c r="B535" s="147"/>
      <c r="C535" s="89"/>
      <c r="D535" s="89"/>
      <c r="E535" s="102"/>
      <c r="F535" s="90"/>
      <c r="G535" s="72"/>
      <c r="H535" s="9"/>
      <c r="I535" s="74">
        <f t="shared" si="8"/>
        <v>-129000</v>
      </c>
      <c r="J535" s="35"/>
      <c r="K535" s="19"/>
      <c r="L535" s="19"/>
      <c r="M535" s="19"/>
      <c r="N535" s="19"/>
      <c r="O535" s="36"/>
      <c r="P535" s="22"/>
      <c r="Q535" s="11"/>
      <c r="R535" s="14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79"/>
      <c r="AM535" s="45"/>
      <c r="AN535" s="8"/>
    </row>
    <row r="536" spans="2:40" x14ac:dyDescent="0.25">
      <c r="B536" s="147"/>
      <c r="C536" s="89"/>
      <c r="D536" s="89"/>
      <c r="E536" s="102"/>
      <c r="F536" s="90"/>
      <c r="G536" s="72"/>
      <c r="H536" s="9"/>
      <c r="I536" s="74">
        <f t="shared" si="8"/>
        <v>-129000</v>
      </c>
      <c r="J536" s="35"/>
      <c r="K536" s="19"/>
      <c r="L536" s="19"/>
      <c r="M536" s="19"/>
      <c r="N536" s="19"/>
      <c r="O536" s="36"/>
      <c r="P536" s="2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79"/>
      <c r="AM536" s="45"/>
      <c r="AN536" s="8"/>
    </row>
    <row r="537" spans="2:40" x14ac:dyDescent="0.25">
      <c r="B537" s="147"/>
      <c r="C537" s="89"/>
      <c r="D537" s="89"/>
      <c r="E537" s="102"/>
      <c r="F537" s="90"/>
      <c r="G537" s="72"/>
      <c r="H537" s="9"/>
      <c r="I537" s="74">
        <f t="shared" si="8"/>
        <v>-129000</v>
      </c>
      <c r="J537" s="35"/>
      <c r="K537" s="19"/>
      <c r="L537" s="19"/>
      <c r="M537" s="19"/>
      <c r="N537" s="19"/>
      <c r="O537" s="36"/>
      <c r="P537" s="2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79"/>
      <c r="AM537" s="45"/>
      <c r="AN537" s="8"/>
    </row>
    <row r="538" spans="2:40" x14ac:dyDescent="0.25">
      <c r="B538" s="147"/>
      <c r="C538" s="89"/>
      <c r="D538" s="89"/>
      <c r="E538" s="102"/>
      <c r="F538" s="90"/>
      <c r="G538" s="72"/>
      <c r="H538" s="9"/>
      <c r="I538" s="74">
        <f t="shared" si="8"/>
        <v>-129000</v>
      </c>
      <c r="J538" s="35"/>
      <c r="K538" s="19"/>
      <c r="L538" s="19"/>
      <c r="M538" s="19"/>
      <c r="N538" s="19"/>
      <c r="O538" s="36"/>
      <c r="P538" s="2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79"/>
      <c r="AM538" s="45"/>
      <c r="AN538" s="8"/>
    </row>
    <row r="539" spans="2:40" x14ac:dyDescent="0.25">
      <c r="B539" s="147"/>
      <c r="C539" s="89"/>
      <c r="D539" s="89"/>
      <c r="E539" s="102"/>
      <c r="F539" s="90"/>
      <c r="G539" s="72"/>
      <c r="H539" s="9"/>
      <c r="I539" s="74">
        <f t="shared" si="8"/>
        <v>-129000</v>
      </c>
      <c r="J539" s="35"/>
      <c r="K539" s="19"/>
      <c r="L539" s="19"/>
      <c r="M539" s="19"/>
      <c r="N539" s="19"/>
      <c r="O539" s="36"/>
      <c r="P539" s="2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79"/>
      <c r="AM539" s="45"/>
      <c r="AN539" s="8"/>
    </row>
    <row r="540" spans="2:40" x14ac:dyDescent="0.25">
      <c r="B540" s="147"/>
      <c r="C540" s="89"/>
      <c r="D540" s="89"/>
      <c r="E540" s="102"/>
      <c r="F540" s="90"/>
      <c r="G540" s="72"/>
      <c r="H540" s="9"/>
      <c r="I540" s="74">
        <f t="shared" si="8"/>
        <v>-129000</v>
      </c>
      <c r="J540" s="35"/>
      <c r="K540" s="19"/>
      <c r="L540" s="19"/>
      <c r="M540" s="19"/>
      <c r="N540" s="19"/>
      <c r="O540" s="36"/>
      <c r="P540" s="2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79"/>
      <c r="AM540" s="45"/>
      <c r="AN540" s="8"/>
    </row>
    <row r="541" spans="2:40" x14ac:dyDescent="0.25">
      <c r="B541" s="147"/>
      <c r="C541" s="89"/>
      <c r="D541" s="89"/>
      <c r="E541" s="102"/>
      <c r="F541" s="90"/>
      <c r="G541" s="72"/>
      <c r="H541" s="9"/>
      <c r="I541" s="74">
        <f t="shared" si="8"/>
        <v>-129000</v>
      </c>
      <c r="J541" s="35"/>
      <c r="K541" s="19"/>
      <c r="L541" s="19"/>
      <c r="M541" s="19"/>
      <c r="N541" s="19"/>
      <c r="O541" s="36"/>
      <c r="P541" s="2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79"/>
      <c r="AM541" s="45"/>
      <c r="AN541" s="8"/>
    </row>
    <row r="542" spans="2:40" x14ac:dyDescent="0.25">
      <c r="B542" s="147"/>
      <c r="C542" s="89"/>
      <c r="D542" s="89"/>
      <c r="E542" s="102"/>
      <c r="F542" s="90"/>
      <c r="G542" s="72"/>
      <c r="H542" s="9"/>
      <c r="I542" s="74">
        <f t="shared" si="8"/>
        <v>-129000</v>
      </c>
      <c r="J542" s="35"/>
      <c r="K542" s="19"/>
      <c r="L542" s="19"/>
      <c r="M542" s="19"/>
      <c r="N542" s="19"/>
      <c r="O542" s="36"/>
      <c r="P542" s="2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79"/>
      <c r="AM542" s="45"/>
      <c r="AN542" s="8"/>
    </row>
    <row r="543" spans="2:40" x14ac:dyDescent="0.25">
      <c r="B543" s="147"/>
      <c r="C543" s="89"/>
      <c r="D543" s="89"/>
      <c r="E543" s="102"/>
      <c r="F543" s="90"/>
      <c r="G543" s="72"/>
      <c r="H543" s="9"/>
      <c r="I543" s="74">
        <f t="shared" si="8"/>
        <v>-129000</v>
      </c>
      <c r="J543" s="35"/>
      <c r="K543" s="19"/>
      <c r="L543" s="19"/>
      <c r="M543" s="19"/>
      <c r="N543" s="19"/>
      <c r="O543" s="36"/>
      <c r="P543" s="2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79"/>
      <c r="AM543" s="45"/>
      <c r="AN543" s="8"/>
    </row>
    <row r="544" spans="2:40" x14ac:dyDescent="0.25">
      <c r="B544" s="147"/>
      <c r="C544" s="89"/>
      <c r="D544" s="89"/>
      <c r="E544" s="102"/>
      <c r="F544" s="90"/>
      <c r="G544" s="72"/>
      <c r="H544" s="9"/>
      <c r="I544" s="74">
        <f t="shared" si="8"/>
        <v>-129000</v>
      </c>
      <c r="J544" s="35"/>
      <c r="K544" s="19"/>
      <c r="L544" s="19"/>
      <c r="M544" s="19"/>
      <c r="N544" s="19"/>
      <c r="O544" s="36"/>
      <c r="P544" s="22"/>
      <c r="Q544" s="14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79"/>
      <c r="AM544" s="45"/>
      <c r="AN544" s="8"/>
    </row>
    <row r="545" spans="2:40" x14ac:dyDescent="0.25">
      <c r="B545" s="147"/>
      <c r="C545" s="89"/>
      <c r="D545" s="89"/>
      <c r="E545" s="102"/>
      <c r="F545" s="90"/>
      <c r="G545" s="72"/>
      <c r="H545" s="9"/>
      <c r="I545" s="74">
        <f t="shared" si="8"/>
        <v>-129000</v>
      </c>
      <c r="J545" s="35"/>
      <c r="K545" s="19"/>
      <c r="L545" s="19"/>
      <c r="M545" s="19"/>
      <c r="N545" s="19"/>
      <c r="O545" s="36"/>
      <c r="P545" s="2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79"/>
      <c r="AM545" s="45"/>
      <c r="AN545" s="8"/>
    </row>
    <row r="546" spans="2:40" x14ac:dyDescent="0.25">
      <c r="B546" s="147"/>
      <c r="C546" s="89"/>
      <c r="D546" s="89"/>
      <c r="E546" s="102"/>
      <c r="F546" s="90"/>
      <c r="G546" s="72"/>
      <c r="H546" s="9"/>
      <c r="I546" s="74">
        <f t="shared" si="8"/>
        <v>-129000</v>
      </c>
      <c r="J546" s="35"/>
      <c r="K546" s="19"/>
      <c r="L546" s="19"/>
      <c r="M546" s="19"/>
      <c r="N546" s="19"/>
      <c r="O546" s="36"/>
      <c r="P546" s="2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79"/>
      <c r="AM546" s="45"/>
      <c r="AN546" s="8"/>
    </row>
    <row r="547" spans="2:40" x14ac:dyDescent="0.25">
      <c r="B547" s="147"/>
      <c r="C547" s="89"/>
      <c r="D547" s="89"/>
      <c r="E547" s="102"/>
      <c r="F547" s="90"/>
      <c r="G547" s="72"/>
      <c r="H547" s="9"/>
      <c r="I547" s="74">
        <f t="shared" si="8"/>
        <v>-129000</v>
      </c>
      <c r="J547" s="35"/>
      <c r="K547" s="19"/>
      <c r="L547" s="19"/>
      <c r="M547" s="19"/>
      <c r="N547" s="19"/>
      <c r="O547" s="36"/>
      <c r="P547" s="2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79"/>
      <c r="AM547" s="45"/>
      <c r="AN547" s="8"/>
    </row>
    <row r="548" spans="2:40" x14ac:dyDescent="0.25">
      <c r="B548" s="147"/>
      <c r="C548" s="89"/>
      <c r="D548" s="89"/>
      <c r="E548" s="102"/>
      <c r="F548" s="90"/>
      <c r="G548" s="72"/>
      <c r="H548" s="9"/>
      <c r="I548" s="74">
        <f t="shared" si="8"/>
        <v>-129000</v>
      </c>
      <c r="J548" s="35"/>
      <c r="K548" s="19"/>
      <c r="L548" s="19"/>
      <c r="M548" s="19"/>
      <c r="N548" s="19"/>
      <c r="O548" s="36"/>
      <c r="P548" s="2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79"/>
      <c r="AM548" s="45"/>
      <c r="AN548" s="8"/>
    </row>
    <row r="549" spans="2:40" x14ac:dyDescent="0.25">
      <c r="B549" s="147"/>
      <c r="C549" s="89"/>
      <c r="D549" s="89"/>
      <c r="E549" s="102"/>
      <c r="F549" s="90"/>
      <c r="G549" s="72"/>
      <c r="H549" s="9"/>
      <c r="I549" s="74">
        <f t="shared" si="8"/>
        <v>-129000</v>
      </c>
      <c r="J549" s="35"/>
      <c r="K549" s="19"/>
      <c r="L549" s="19"/>
      <c r="M549" s="19"/>
      <c r="N549" s="19"/>
      <c r="O549" s="36"/>
      <c r="P549" s="2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79"/>
      <c r="AM549" s="45"/>
      <c r="AN549" s="8"/>
    </row>
    <row r="550" spans="2:40" x14ac:dyDescent="0.25">
      <c r="B550" s="147"/>
      <c r="C550" s="89"/>
      <c r="D550" s="89"/>
      <c r="E550" s="102"/>
      <c r="F550" s="90"/>
      <c r="G550" s="72"/>
      <c r="H550" s="9"/>
      <c r="I550" s="74">
        <f t="shared" si="8"/>
        <v>-129000</v>
      </c>
      <c r="J550" s="35"/>
      <c r="K550" s="19"/>
      <c r="L550" s="19"/>
      <c r="M550" s="19"/>
      <c r="N550" s="19"/>
      <c r="O550" s="36"/>
      <c r="P550" s="2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79"/>
      <c r="AM550" s="45"/>
      <c r="AN550" s="8"/>
    </row>
    <row r="551" spans="2:40" x14ac:dyDescent="0.25">
      <c r="B551" s="147"/>
      <c r="C551" s="89"/>
      <c r="D551" s="89"/>
      <c r="E551" s="102"/>
      <c r="F551" s="90"/>
      <c r="G551" s="72"/>
      <c r="H551" s="9"/>
      <c r="I551" s="74">
        <f t="shared" si="8"/>
        <v>-129000</v>
      </c>
      <c r="J551" s="35"/>
      <c r="K551" s="19"/>
      <c r="L551" s="19"/>
      <c r="M551" s="19"/>
      <c r="N551" s="19"/>
      <c r="O551" s="36"/>
      <c r="P551" s="2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79"/>
      <c r="AM551" s="45"/>
      <c r="AN551" s="8"/>
    </row>
    <row r="552" spans="2:40" x14ac:dyDescent="0.25">
      <c r="B552" s="147"/>
      <c r="C552" s="89"/>
      <c r="D552" s="89"/>
      <c r="E552" s="102"/>
      <c r="F552" s="90"/>
      <c r="G552" s="72"/>
      <c r="H552" s="9"/>
      <c r="I552" s="74">
        <f t="shared" si="8"/>
        <v>-129000</v>
      </c>
      <c r="J552" s="35"/>
      <c r="K552" s="19"/>
      <c r="L552" s="19"/>
      <c r="M552" s="19"/>
      <c r="N552" s="19"/>
      <c r="O552" s="36"/>
      <c r="P552" s="2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79"/>
      <c r="AM552" s="45"/>
      <c r="AN552" s="8"/>
    </row>
    <row r="553" spans="2:40" x14ac:dyDescent="0.25">
      <c r="B553" s="147"/>
      <c r="C553" s="89"/>
      <c r="D553" s="89"/>
      <c r="E553" s="102"/>
      <c r="F553" s="90"/>
      <c r="G553" s="72"/>
      <c r="H553" s="9"/>
      <c r="I553" s="74">
        <f t="shared" si="8"/>
        <v>-129000</v>
      </c>
      <c r="J553" s="35"/>
      <c r="K553" s="19"/>
      <c r="L553" s="19"/>
      <c r="M553" s="19"/>
      <c r="N553" s="19"/>
      <c r="O553" s="36"/>
      <c r="P553" s="2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79"/>
      <c r="AM553" s="45"/>
      <c r="AN553" s="8"/>
    </row>
    <row r="554" spans="2:40" x14ac:dyDescent="0.25">
      <c r="B554" s="147"/>
      <c r="C554" s="89"/>
      <c r="D554" s="89"/>
      <c r="E554" s="102"/>
      <c r="F554" s="90"/>
      <c r="G554" s="72"/>
      <c r="H554" s="9"/>
      <c r="I554" s="74">
        <f t="shared" si="8"/>
        <v>-129000</v>
      </c>
      <c r="J554" s="35"/>
      <c r="K554" s="19"/>
      <c r="L554" s="19"/>
      <c r="M554" s="19"/>
      <c r="N554" s="19"/>
      <c r="O554" s="36"/>
      <c r="P554" s="2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79"/>
      <c r="AM554" s="45"/>
      <c r="AN554" s="8"/>
    </row>
    <row r="555" spans="2:40" x14ac:dyDescent="0.25">
      <c r="B555" s="147"/>
      <c r="C555" s="89"/>
      <c r="D555" s="89"/>
      <c r="E555" s="102"/>
      <c r="F555" s="90"/>
      <c r="G555" s="72"/>
      <c r="H555" s="9"/>
      <c r="I555" s="74">
        <f t="shared" si="8"/>
        <v>-129000</v>
      </c>
      <c r="J555" s="35"/>
      <c r="K555" s="19"/>
      <c r="L555" s="19"/>
      <c r="M555" s="19"/>
      <c r="N555" s="19"/>
      <c r="O555" s="36"/>
      <c r="P555" s="2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79"/>
      <c r="AM555" s="45"/>
      <c r="AN555" s="8"/>
    </row>
    <row r="556" spans="2:40" x14ac:dyDescent="0.25">
      <c r="B556" s="147"/>
      <c r="C556" s="89"/>
      <c r="D556" s="89"/>
      <c r="E556" s="102"/>
      <c r="F556" s="90"/>
      <c r="G556" s="72"/>
      <c r="H556" s="9"/>
      <c r="I556" s="74">
        <f t="shared" si="8"/>
        <v>-129000</v>
      </c>
      <c r="J556" s="35"/>
      <c r="K556" s="19"/>
      <c r="L556" s="19"/>
      <c r="M556" s="19"/>
      <c r="N556" s="19"/>
      <c r="O556" s="36"/>
      <c r="P556" s="2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79"/>
      <c r="AM556" s="45"/>
      <c r="AN556" s="8"/>
    </row>
    <row r="557" spans="2:40" x14ac:dyDescent="0.25">
      <c r="B557" s="147"/>
      <c r="C557" s="89"/>
      <c r="D557" s="89"/>
      <c r="E557" s="102"/>
      <c r="F557" s="90"/>
      <c r="G557" s="72"/>
      <c r="H557" s="9"/>
      <c r="I557" s="74">
        <f t="shared" si="8"/>
        <v>-129000</v>
      </c>
      <c r="J557" s="35"/>
      <c r="K557" s="19"/>
      <c r="L557" s="19"/>
      <c r="M557" s="19"/>
      <c r="N557" s="19"/>
      <c r="O557" s="36"/>
      <c r="P557" s="2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79"/>
      <c r="AM557" s="45"/>
      <c r="AN557" s="8"/>
    </row>
    <row r="558" spans="2:40" x14ac:dyDescent="0.25">
      <c r="B558" s="147"/>
      <c r="C558" s="89"/>
      <c r="D558" s="89"/>
      <c r="E558" s="102"/>
      <c r="F558" s="90"/>
      <c r="G558" s="72"/>
      <c r="H558" s="9"/>
      <c r="I558" s="74">
        <f t="shared" si="8"/>
        <v>-129000</v>
      </c>
      <c r="J558" s="35"/>
      <c r="K558" s="19"/>
      <c r="L558" s="19"/>
      <c r="M558" s="19"/>
      <c r="N558" s="19"/>
      <c r="O558" s="36"/>
      <c r="P558" s="2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79"/>
      <c r="AM558" s="45"/>
      <c r="AN558" s="8"/>
    </row>
    <row r="559" spans="2:40" x14ac:dyDescent="0.25">
      <c r="B559" s="147"/>
      <c r="C559" s="89"/>
      <c r="D559" s="89"/>
      <c r="E559" s="102"/>
      <c r="F559" s="90"/>
      <c r="G559" s="72"/>
      <c r="H559" s="9"/>
      <c r="I559" s="74">
        <f t="shared" si="8"/>
        <v>-129000</v>
      </c>
      <c r="J559" s="35"/>
      <c r="K559" s="19"/>
      <c r="L559" s="19"/>
      <c r="M559" s="19"/>
      <c r="N559" s="19"/>
      <c r="O559" s="36"/>
      <c r="P559" s="2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79"/>
      <c r="AM559" s="45"/>
      <c r="AN559" s="8"/>
    </row>
    <row r="560" spans="2:40" x14ac:dyDescent="0.25">
      <c r="B560" s="147"/>
      <c r="C560" s="89"/>
      <c r="D560" s="89"/>
      <c r="E560" s="102"/>
      <c r="F560" s="90"/>
      <c r="G560" s="72"/>
      <c r="H560" s="9"/>
      <c r="I560" s="74">
        <f t="shared" si="8"/>
        <v>-129000</v>
      </c>
      <c r="J560" s="35"/>
      <c r="K560" s="19"/>
      <c r="L560" s="19"/>
      <c r="M560" s="19"/>
      <c r="N560" s="19"/>
      <c r="O560" s="36"/>
      <c r="P560" s="2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5"/>
      <c r="AH560" s="11"/>
      <c r="AI560" s="11"/>
      <c r="AJ560" s="11"/>
      <c r="AK560" s="11"/>
      <c r="AL560" s="79"/>
      <c r="AM560" s="45"/>
      <c r="AN560" s="8"/>
    </row>
    <row r="561" spans="2:40" x14ac:dyDescent="0.25">
      <c r="B561" s="147"/>
      <c r="C561" s="89"/>
      <c r="D561" s="89"/>
      <c r="E561" s="102"/>
      <c r="F561" s="90"/>
      <c r="G561" s="72"/>
      <c r="H561" s="9"/>
      <c r="I561" s="74">
        <f t="shared" si="8"/>
        <v>-129000</v>
      </c>
      <c r="J561" s="35"/>
      <c r="K561" s="19"/>
      <c r="L561" s="19"/>
      <c r="M561" s="19"/>
      <c r="N561" s="19"/>
      <c r="O561" s="36"/>
      <c r="P561" s="2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5"/>
      <c r="AH561" s="11"/>
      <c r="AI561" s="11"/>
      <c r="AJ561" s="11"/>
      <c r="AK561" s="11"/>
      <c r="AL561" s="79"/>
      <c r="AM561" s="45"/>
      <c r="AN561" s="8"/>
    </row>
    <row r="562" spans="2:40" x14ac:dyDescent="0.25">
      <c r="B562" s="147"/>
      <c r="C562" s="89"/>
      <c r="D562" s="89"/>
      <c r="E562" s="102"/>
      <c r="F562" s="90"/>
      <c r="G562" s="72"/>
      <c r="H562" s="9"/>
      <c r="I562" s="74">
        <f t="shared" si="8"/>
        <v>-129000</v>
      </c>
      <c r="J562" s="35"/>
      <c r="K562" s="19"/>
      <c r="L562" s="19"/>
      <c r="M562" s="19"/>
      <c r="N562" s="19"/>
      <c r="O562" s="36"/>
      <c r="P562" s="2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5"/>
      <c r="AH562" s="11"/>
      <c r="AI562" s="11"/>
      <c r="AJ562" s="11"/>
      <c r="AK562" s="11"/>
      <c r="AL562" s="79"/>
      <c r="AM562" s="45"/>
      <c r="AN562" s="8"/>
    </row>
    <row r="563" spans="2:40" x14ac:dyDescent="0.25">
      <c r="B563" s="147"/>
      <c r="C563" s="89"/>
      <c r="D563" s="89"/>
      <c r="E563" s="102"/>
      <c r="F563" s="90"/>
      <c r="G563" s="72"/>
      <c r="H563" s="9"/>
      <c r="I563" s="74">
        <f t="shared" si="8"/>
        <v>-129000</v>
      </c>
      <c r="J563" s="35"/>
      <c r="K563" s="19"/>
      <c r="L563" s="19"/>
      <c r="M563" s="19"/>
      <c r="N563" s="19"/>
      <c r="O563" s="36"/>
      <c r="P563" s="2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5"/>
      <c r="AH563" s="11"/>
      <c r="AI563" s="11"/>
      <c r="AJ563" s="11"/>
      <c r="AK563" s="11"/>
      <c r="AL563" s="79"/>
      <c r="AM563" s="45"/>
      <c r="AN563" s="8"/>
    </row>
    <row r="564" spans="2:40" x14ac:dyDescent="0.25">
      <c r="B564" s="147"/>
      <c r="C564" s="89"/>
      <c r="D564" s="89"/>
      <c r="E564" s="102"/>
      <c r="F564" s="90"/>
      <c r="G564" s="72"/>
      <c r="H564" s="9"/>
      <c r="I564" s="74">
        <f t="shared" si="8"/>
        <v>-129000</v>
      </c>
      <c r="J564" s="35"/>
      <c r="K564" s="19"/>
      <c r="L564" s="19"/>
      <c r="M564" s="19"/>
      <c r="N564" s="19"/>
      <c r="O564" s="36"/>
      <c r="P564" s="2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5"/>
      <c r="AH564" s="11"/>
      <c r="AI564" s="11"/>
      <c r="AJ564" s="11"/>
      <c r="AK564" s="11"/>
      <c r="AL564" s="79"/>
      <c r="AM564" s="45"/>
      <c r="AN564" s="8"/>
    </row>
    <row r="565" spans="2:40" x14ac:dyDescent="0.25">
      <c r="B565" s="147"/>
      <c r="C565" s="89"/>
      <c r="D565" s="89"/>
      <c r="E565" s="102"/>
      <c r="F565" s="90"/>
      <c r="G565" s="72"/>
      <c r="H565" s="9"/>
      <c r="I565" s="74">
        <f t="shared" si="8"/>
        <v>-129000</v>
      </c>
      <c r="J565" s="35"/>
      <c r="K565" s="19"/>
      <c r="L565" s="19"/>
      <c r="M565" s="19"/>
      <c r="N565" s="19"/>
      <c r="O565" s="36"/>
      <c r="P565" s="2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5"/>
      <c r="AH565" s="11"/>
      <c r="AI565" s="11"/>
      <c r="AJ565" s="11"/>
      <c r="AK565" s="11"/>
      <c r="AL565" s="79"/>
      <c r="AM565" s="45"/>
      <c r="AN565" s="8"/>
    </row>
    <row r="566" spans="2:40" x14ac:dyDescent="0.25">
      <c r="B566" s="147"/>
      <c r="C566" s="89"/>
      <c r="D566" s="89"/>
      <c r="E566" s="102"/>
      <c r="F566" s="90"/>
      <c r="G566" s="72"/>
      <c r="H566" s="9"/>
      <c r="I566" s="74">
        <f t="shared" si="8"/>
        <v>-129000</v>
      </c>
      <c r="J566" s="35"/>
      <c r="K566" s="19"/>
      <c r="L566" s="19"/>
      <c r="M566" s="19"/>
      <c r="N566" s="19"/>
      <c r="O566" s="36"/>
      <c r="P566" s="2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5"/>
      <c r="AH566" s="11"/>
      <c r="AI566" s="11"/>
      <c r="AJ566" s="11"/>
      <c r="AK566" s="11"/>
      <c r="AL566" s="79"/>
      <c r="AM566" s="45"/>
      <c r="AN566" s="8"/>
    </row>
    <row r="567" spans="2:40" x14ac:dyDescent="0.25">
      <c r="B567" s="147"/>
      <c r="C567" s="89"/>
      <c r="D567" s="89"/>
      <c r="E567" s="102"/>
      <c r="F567" s="90"/>
      <c r="G567" s="72"/>
      <c r="H567" s="9"/>
      <c r="I567" s="74">
        <f t="shared" si="8"/>
        <v>-129000</v>
      </c>
      <c r="J567" s="35"/>
      <c r="K567" s="19"/>
      <c r="L567" s="19"/>
      <c r="M567" s="19"/>
      <c r="N567" s="19"/>
      <c r="O567" s="36"/>
      <c r="P567" s="2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5"/>
      <c r="AH567" s="11"/>
      <c r="AI567" s="11"/>
      <c r="AJ567" s="11"/>
      <c r="AK567" s="11"/>
      <c r="AL567" s="79"/>
      <c r="AM567" s="45"/>
      <c r="AN567" s="8"/>
    </row>
    <row r="568" spans="2:40" x14ac:dyDescent="0.25">
      <c r="B568" s="147"/>
      <c r="C568" s="89"/>
      <c r="D568" s="89"/>
      <c r="E568" s="102"/>
      <c r="F568" s="90"/>
      <c r="G568" s="72"/>
      <c r="H568" s="9"/>
      <c r="I568" s="74">
        <f t="shared" si="8"/>
        <v>-129000</v>
      </c>
      <c r="J568" s="35"/>
      <c r="K568" s="19"/>
      <c r="L568" s="19"/>
      <c r="M568" s="19"/>
      <c r="N568" s="19"/>
      <c r="O568" s="36"/>
      <c r="P568" s="2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79"/>
      <c r="AM568" s="45"/>
      <c r="AN568" s="8"/>
    </row>
    <row r="569" spans="2:40" x14ac:dyDescent="0.25">
      <c r="B569" s="147"/>
      <c r="C569" s="89"/>
      <c r="D569" s="89"/>
      <c r="E569" s="102"/>
      <c r="F569" s="90"/>
      <c r="G569" s="72"/>
      <c r="H569" s="9"/>
      <c r="I569" s="74">
        <f t="shared" si="8"/>
        <v>-129000</v>
      </c>
      <c r="J569" s="35"/>
      <c r="K569" s="19"/>
      <c r="L569" s="19"/>
      <c r="M569" s="19"/>
      <c r="N569" s="19"/>
      <c r="O569" s="36"/>
      <c r="P569" s="2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79"/>
      <c r="AM569" s="45"/>
      <c r="AN569" s="8"/>
    </row>
    <row r="570" spans="2:40" x14ac:dyDescent="0.25">
      <c r="B570" s="147"/>
      <c r="C570" s="89"/>
      <c r="D570" s="89"/>
      <c r="E570" s="102"/>
      <c r="F570" s="90"/>
      <c r="G570" s="72"/>
      <c r="H570" s="9"/>
      <c r="I570" s="74">
        <f t="shared" si="8"/>
        <v>-129000</v>
      </c>
      <c r="J570" s="35"/>
      <c r="K570" s="19"/>
      <c r="L570" s="19"/>
      <c r="M570" s="19"/>
      <c r="N570" s="19"/>
      <c r="O570" s="36"/>
      <c r="P570" s="2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79"/>
      <c r="AM570" s="45"/>
      <c r="AN570" s="8"/>
    </row>
    <row r="571" spans="2:40" x14ac:dyDescent="0.25">
      <c r="B571" s="147"/>
      <c r="C571" s="89"/>
      <c r="D571" s="89"/>
      <c r="E571" s="102"/>
      <c r="F571" s="90"/>
      <c r="G571" s="72"/>
      <c r="H571" s="9"/>
      <c r="I571" s="74">
        <f t="shared" si="8"/>
        <v>-129000</v>
      </c>
      <c r="J571" s="35"/>
      <c r="K571" s="19"/>
      <c r="L571" s="19"/>
      <c r="M571" s="19"/>
      <c r="N571" s="19"/>
      <c r="O571" s="36"/>
      <c r="P571" s="2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79"/>
      <c r="AM571" s="45"/>
      <c r="AN571" s="8"/>
    </row>
    <row r="572" spans="2:40" x14ac:dyDescent="0.25">
      <c r="B572" s="147"/>
      <c r="C572" s="89"/>
      <c r="D572" s="89"/>
      <c r="E572" s="102"/>
      <c r="F572" s="90"/>
      <c r="G572" s="72"/>
      <c r="H572" s="9"/>
      <c r="I572" s="74">
        <f t="shared" si="8"/>
        <v>-129000</v>
      </c>
      <c r="J572" s="35"/>
      <c r="K572" s="19"/>
      <c r="L572" s="19"/>
      <c r="M572" s="19"/>
      <c r="N572" s="19"/>
      <c r="O572" s="36"/>
      <c r="P572" s="2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79"/>
      <c r="AM572" s="45"/>
      <c r="AN572" s="8"/>
    </row>
    <row r="573" spans="2:40" x14ac:dyDescent="0.25">
      <c r="B573" s="147"/>
      <c r="C573" s="89"/>
      <c r="D573" s="89"/>
      <c r="E573" s="102"/>
      <c r="F573" s="90"/>
      <c r="G573" s="72"/>
      <c r="H573" s="9"/>
      <c r="I573" s="74">
        <f t="shared" si="8"/>
        <v>-129000</v>
      </c>
      <c r="J573" s="35"/>
      <c r="K573" s="19"/>
      <c r="L573" s="19"/>
      <c r="M573" s="19"/>
      <c r="N573" s="19"/>
      <c r="O573" s="36"/>
      <c r="P573" s="2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79"/>
      <c r="AM573" s="45"/>
      <c r="AN573" s="8"/>
    </row>
    <row r="574" spans="2:40" x14ac:dyDescent="0.25">
      <c r="B574" s="147"/>
      <c r="C574" s="89"/>
      <c r="D574" s="89"/>
      <c r="E574" s="102"/>
      <c r="F574" s="90"/>
      <c r="G574" s="72"/>
      <c r="H574" s="9"/>
      <c r="I574" s="74">
        <f t="shared" si="8"/>
        <v>-129000</v>
      </c>
      <c r="J574" s="35"/>
      <c r="K574" s="19"/>
      <c r="L574" s="19"/>
      <c r="M574" s="19"/>
      <c r="N574" s="19"/>
      <c r="O574" s="36"/>
      <c r="P574" s="2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79"/>
      <c r="AM574" s="45"/>
      <c r="AN574" s="8"/>
    </row>
    <row r="575" spans="2:40" x14ac:dyDescent="0.25">
      <c r="B575" s="147"/>
      <c r="C575" s="89"/>
      <c r="D575" s="89"/>
      <c r="E575" s="102"/>
      <c r="F575" s="90"/>
      <c r="G575" s="72"/>
      <c r="H575" s="9"/>
      <c r="I575" s="74">
        <f t="shared" si="8"/>
        <v>-129000</v>
      </c>
      <c r="J575" s="35"/>
      <c r="K575" s="19"/>
      <c r="L575" s="19"/>
      <c r="M575" s="19"/>
      <c r="N575" s="19"/>
      <c r="O575" s="36"/>
      <c r="P575" s="2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79"/>
      <c r="AM575" s="45"/>
      <c r="AN575" s="8"/>
    </row>
    <row r="576" spans="2:40" x14ac:dyDescent="0.25">
      <c r="B576" s="147"/>
      <c r="C576" s="89"/>
      <c r="D576" s="89"/>
      <c r="E576" s="102"/>
      <c r="F576" s="90"/>
      <c r="G576" s="72"/>
      <c r="H576" s="9"/>
      <c r="I576" s="74">
        <f t="shared" si="8"/>
        <v>-129000</v>
      </c>
      <c r="J576" s="35"/>
      <c r="K576" s="19"/>
      <c r="L576" s="19"/>
      <c r="M576" s="19"/>
      <c r="N576" s="19"/>
      <c r="O576" s="36"/>
      <c r="P576" s="2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79"/>
      <c r="AM576" s="45"/>
      <c r="AN576" s="8"/>
    </row>
    <row r="577" spans="2:40" x14ac:dyDescent="0.25">
      <c r="B577" s="147"/>
      <c r="C577" s="89"/>
      <c r="D577" s="89"/>
      <c r="E577" s="102"/>
      <c r="F577" s="90"/>
      <c r="G577" s="72"/>
      <c r="H577" s="9"/>
      <c r="I577" s="74">
        <f t="shared" si="8"/>
        <v>-129000</v>
      </c>
      <c r="J577" s="35"/>
      <c r="K577" s="19"/>
      <c r="L577" s="19"/>
      <c r="M577" s="19"/>
      <c r="N577" s="19"/>
      <c r="O577" s="36"/>
      <c r="P577" s="2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79"/>
      <c r="AM577" s="45"/>
      <c r="AN577" s="8"/>
    </row>
    <row r="578" spans="2:40" x14ac:dyDescent="0.25">
      <c r="B578" s="147"/>
      <c r="C578" s="89"/>
      <c r="D578" s="89"/>
      <c r="E578" s="102"/>
      <c r="F578" s="90"/>
      <c r="G578" s="72"/>
      <c r="H578" s="9"/>
      <c r="I578" s="74">
        <f t="shared" si="8"/>
        <v>-129000</v>
      </c>
      <c r="J578" s="35"/>
      <c r="K578" s="19"/>
      <c r="L578" s="19"/>
      <c r="M578" s="19"/>
      <c r="N578" s="19"/>
      <c r="O578" s="36"/>
      <c r="P578" s="2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79"/>
      <c r="AM578" s="45"/>
      <c r="AN578" s="8"/>
    </row>
    <row r="579" spans="2:40" x14ac:dyDescent="0.25">
      <c r="B579" s="147"/>
      <c r="C579" s="89"/>
      <c r="D579" s="89"/>
      <c r="E579" s="102"/>
      <c r="F579" s="90"/>
      <c r="G579" s="72"/>
      <c r="H579" s="9"/>
      <c r="I579" s="74">
        <f t="shared" si="8"/>
        <v>-129000</v>
      </c>
      <c r="J579" s="35"/>
      <c r="K579" s="19"/>
      <c r="L579" s="19"/>
      <c r="M579" s="19"/>
      <c r="N579" s="19"/>
      <c r="O579" s="36"/>
      <c r="P579" s="2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79"/>
      <c r="AM579" s="45"/>
      <c r="AN579" s="8"/>
    </row>
    <row r="580" spans="2:40" x14ac:dyDescent="0.25">
      <c r="B580" s="147"/>
      <c r="C580" s="89"/>
      <c r="D580" s="89"/>
      <c r="E580" s="102"/>
      <c r="F580" s="90"/>
      <c r="G580" s="72"/>
      <c r="H580" s="9"/>
      <c r="I580" s="74">
        <f t="shared" si="8"/>
        <v>-129000</v>
      </c>
      <c r="J580" s="35"/>
      <c r="K580" s="19"/>
      <c r="L580" s="19"/>
      <c r="M580" s="19"/>
      <c r="N580" s="19"/>
      <c r="O580" s="36"/>
      <c r="P580" s="22"/>
      <c r="Q580" s="11"/>
      <c r="R580" s="11"/>
      <c r="S580" s="11"/>
      <c r="T580" s="11"/>
      <c r="U580" s="11"/>
      <c r="V580" s="11"/>
      <c r="W580" s="11"/>
      <c r="X580" s="11"/>
      <c r="Y580" s="11"/>
      <c r="Z580" s="14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79"/>
      <c r="AM580" s="45"/>
      <c r="AN580" s="8"/>
    </row>
    <row r="581" spans="2:40" x14ac:dyDescent="0.25">
      <c r="B581" s="147"/>
      <c r="C581" s="89"/>
      <c r="D581" s="89"/>
      <c r="E581" s="102"/>
      <c r="F581" s="90"/>
      <c r="G581" s="72"/>
      <c r="H581" s="9"/>
      <c r="I581" s="74">
        <f t="shared" si="8"/>
        <v>-129000</v>
      </c>
      <c r="J581" s="35"/>
      <c r="K581" s="19"/>
      <c r="L581" s="19"/>
      <c r="M581" s="19"/>
      <c r="N581" s="19"/>
      <c r="O581" s="36"/>
      <c r="P581" s="2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79"/>
      <c r="AM581" s="45"/>
      <c r="AN581" s="8"/>
    </row>
    <row r="582" spans="2:40" x14ac:dyDescent="0.25">
      <c r="B582" s="147"/>
      <c r="C582" s="89"/>
      <c r="D582" s="89"/>
      <c r="E582" s="102"/>
      <c r="F582" s="90"/>
      <c r="G582" s="72"/>
      <c r="H582" s="9"/>
      <c r="I582" s="74">
        <f t="shared" si="8"/>
        <v>-129000</v>
      </c>
      <c r="J582" s="35"/>
      <c r="K582" s="19"/>
      <c r="L582" s="19"/>
      <c r="M582" s="19"/>
      <c r="N582" s="19"/>
      <c r="O582" s="36"/>
      <c r="P582" s="22"/>
      <c r="Q582" s="11"/>
      <c r="R582" s="11"/>
      <c r="S582" s="11"/>
      <c r="T582" s="11"/>
      <c r="U582" s="12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79"/>
      <c r="AM582" s="45"/>
      <c r="AN582" s="8"/>
    </row>
    <row r="583" spans="2:40" x14ac:dyDescent="0.25">
      <c r="B583" s="147"/>
      <c r="C583" s="89"/>
      <c r="D583" s="89"/>
      <c r="E583" s="102"/>
      <c r="F583" s="90"/>
      <c r="G583" s="72"/>
      <c r="H583" s="9"/>
      <c r="I583" s="74">
        <f t="shared" si="8"/>
        <v>-129000</v>
      </c>
      <c r="J583" s="35"/>
      <c r="K583" s="19"/>
      <c r="L583" s="19"/>
      <c r="M583" s="19"/>
      <c r="N583" s="19"/>
      <c r="O583" s="36"/>
      <c r="P583" s="22"/>
      <c r="Q583" s="12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7"/>
      <c r="AJ583" s="17"/>
      <c r="AK583" s="17"/>
      <c r="AL583" s="83"/>
      <c r="AM583" s="45"/>
      <c r="AN583" s="8"/>
    </row>
    <row r="584" spans="2:40" x14ac:dyDescent="0.25">
      <c r="B584" s="147"/>
      <c r="C584" s="89"/>
      <c r="D584" s="89"/>
      <c r="E584" s="102"/>
      <c r="F584" s="90"/>
      <c r="G584" s="72"/>
      <c r="H584" s="9"/>
      <c r="I584" s="74">
        <f t="shared" si="8"/>
        <v>-129000</v>
      </c>
      <c r="J584" s="35"/>
      <c r="K584" s="19"/>
      <c r="L584" s="19"/>
      <c r="M584" s="19"/>
      <c r="N584" s="19"/>
      <c r="O584" s="36"/>
      <c r="P584" s="2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8"/>
      <c r="AJ584" s="18"/>
      <c r="AK584" s="18"/>
      <c r="AL584" s="84"/>
      <c r="AM584" s="45"/>
      <c r="AN584" s="8"/>
    </row>
    <row r="585" spans="2:40" x14ac:dyDescent="0.25">
      <c r="B585" s="147"/>
      <c r="C585" s="89"/>
      <c r="D585" s="89"/>
      <c r="E585" s="102"/>
      <c r="F585" s="90"/>
      <c r="G585" s="72"/>
      <c r="H585" s="9"/>
      <c r="I585" s="74">
        <f t="shared" si="8"/>
        <v>-129000</v>
      </c>
      <c r="J585" s="35"/>
      <c r="K585" s="19"/>
      <c r="L585" s="19"/>
      <c r="M585" s="19"/>
      <c r="N585" s="19"/>
      <c r="O585" s="36"/>
      <c r="P585" s="2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79"/>
      <c r="AM585" s="45"/>
      <c r="AN585" s="8"/>
    </row>
    <row r="586" spans="2:40" x14ac:dyDescent="0.25">
      <c r="B586" s="147"/>
      <c r="C586" s="89"/>
      <c r="D586" s="89"/>
      <c r="E586" s="102"/>
      <c r="F586" s="90"/>
      <c r="G586" s="72"/>
      <c r="H586" s="9"/>
      <c r="I586" s="74">
        <f t="shared" si="8"/>
        <v>-129000</v>
      </c>
      <c r="J586" s="35"/>
      <c r="K586" s="19"/>
      <c r="L586" s="19"/>
      <c r="M586" s="19"/>
      <c r="N586" s="19"/>
      <c r="O586" s="36"/>
      <c r="P586" s="2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8"/>
      <c r="AJ586" s="18"/>
      <c r="AK586" s="18"/>
      <c r="AL586" s="84"/>
      <c r="AM586" s="45"/>
      <c r="AN586" s="8"/>
    </row>
    <row r="587" spans="2:40" x14ac:dyDescent="0.25">
      <c r="B587" s="147"/>
      <c r="C587" s="89"/>
      <c r="D587" s="89"/>
      <c r="E587" s="102"/>
      <c r="F587" s="90"/>
      <c r="G587" s="72"/>
      <c r="H587" s="9"/>
      <c r="I587" s="74">
        <f t="shared" si="8"/>
        <v>-129000</v>
      </c>
      <c r="J587" s="35"/>
      <c r="K587" s="19"/>
      <c r="L587" s="19"/>
      <c r="M587" s="19"/>
      <c r="N587" s="19"/>
      <c r="O587" s="36"/>
      <c r="P587" s="2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79"/>
      <c r="AM587" s="45"/>
      <c r="AN587" s="8"/>
    </row>
    <row r="588" spans="2:40" x14ac:dyDescent="0.25">
      <c r="B588" s="147"/>
      <c r="C588" s="89"/>
      <c r="D588" s="89"/>
      <c r="E588" s="102"/>
      <c r="F588" s="90"/>
      <c r="G588" s="72"/>
      <c r="H588" s="9"/>
      <c r="I588" s="74">
        <f t="shared" si="8"/>
        <v>-129000</v>
      </c>
      <c r="J588" s="35"/>
      <c r="K588" s="19"/>
      <c r="L588" s="19"/>
      <c r="M588" s="19"/>
      <c r="N588" s="19"/>
      <c r="O588" s="36"/>
      <c r="P588" s="2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79"/>
      <c r="AM588" s="45"/>
      <c r="AN588" s="8"/>
    </row>
    <row r="589" spans="2:40" ht="10" thickBot="1" x14ac:dyDescent="0.3">
      <c r="B589" s="147"/>
      <c r="C589" s="89"/>
      <c r="D589" s="89"/>
      <c r="E589" s="102"/>
      <c r="F589" s="90"/>
      <c r="G589" s="96"/>
      <c r="H589" s="97"/>
      <c r="I589" s="98">
        <f>I588+G589-H589</f>
        <v>-129000</v>
      </c>
      <c r="J589" s="42"/>
      <c r="K589" s="43"/>
      <c r="L589" s="43"/>
      <c r="M589" s="43"/>
      <c r="N589" s="43"/>
      <c r="O589" s="44"/>
      <c r="P589" s="48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4"/>
      <c r="AB589" s="54"/>
      <c r="AC589" s="54"/>
      <c r="AD589" s="54"/>
      <c r="AE589" s="53"/>
      <c r="AF589" s="53"/>
      <c r="AG589" s="53"/>
      <c r="AH589" s="53"/>
      <c r="AI589" s="53"/>
      <c r="AJ589" s="53"/>
      <c r="AK589" s="53"/>
      <c r="AL589" s="85"/>
      <c r="AM589" s="55"/>
      <c r="AN589" s="8"/>
    </row>
    <row r="590" spans="2:40" ht="10" thickBot="1" x14ac:dyDescent="0.3">
      <c r="B590" s="147"/>
      <c r="C590" s="94"/>
      <c r="D590" s="94"/>
      <c r="E590" s="104"/>
      <c r="F590" s="95"/>
      <c r="G590" s="99">
        <f>SUM(G13:G589)</f>
        <v>0</v>
      </c>
      <c r="H590" s="100">
        <f>SUM(H13:H589)</f>
        <v>129000</v>
      </c>
      <c r="I590" s="101"/>
      <c r="J590" s="39">
        <f t="shared" ref="J590:O590" si="9">SUM(J16:J589)</f>
        <v>0</v>
      </c>
      <c r="K590" s="40">
        <f t="shared" si="9"/>
        <v>0</v>
      </c>
      <c r="L590" s="40">
        <f t="shared" si="9"/>
        <v>0</v>
      </c>
      <c r="M590" s="40">
        <f t="shared" si="9"/>
        <v>0</v>
      </c>
      <c r="N590" s="40">
        <f t="shared" si="9"/>
        <v>0</v>
      </c>
      <c r="O590" s="41">
        <f t="shared" si="9"/>
        <v>0</v>
      </c>
      <c r="P590" s="49">
        <f t="shared" ref="P590:AH590" si="10">SUM(P13:P589)</f>
        <v>0</v>
      </c>
      <c r="Q590" s="50">
        <f t="shared" si="10"/>
        <v>0</v>
      </c>
      <c r="R590" s="50">
        <f t="shared" si="10"/>
        <v>0</v>
      </c>
      <c r="S590" s="50">
        <f t="shared" si="10"/>
        <v>0</v>
      </c>
      <c r="T590" s="50">
        <f t="shared" si="10"/>
        <v>0</v>
      </c>
      <c r="U590" s="50">
        <f t="shared" si="10"/>
        <v>22900</v>
      </c>
      <c r="V590" s="50">
        <f t="shared" si="10"/>
        <v>0</v>
      </c>
      <c r="W590" s="50">
        <f t="shared" si="10"/>
        <v>0</v>
      </c>
      <c r="X590" s="50">
        <f t="shared" si="10"/>
        <v>0</v>
      </c>
      <c r="Y590" s="51">
        <f t="shared" si="10"/>
        <v>0</v>
      </c>
      <c r="Z590" s="50">
        <f>SUM(Z13:Z589)</f>
        <v>0</v>
      </c>
      <c r="AA590" s="50">
        <f t="shared" si="10"/>
        <v>0</v>
      </c>
      <c r="AB590" s="50">
        <f t="shared" si="10"/>
        <v>0</v>
      </c>
      <c r="AC590" s="50">
        <f t="shared" si="10"/>
        <v>0</v>
      </c>
      <c r="AD590" s="50">
        <f t="shared" si="10"/>
        <v>0</v>
      </c>
      <c r="AE590" s="50">
        <f t="shared" si="10"/>
        <v>0</v>
      </c>
      <c r="AF590" s="50">
        <f t="shared" si="10"/>
        <v>0</v>
      </c>
      <c r="AG590" s="50">
        <f t="shared" si="10"/>
        <v>0</v>
      </c>
      <c r="AH590" s="50">
        <f t="shared" si="10"/>
        <v>0</v>
      </c>
      <c r="AI590" s="50">
        <f>SUM(AI13:AI589)</f>
        <v>0</v>
      </c>
      <c r="AJ590" s="50"/>
      <c r="AK590" s="50">
        <f>SUM(AK13:AK589)</f>
        <v>0</v>
      </c>
      <c r="AL590" s="86"/>
      <c r="AM590" s="52">
        <f>SUM(AM13:AM589)</f>
        <v>0</v>
      </c>
      <c r="AN590" s="8"/>
    </row>
    <row r="591" spans="2:40" x14ac:dyDescent="0.25">
      <c r="H591" s="8"/>
      <c r="I591" s="8"/>
      <c r="J591" s="8"/>
      <c r="K591" s="8"/>
      <c r="L591" s="8"/>
      <c r="M591" s="8"/>
      <c r="N591" s="8"/>
      <c r="O591" s="8"/>
      <c r="P591" s="4"/>
      <c r="S591" s="4"/>
      <c r="T591" s="4"/>
      <c r="Y591" s="4"/>
      <c r="AA591" s="4"/>
      <c r="AB591" s="4"/>
      <c r="AC591" s="4"/>
      <c r="AD591" s="4"/>
      <c r="AG591" s="4"/>
    </row>
    <row r="592" spans="2:40" x14ac:dyDescent="0.25">
      <c r="H592" s="8"/>
      <c r="I592" s="8"/>
      <c r="J592" s="8"/>
      <c r="K592" s="8"/>
      <c r="L592" s="8"/>
      <c r="M592" s="8"/>
      <c r="N592" s="8"/>
      <c r="O592" s="8"/>
      <c r="P592" s="4"/>
      <c r="S592" s="4"/>
      <c r="T592" s="4"/>
      <c r="Y592" s="4"/>
      <c r="AA592" s="4"/>
      <c r="AB592" s="4"/>
      <c r="AC592" s="4"/>
      <c r="AD592" s="4"/>
      <c r="AG592" s="4"/>
    </row>
  </sheetData>
  <autoFilter ref="B14:AN590" xr:uid="{00000000-0009-0000-0000-000006000000}"/>
  <mergeCells count="13">
    <mergeCell ref="G13:G14"/>
    <mergeCell ref="H13:H14"/>
    <mergeCell ref="I13:I14"/>
    <mergeCell ref="B13:B14"/>
    <mergeCell ref="C13:C14"/>
    <mergeCell ref="D13:D14"/>
    <mergeCell ref="E13:E14"/>
    <mergeCell ref="F13:F14"/>
    <mergeCell ref="P13:R13"/>
    <mergeCell ref="S13:AK13"/>
    <mergeCell ref="AL13:AM13"/>
    <mergeCell ref="J12:O13"/>
    <mergeCell ref="P12:AM12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31"/>
  <sheetViews>
    <sheetView workbookViewId="0">
      <selection sqref="A1:XFD1048576"/>
    </sheetView>
  </sheetViews>
  <sheetFormatPr defaultColWidth="11.453125" defaultRowHeight="9.5" x14ac:dyDescent="0.25"/>
  <cols>
    <col min="1" max="1" width="2.453125" style="4" customWidth="1"/>
    <col min="2" max="2" width="6.81640625" style="4" bestFit="1" customWidth="1"/>
    <col min="3" max="3" width="25.1796875" style="254" customWidth="1"/>
    <col min="4" max="4" width="17.6328125" style="4" customWidth="1"/>
    <col min="5" max="5" width="11.6328125" style="254" customWidth="1"/>
    <col min="6" max="6" width="9.08984375" style="4" customWidth="1"/>
    <col min="7" max="7" width="17.26953125" style="4" customWidth="1"/>
    <col min="8" max="8" width="9.81640625" style="4" bestFit="1" customWidth="1"/>
    <col min="9" max="16384" width="11.453125" style="4"/>
  </cols>
  <sheetData>
    <row r="1" spans="2:8" x14ac:dyDescent="0.25">
      <c r="B1" s="1"/>
      <c r="C1" s="251"/>
      <c r="D1" s="1"/>
      <c r="E1" s="251"/>
      <c r="F1" s="1"/>
      <c r="G1" s="2"/>
      <c r="H1" s="2"/>
    </row>
    <row r="2" spans="2:8" x14ac:dyDescent="0.25">
      <c r="B2" s="1"/>
      <c r="C2" s="251"/>
      <c r="D2" s="1"/>
      <c r="E2" s="251"/>
      <c r="F2" s="1"/>
      <c r="G2" s="2"/>
      <c r="H2" s="2"/>
    </row>
    <row r="3" spans="2:8" x14ac:dyDescent="0.25">
      <c r="B3" s="1"/>
      <c r="C3" s="251"/>
      <c r="D3" s="1"/>
      <c r="E3" s="251"/>
      <c r="F3" s="1"/>
      <c r="G3" s="2"/>
      <c r="H3" s="2"/>
    </row>
    <row r="4" spans="2:8" x14ac:dyDescent="0.25">
      <c r="B4" s="1"/>
      <c r="C4" s="251"/>
      <c r="D4" s="1"/>
      <c r="E4" s="251"/>
      <c r="F4" s="1"/>
      <c r="G4" s="2"/>
      <c r="H4" s="2"/>
    </row>
    <row r="5" spans="2:8" x14ac:dyDescent="0.25">
      <c r="B5" s="1"/>
      <c r="C5" s="251"/>
      <c r="D5" s="1"/>
      <c r="E5" s="251"/>
      <c r="F5" s="1"/>
      <c r="G5" s="2"/>
      <c r="H5" s="2"/>
    </row>
    <row r="6" spans="2:8" x14ac:dyDescent="0.25">
      <c r="B6" s="1"/>
      <c r="C6" s="251"/>
      <c r="D6" s="1"/>
      <c r="E6" s="251"/>
      <c r="F6" s="1"/>
      <c r="G6" s="2"/>
      <c r="H6" s="2"/>
    </row>
    <row r="7" spans="2:8" x14ac:dyDescent="0.25">
      <c r="B7" s="1"/>
      <c r="C7" s="251"/>
      <c r="D7" s="1"/>
      <c r="E7" s="251"/>
      <c r="F7" s="1"/>
      <c r="G7" s="2"/>
      <c r="H7" s="2"/>
    </row>
    <row r="8" spans="2:8" x14ac:dyDescent="0.25">
      <c r="B8" s="1"/>
      <c r="C8" s="251"/>
      <c r="D8" s="1"/>
      <c r="E8" s="251"/>
      <c r="F8" s="1"/>
      <c r="G8" s="2"/>
      <c r="H8" s="2"/>
    </row>
    <row r="9" spans="2:8" x14ac:dyDescent="0.25">
      <c r="B9" s="1"/>
      <c r="C9" s="251"/>
      <c r="D9" s="1"/>
      <c r="E9" s="251"/>
      <c r="F9" s="1"/>
      <c r="G9" s="2"/>
      <c r="H9" s="2"/>
    </row>
    <row r="10" spans="2:8" x14ac:dyDescent="0.25">
      <c r="B10" s="76" t="s">
        <v>25</v>
      </c>
      <c r="C10" s="260"/>
      <c r="D10" s="1"/>
      <c r="E10" s="251"/>
      <c r="F10" s="1"/>
      <c r="G10" s="2"/>
      <c r="H10" s="2"/>
    </row>
    <row r="11" spans="2:8" ht="10" thickBot="1" x14ac:dyDescent="0.3">
      <c r="B11" s="1"/>
      <c r="C11" s="251"/>
      <c r="D11" s="1"/>
      <c r="E11" s="251"/>
      <c r="F11" s="1"/>
      <c r="G11" s="2"/>
      <c r="H11" s="2"/>
    </row>
    <row r="12" spans="2:8" s="6" customFormat="1" ht="7.5" customHeight="1" x14ac:dyDescent="0.35">
      <c r="B12" s="305" t="s">
        <v>26</v>
      </c>
      <c r="C12" s="299" t="s">
        <v>22</v>
      </c>
      <c r="D12" s="299" t="s">
        <v>27</v>
      </c>
      <c r="E12" s="307" t="s">
        <v>38</v>
      </c>
      <c r="F12" s="301" t="s">
        <v>23</v>
      </c>
      <c r="G12" s="303" t="s">
        <v>20</v>
      </c>
      <c r="H12" s="297" t="s">
        <v>21</v>
      </c>
    </row>
    <row r="13" spans="2:8" s="6" customFormat="1" ht="10" thickBot="1" x14ac:dyDescent="0.4">
      <c r="B13" s="306"/>
      <c r="C13" s="300"/>
      <c r="D13" s="300"/>
      <c r="E13" s="308"/>
      <c r="F13" s="302"/>
      <c r="G13" s="304"/>
      <c r="H13" s="298"/>
    </row>
    <row r="14" spans="2:8" x14ac:dyDescent="0.25">
      <c r="B14" s="88">
        <v>44887</v>
      </c>
      <c r="C14" s="132" t="s">
        <v>285</v>
      </c>
      <c r="D14" s="108"/>
      <c r="E14" s="149" t="s">
        <v>314</v>
      </c>
      <c r="F14" s="128">
        <v>0</v>
      </c>
      <c r="G14" s="131">
        <v>90000</v>
      </c>
      <c r="H14" s="131">
        <v>90000</v>
      </c>
    </row>
    <row r="15" spans="2:8" x14ac:dyDescent="0.25">
      <c r="B15" s="88">
        <v>44887</v>
      </c>
      <c r="C15" s="132" t="s">
        <v>318</v>
      </c>
      <c r="D15" s="108"/>
      <c r="E15" s="149" t="s">
        <v>314</v>
      </c>
      <c r="F15" s="128">
        <v>0</v>
      </c>
      <c r="G15" s="131">
        <v>100000</v>
      </c>
      <c r="H15" s="74">
        <f>H14+F15-G15</f>
        <v>-10000</v>
      </c>
    </row>
    <row r="16" spans="2:8" x14ac:dyDescent="0.25">
      <c r="B16" s="88">
        <v>44889</v>
      </c>
      <c r="C16" s="132" t="s">
        <v>306</v>
      </c>
      <c r="D16" s="108"/>
      <c r="E16" s="149" t="s">
        <v>314</v>
      </c>
      <c r="F16" s="128">
        <v>0</v>
      </c>
      <c r="G16" s="131">
        <v>300000</v>
      </c>
      <c r="H16" s="74">
        <f t="shared" ref="H16:H28" si="0">H15+F16-G16</f>
        <v>-310000</v>
      </c>
    </row>
    <row r="17" spans="2:8" x14ac:dyDescent="0.25">
      <c r="B17" s="88">
        <v>44889</v>
      </c>
      <c r="C17" s="132" t="s">
        <v>307</v>
      </c>
      <c r="D17" s="108"/>
      <c r="E17" s="149" t="s">
        <v>314</v>
      </c>
      <c r="F17" s="128">
        <v>0</v>
      </c>
      <c r="G17" s="131">
        <v>1045000</v>
      </c>
      <c r="H17" s="74">
        <f t="shared" si="0"/>
        <v>-1355000</v>
      </c>
    </row>
    <row r="18" spans="2:8" x14ac:dyDescent="0.25">
      <c r="B18" s="88">
        <v>44889</v>
      </c>
      <c r="C18" s="132" t="s">
        <v>308</v>
      </c>
      <c r="D18" s="108"/>
      <c r="E18" s="149" t="s">
        <v>314</v>
      </c>
      <c r="F18" s="128">
        <v>0</v>
      </c>
      <c r="G18" s="131">
        <v>2000000</v>
      </c>
      <c r="H18" s="74">
        <f t="shared" si="0"/>
        <v>-3355000</v>
      </c>
    </row>
    <row r="19" spans="2:8" x14ac:dyDescent="0.25">
      <c r="B19" s="88">
        <v>44889</v>
      </c>
      <c r="C19" s="132" t="s">
        <v>309</v>
      </c>
      <c r="D19" s="108"/>
      <c r="E19" s="149" t="s">
        <v>314</v>
      </c>
      <c r="F19" s="128">
        <v>0</v>
      </c>
      <c r="G19" s="131">
        <v>2553125</v>
      </c>
      <c r="H19" s="74">
        <f t="shared" si="0"/>
        <v>-5908125</v>
      </c>
    </row>
    <row r="20" spans="2:8" x14ac:dyDescent="0.25">
      <c r="B20" s="88">
        <v>44889</v>
      </c>
      <c r="C20" s="132" t="s">
        <v>310</v>
      </c>
      <c r="D20" s="108"/>
      <c r="E20" s="149" t="s">
        <v>314</v>
      </c>
      <c r="F20" s="128">
        <v>0</v>
      </c>
      <c r="G20" s="131">
        <v>1300000</v>
      </c>
      <c r="H20" s="74">
        <f t="shared" si="0"/>
        <v>-7208125</v>
      </c>
    </row>
    <row r="21" spans="2:8" x14ac:dyDescent="0.25">
      <c r="B21" s="88">
        <v>44889</v>
      </c>
      <c r="C21" s="132" t="s">
        <v>311</v>
      </c>
      <c r="D21" s="108"/>
      <c r="E21" s="149" t="s">
        <v>314</v>
      </c>
      <c r="F21" s="128">
        <v>0</v>
      </c>
      <c r="G21" s="131">
        <v>170000</v>
      </c>
      <c r="H21" s="74">
        <f t="shared" si="0"/>
        <v>-7378125</v>
      </c>
    </row>
    <row r="22" spans="2:8" x14ac:dyDescent="0.25">
      <c r="B22" s="88">
        <v>44893</v>
      </c>
      <c r="C22" s="132" t="s">
        <v>322</v>
      </c>
      <c r="D22" s="108"/>
      <c r="E22" s="149" t="s">
        <v>314</v>
      </c>
      <c r="F22" s="128">
        <v>0</v>
      </c>
      <c r="G22" s="131">
        <v>125000</v>
      </c>
      <c r="H22" s="74">
        <f t="shared" si="0"/>
        <v>-7503125</v>
      </c>
    </row>
    <row r="23" spans="2:8" x14ac:dyDescent="0.25">
      <c r="B23" s="88">
        <v>44895</v>
      </c>
      <c r="C23" s="132" t="s">
        <v>326</v>
      </c>
      <c r="D23" s="108"/>
      <c r="E23" s="149" t="s">
        <v>314</v>
      </c>
      <c r="F23" s="128">
        <v>0</v>
      </c>
      <c r="G23" s="131">
        <v>130000</v>
      </c>
      <c r="H23" s="74">
        <f t="shared" si="0"/>
        <v>-7633125</v>
      </c>
    </row>
    <row r="24" spans="2:8" x14ac:dyDescent="0.25">
      <c r="B24" s="88">
        <v>44904</v>
      </c>
      <c r="C24" s="259" t="s">
        <v>362</v>
      </c>
      <c r="D24" s="89"/>
      <c r="E24" s="252" t="s">
        <v>314</v>
      </c>
      <c r="F24" s="72"/>
      <c r="G24" s="9">
        <v>42000</v>
      </c>
      <c r="H24" s="74">
        <f t="shared" si="0"/>
        <v>-7675125</v>
      </c>
    </row>
    <row r="25" spans="2:8" x14ac:dyDescent="0.25">
      <c r="B25" s="88">
        <v>44904</v>
      </c>
      <c r="C25" s="259" t="s">
        <v>363</v>
      </c>
      <c r="D25" s="89"/>
      <c r="E25" s="252" t="s">
        <v>314</v>
      </c>
      <c r="F25" s="72"/>
      <c r="G25" s="9">
        <v>370000</v>
      </c>
      <c r="H25" s="74">
        <f t="shared" si="0"/>
        <v>-8045125</v>
      </c>
    </row>
    <row r="26" spans="2:8" x14ac:dyDescent="0.25">
      <c r="B26" s="88">
        <v>44904</v>
      </c>
      <c r="C26" s="259" t="s">
        <v>364</v>
      </c>
      <c r="D26" s="89"/>
      <c r="E26" s="252" t="s">
        <v>314</v>
      </c>
      <c r="F26" s="72"/>
      <c r="G26" s="9">
        <v>26500</v>
      </c>
      <c r="H26" s="74">
        <f t="shared" si="0"/>
        <v>-8071625</v>
      </c>
    </row>
    <row r="27" spans="2:8" ht="7.5" customHeight="1" x14ac:dyDescent="0.25">
      <c r="B27" s="88">
        <v>44904</v>
      </c>
      <c r="C27" s="259" t="s">
        <v>392</v>
      </c>
      <c r="D27" s="89"/>
      <c r="E27" s="252" t="s">
        <v>314</v>
      </c>
      <c r="F27" s="72"/>
      <c r="G27" s="9">
        <v>4914525</v>
      </c>
      <c r="H27" s="74">
        <f t="shared" si="0"/>
        <v>-12986150</v>
      </c>
    </row>
    <row r="28" spans="2:8" ht="10" thickBot="1" x14ac:dyDescent="0.3">
      <c r="B28" s="88">
        <v>44909</v>
      </c>
      <c r="C28" s="259" t="s">
        <v>388</v>
      </c>
      <c r="D28" s="89"/>
      <c r="E28" s="252" t="s">
        <v>314</v>
      </c>
      <c r="F28" s="72"/>
      <c r="G28" s="9">
        <v>630000</v>
      </c>
      <c r="H28" s="74">
        <f t="shared" si="0"/>
        <v>-13616150</v>
      </c>
    </row>
    <row r="29" spans="2:8" ht="10" thickBot="1" x14ac:dyDescent="0.3">
      <c r="B29" s="93"/>
      <c r="C29" s="261"/>
      <c r="D29" s="94"/>
      <c r="E29" s="253"/>
      <c r="F29" s="99">
        <f>SUM(F12:F28)</f>
        <v>0</v>
      </c>
      <c r="G29" s="100">
        <f>SUM(G12:G28)</f>
        <v>13796150</v>
      </c>
      <c r="H29" s="101"/>
    </row>
    <row r="30" spans="2:8" x14ac:dyDescent="0.25">
      <c r="G30" s="8"/>
      <c r="H30" s="8"/>
    </row>
    <row r="31" spans="2:8" x14ac:dyDescent="0.25">
      <c r="G31" s="8"/>
      <c r="H31" s="8"/>
    </row>
  </sheetData>
  <autoFilter ref="B12:H29" xr:uid="{00000000-0009-0000-0000-000007000000}"/>
  <mergeCells count="7">
    <mergeCell ref="H12:H13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29"/>
  <sheetViews>
    <sheetView workbookViewId="0">
      <selection sqref="A1:XFD1048576"/>
    </sheetView>
  </sheetViews>
  <sheetFormatPr defaultColWidth="11.453125" defaultRowHeight="9.5" x14ac:dyDescent="0.25"/>
  <cols>
    <col min="1" max="1" width="2.453125" style="4" customWidth="1"/>
    <col min="2" max="2" width="6.81640625" style="4" bestFit="1" customWidth="1"/>
    <col min="3" max="3" width="25.1796875" style="254" customWidth="1"/>
    <col min="4" max="4" width="17.6328125" style="4" customWidth="1"/>
    <col min="5" max="5" width="11.6328125" style="254" customWidth="1"/>
    <col min="6" max="6" width="9.08984375" style="4" customWidth="1"/>
    <col min="7" max="7" width="17.26953125" style="4" customWidth="1"/>
    <col min="8" max="8" width="9.81640625" style="4" bestFit="1" customWidth="1"/>
    <col min="9" max="16384" width="11.453125" style="4"/>
  </cols>
  <sheetData>
    <row r="1" spans="2:8" x14ac:dyDescent="0.25">
      <c r="B1" s="1"/>
      <c r="C1" s="251"/>
      <c r="D1" s="1"/>
      <c r="E1" s="251"/>
      <c r="F1" s="1"/>
      <c r="G1" s="2"/>
      <c r="H1" s="2"/>
    </row>
    <row r="2" spans="2:8" x14ac:dyDescent="0.25">
      <c r="B2" s="1"/>
      <c r="C2" s="251"/>
      <c r="D2" s="1"/>
      <c r="E2" s="251"/>
      <c r="F2" s="1"/>
      <c r="G2" s="2"/>
      <c r="H2" s="2"/>
    </row>
    <row r="3" spans="2:8" x14ac:dyDescent="0.25">
      <c r="B3" s="1"/>
      <c r="C3" s="251"/>
      <c r="D3" s="1"/>
      <c r="E3" s="251"/>
      <c r="F3" s="1"/>
      <c r="G3" s="2"/>
      <c r="H3" s="2"/>
    </row>
    <row r="4" spans="2:8" x14ac:dyDescent="0.25">
      <c r="B4" s="1"/>
      <c r="C4" s="251"/>
      <c r="D4" s="1"/>
      <c r="E4" s="251"/>
      <c r="F4" s="1"/>
      <c r="G4" s="2"/>
      <c r="H4" s="2"/>
    </row>
    <row r="5" spans="2:8" x14ac:dyDescent="0.25">
      <c r="B5" s="1"/>
      <c r="C5" s="251"/>
      <c r="D5" s="1"/>
      <c r="E5" s="251"/>
      <c r="F5" s="1"/>
      <c r="G5" s="2"/>
      <c r="H5" s="2"/>
    </row>
    <row r="6" spans="2:8" x14ac:dyDescent="0.25">
      <c r="B6" s="1"/>
      <c r="C6" s="251"/>
      <c r="D6" s="1"/>
      <c r="E6" s="251"/>
      <c r="F6" s="1"/>
      <c r="G6" s="2"/>
      <c r="H6" s="2"/>
    </row>
    <row r="7" spans="2:8" x14ac:dyDescent="0.25">
      <c r="B7" s="1"/>
      <c r="C7" s="251"/>
      <c r="D7" s="1"/>
      <c r="E7" s="251"/>
      <c r="F7" s="1"/>
      <c r="G7" s="2"/>
      <c r="H7" s="2"/>
    </row>
    <row r="8" spans="2:8" x14ac:dyDescent="0.25">
      <c r="B8" s="1"/>
      <c r="C8" s="251"/>
      <c r="D8" s="1"/>
      <c r="E8" s="251"/>
      <c r="F8" s="1"/>
      <c r="G8" s="2"/>
      <c r="H8" s="2"/>
    </row>
    <row r="9" spans="2:8" x14ac:dyDescent="0.25">
      <c r="B9" s="1"/>
      <c r="C9" s="251"/>
      <c r="D9" s="1"/>
      <c r="E9" s="251"/>
      <c r="F9" s="1"/>
      <c r="G9" s="2"/>
      <c r="H9" s="2"/>
    </row>
    <row r="10" spans="2:8" x14ac:dyDescent="0.25">
      <c r="B10" s="76" t="s">
        <v>25</v>
      </c>
      <c r="C10" s="260"/>
      <c r="D10" s="1"/>
      <c r="E10" s="251"/>
      <c r="F10" s="1"/>
      <c r="G10" s="2"/>
      <c r="H10" s="2"/>
    </row>
    <row r="11" spans="2:8" ht="10" thickBot="1" x14ac:dyDescent="0.3">
      <c r="B11" s="1"/>
      <c r="C11" s="251"/>
      <c r="D11" s="1"/>
      <c r="E11" s="251"/>
      <c r="F11" s="1"/>
      <c r="G11" s="2"/>
      <c r="H11" s="2"/>
    </row>
    <row r="12" spans="2:8" s="6" customFormat="1" ht="7.5" customHeight="1" x14ac:dyDescent="0.35">
      <c r="B12" s="305" t="s">
        <v>26</v>
      </c>
      <c r="C12" s="299" t="s">
        <v>22</v>
      </c>
      <c r="D12" s="299" t="s">
        <v>27</v>
      </c>
      <c r="E12" s="307" t="s">
        <v>38</v>
      </c>
      <c r="F12" s="301" t="s">
        <v>23</v>
      </c>
      <c r="G12" s="303" t="s">
        <v>20</v>
      </c>
      <c r="H12" s="297" t="s">
        <v>21</v>
      </c>
    </row>
    <row r="13" spans="2:8" s="6" customFormat="1" ht="10" thickBot="1" x14ac:dyDescent="0.4">
      <c r="B13" s="306"/>
      <c r="C13" s="300"/>
      <c r="D13" s="300"/>
      <c r="E13" s="308"/>
      <c r="F13" s="302"/>
      <c r="G13" s="304"/>
      <c r="H13" s="298"/>
    </row>
    <row r="14" spans="2:8" s="119" customFormat="1" x14ac:dyDescent="0.35">
      <c r="B14" s="107"/>
      <c r="C14" s="132"/>
      <c r="D14" s="108"/>
      <c r="E14" s="250"/>
      <c r="F14" s="128" t="s">
        <v>19</v>
      </c>
      <c r="G14" s="130" t="s">
        <v>19</v>
      </c>
      <c r="H14" s="110" t="s">
        <v>19</v>
      </c>
    </row>
    <row r="15" spans="2:8" s="119" customFormat="1" x14ac:dyDescent="0.2">
      <c r="B15" s="107"/>
      <c r="C15" s="132"/>
      <c r="D15" s="108"/>
      <c r="E15" s="250"/>
      <c r="F15" s="128">
        <v>0</v>
      </c>
      <c r="G15" s="131">
        <v>0</v>
      </c>
      <c r="H15" s="73">
        <f>F15-G15</f>
        <v>0</v>
      </c>
    </row>
    <row r="16" spans="2:8" s="119" customFormat="1" x14ac:dyDescent="0.2">
      <c r="B16" s="107"/>
      <c r="C16" s="132" t="s">
        <v>188</v>
      </c>
      <c r="D16" s="108"/>
      <c r="E16" s="250" t="s">
        <v>312</v>
      </c>
      <c r="F16" s="128">
        <v>0</v>
      </c>
      <c r="G16" s="131">
        <v>250000</v>
      </c>
      <c r="H16" s="74">
        <f t="shared" ref="H16:H26" si="0">H15+F16-G16</f>
        <v>-250000</v>
      </c>
    </row>
    <row r="17" spans="2:8" s="119" customFormat="1" x14ac:dyDescent="0.2">
      <c r="B17" s="107"/>
      <c r="C17" s="132" t="s">
        <v>187</v>
      </c>
      <c r="D17" s="108"/>
      <c r="E17" s="250" t="s">
        <v>312</v>
      </c>
      <c r="F17" s="128">
        <v>0</v>
      </c>
      <c r="G17" s="131">
        <v>250000</v>
      </c>
      <c r="H17" s="74">
        <f t="shared" si="0"/>
        <v>-500000</v>
      </c>
    </row>
    <row r="18" spans="2:8" x14ac:dyDescent="0.25">
      <c r="B18" s="88">
        <v>44841</v>
      </c>
      <c r="C18" s="132" t="s">
        <v>193</v>
      </c>
      <c r="D18" s="108"/>
      <c r="E18" s="149" t="s">
        <v>312</v>
      </c>
      <c r="F18" s="128">
        <v>0</v>
      </c>
      <c r="G18" s="131">
        <v>10416300</v>
      </c>
      <c r="H18" s="74">
        <f t="shared" si="0"/>
        <v>-10916300</v>
      </c>
    </row>
    <row r="19" spans="2:8" x14ac:dyDescent="0.25">
      <c r="B19" s="88">
        <v>44858</v>
      </c>
      <c r="C19" s="132" t="s">
        <v>189</v>
      </c>
      <c r="D19" s="108"/>
      <c r="E19" s="149" t="s">
        <v>312</v>
      </c>
      <c r="F19" s="128">
        <v>0</v>
      </c>
      <c r="G19" s="131">
        <v>250000</v>
      </c>
      <c r="H19" s="74">
        <f t="shared" si="0"/>
        <v>-11166300</v>
      </c>
    </row>
    <row r="20" spans="2:8" x14ac:dyDescent="0.25">
      <c r="B20" s="88">
        <v>44858</v>
      </c>
      <c r="C20" s="132" t="s">
        <v>190</v>
      </c>
      <c r="D20" s="108"/>
      <c r="E20" s="149" t="s">
        <v>312</v>
      </c>
      <c r="F20" s="128">
        <v>0</v>
      </c>
      <c r="G20" s="131">
        <v>250000</v>
      </c>
      <c r="H20" s="74">
        <f t="shared" si="0"/>
        <v>-11416300</v>
      </c>
    </row>
    <row r="21" spans="2:8" x14ac:dyDescent="0.25">
      <c r="B21" s="88">
        <v>44887</v>
      </c>
      <c r="C21" s="132" t="s">
        <v>286</v>
      </c>
      <c r="D21" s="108"/>
      <c r="E21" s="149" t="s">
        <v>312</v>
      </c>
      <c r="F21" s="128">
        <v>0</v>
      </c>
      <c r="G21" s="131">
        <v>10000000</v>
      </c>
      <c r="H21" s="74">
        <f t="shared" si="0"/>
        <v>-21416300</v>
      </c>
    </row>
    <row r="22" spans="2:8" x14ac:dyDescent="0.25">
      <c r="B22" s="88">
        <v>44887</v>
      </c>
      <c r="C22" s="132" t="s">
        <v>300</v>
      </c>
      <c r="D22" s="108"/>
      <c r="E22" s="149" t="s">
        <v>312</v>
      </c>
      <c r="F22" s="128">
        <v>0</v>
      </c>
      <c r="G22" s="131">
        <v>250000</v>
      </c>
      <c r="H22" s="74">
        <f t="shared" si="0"/>
        <v>-21666300</v>
      </c>
    </row>
    <row r="23" spans="2:8" x14ac:dyDescent="0.25">
      <c r="B23" s="88">
        <v>44887</v>
      </c>
      <c r="C23" s="132" t="s">
        <v>299</v>
      </c>
      <c r="D23" s="108"/>
      <c r="E23" s="149" t="s">
        <v>312</v>
      </c>
      <c r="F23" s="128">
        <v>0</v>
      </c>
      <c r="G23" s="131">
        <v>250000</v>
      </c>
      <c r="H23" s="74">
        <f t="shared" si="0"/>
        <v>-21916300</v>
      </c>
    </row>
    <row r="24" spans="2:8" x14ac:dyDescent="0.25">
      <c r="B24" s="88">
        <v>44908</v>
      </c>
      <c r="C24" s="259" t="s">
        <v>286</v>
      </c>
      <c r="D24" s="89"/>
      <c r="E24" s="252" t="s">
        <v>365</v>
      </c>
      <c r="F24" s="72"/>
      <c r="G24" s="9">
        <v>16115766</v>
      </c>
      <c r="H24" s="74">
        <f t="shared" si="0"/>
        <v>-38032066</v>
      </c>
    </row>
    <row r="25" spans="2:8" x14ac:dyDescent="0.25">
      <c r="B25" s="88">
        <v>44909</v>
      </c>
      <c r="C25" s="259" t="s">
        <v>389</v>
      </c>
      <c r="D25" s="89"/>
      <c r="E25" s="252" t="s">
        <v>365</v>
      </c>
      <c r="F25" s="72"/>
      <c r="G25" s="9">
        <v>25600</v>
      </c>
      <c r="H25" s="74">
        <f t="shared" si="0"/>
        <v>-38057666</v>
      </c>
    </row>
    <row r="26" spans="2:8" ht="10" thickBot="1" x14ac:dyDescent="0.3">
      <c r="B26" s="88">
        <v>44909</v>
      </c>
      <c r="C26" s="259" t="s">
        <v>397</v>
      </c>
      <c r="D26" s="89"/>
      <c r="E26" s="252" t="s">
        <v>365</v>
      </c>
      <c r="F26" s="72"/>
      <c r="G26" s="9">
        <v>500000</v>
      </c>
      <c r="H26" s="74">
        <f t="shared" si="0"/>
        <v>-38557666</v>
      </c>
    </row>
    <row r="27" spans="2:8" ht="10" thickBot="1" x14ac:dyDescent="0.3">
      <c r="B27" s="93"/>
      <c r="C27" s="261"/>
      <c r="D27" s="94"/>
      <c r="E27" s="253"/>
      <c r="F27" s="99">
        <f>SUM(F12:F26)</f>
        <v>0</v>
      </c>
      <c r="G27" s="100">
        <f>SUM(G12:G26)</f>
        <v>38557666</v>
      </c>
      <c r="H27" s="101"/>
    </row>
    <row r="28" spans="2:8" x14ac:dyDescent="0.25">
      <c r="G28" s="8"/>
      <c r="H28" s="8"/>
    </row>
    <row r="29" spans="2:8" x14ac:dyDescent="0.25">
      <c r="G29" s="8"/>
      <c r="H29" s="8"/>
    </row>
  </sheetData>
  <mergeCells count="7">
    <mergeCell ref="H12:H13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Bank Schedule__1__</vt:lpstr>
      <vt:lpstr>Lanbell Lab</vt:lpstr>
      <vt:lpstr>Others</vt:lpstr>
      <vt:lpstr>Peramare Ghana</vt:lpstr>
      <vt:lpstr>Other</vt:lpstr>
      <vt:lpstr>Cash-In-Hand Schedule_</vt:lpstr>
      <vt:lpstr>HMO</vt:lpstr>
      <vt:lpstr>Agro-Allied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Deji Adeshile</dc:creator>
  <cp:lastModifiedBy>Aliyu Gosta</cp:lastModifiedBy>
  <dcterms:created xsi:type="dcterms:W3CDTF">2022-08-08T17:28:58Z</dcterms:created>
  <dcterms:modified xsi:type="dcterms:W3CDTF">2026-05-08T15:34:01Z</dcterms:modified>
</cp:coreProperties>
</file>